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BAPELITBANGDA 2025 rekon\"/>
    </mc:Choice>
  </mc:AlternateContent>
  <xr:revisionPtr revIDLastSave="0" documentId="13_ncr:1_{88FFA758-093E-4AF6-8FCD-9695AE438540}" xr6:coauthVersionLast="47" xr6:coauthVersionMax="47" xr10:uidLastSave="{00000000-0000-0000-0000-000000000000}"/>
  <bookViews>
    <workbookView xWindow="-108" yWindow="-108" windowWidth="23256" windowHeight="12456" xr2:uid="{27D95743-B78E-4536-97CD-DCED536CDB24}"/>
  </bookViews>
  <sheets>
    <sheet name="KARTU PEMELIHARAA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3" i="1" l="1"/>
  <c r="J915" i="1"/>
  <c r="J621" i="1"/>
  <c r="J607" i="1"/>
  <c r="J595" i="1"/>
  <c r="J479" i="1"/>
  <c r="A917" i="1" l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623" i="1"/>
  <c r="A597" i="1"/>
  <c r="A582" i="1"/>
  <c r="A583" i="1" s="1"/>
  <c r="A584" i="1" s="1"/>
  <c r="A585" i="1" s="1"/>
  <c r="A569" i="1"/>
  <c r="A570" i="1" s="1"/>
  <c r="A549" i="1"/>
  <c r="A550" i="1" s="1"/>
  <c r="A551" i="1" s="1"/>
  <c r="A552" i="1" s="1"/>
  <c r="A553" i="1" s="1"/>
  <c r="A554" i="1" s="1"/>
  <c r="A555" i="1" s="1"/>
  <c r="A556" i="1" s="1"/>
  <c r="A557" i="1" s="1"/>
  <c r="A532" i="1"/>
  <c r="A533" i="1" s="1"/>
  <c r="A534" i="1" s="1"/>
  <c r="A535" i="1" s="1"/>
  <c r="A536" i="1" s="1"/>
  <c r="A537" i="1" s="1"/>
  <c r="A515" i="1"/>
  <c r="A516" i="1" s="1"/>
  <c r="A517" i="1" s="1"/>
  <c r="A518" i="1" s="1"/>
  <c r="A519" i="1" s="1"/>
  <c r="A520" i="1" s="1"/>
  <c r="F24" i="1" l="1"/>
  <c r="B288" i="1"/>
  <c r="C288" i="1"/>
  <c r="D288" i="1"/>
  <c r="F284" i="1"/>
  <c r="D277" i="1"/>
  <c r="C277" i="1"/>
  <c r="B277" i="1"/>
  <c r="F273" i="1"/>
  <c r="F262" i="1"/>
  <c r="D266" i="1"/>
  <c r="C266" i="1"/>
  <c r="B266" i="1"/>
  <c r="B255" i="1"/>
  <c r="C255" i="1"/>
  <c r="D255" i="1"/>
  <c r="F251" i="1"/>
  <c r="B244" i="1"/>
  <c r="C244" i="1"/>
  <c r="D244" i="1"/>
  <c r="F240" i="1"/>
  <c r="B233" i="1"/>
  <c r="C233" i="1"/>
  <c r="D233" i="1"/>
  <c r="F229" i="1"/>
  <c r="D222" i="1"/>
  <c r="C222" i="1"/>
  <c r="B222" i="1"/>
  <c r="F218" i="1"/>
  <c r="F207" i="1"/>
  <c r="D211" i="1"/>
  <c r="C211" i="1"/>
  <c r="B211" i="1"/>
  <c r="F196" i="1"/>
  <c r="C200" i="1"/>
  <c r="D200" i="1"/>
  <c r="B200" i="1"/>
  <c r="F185" i="1"/>
  <c r="D189" i="1"/>
  <c r="C189" i="1"/>
  <c r="B189" i="1"/>
  <c r="F163" i="1"/>
  <c r="D167" i="1"/>
  <c r="C167" i="1"/>
  <c r="B167" i="1"/>
  <c r="F174" i="1"/>
  <c r="D178" i="1"/>
  <c r="C178" i="1"/>
  <c r="B178" i="1"/>
  <c r="F152" i="1"/>
  <c r="D156" i="1"/>
  <c r="C156" i="1"/>
  <c r="B156" i="1"/>
  <c r="D145" i="1"/>
  <c r="C145" i="1"/>
  <c r="B145" i="1"/>
  <c r="F141" i="1"/>
  <c r="F130" i="1"/>
  <c r="D134" i="1"/>
  <c r="C134" i="1"/>
  <c r="B134" i="1"/>
  <c r="D123" i="1"/>
  <c r="C123" i="1"/>
  <c r="F119" i="1"/>
  <c r="B123" i="1"/>
  <c r="F108" i="1"/>
  <c r="D112" i="1"/>
  <c r="C112" i="1"/>
  <c r="B112" i="1"/>
  <c r="F79" i="1"/>
  <c r="D83" i="1"/>
  <c r="C83" i="1"/>
  <c r="B83" i="1"/>
  <c r="F68" i="1"/>
  <c r="C72" i="1"/>
  <c r="B72" i="1"/>
  <c r="B61" i="1"/>
  <c r="C61" i="1"/>
  <c r="D61" i="1"/>
  <c r="F57" i="1"/>
  <c r="B50" i="1"/>
  <c r="D50" i="1"/>
  <c r="C50" i="1"/>
  <c r="F46" i="1"/>
  <c r="C39" i="1"/>
  <c r="F35" i="1"/>
  <c r="B39" i="1"/>
  <c r="D39" i="1"/>
  <c r="D941" i="1" l="1"/>
  <c r="D942" i="1" s="1"/>
  <c r="J376" i="1"/>
  <c r="J941" i="1" s="1"/>
</calcChain>
</file>

<file path=xl/sharedStrings.xml><?xml version="1.0" encoding="utf-8"?>
<sst xmlns="http://schemas.openxmlformats.org/spreadsheetml/2006/main" count="1804" uniqueCount="234">
  <si>
    <r>
      <rPr>
        <sz val="9"/>
        <rFont val="Bookman Old Style"/>
        <family val="1"/>
      </rPr>
      <t xml:space="preserve">KARTU PEMELIHARAAN
</t>
    </r>
    <r>
      <rPr>
        <sz val="8"/>
        <rFont val="Bookman Old Style"/>
        <family val="1"/>
      </rPr>
      <t>………………..(1)</t>
    </r>
  </si>
  <si>
    <t>NIBAR   :</t>
  </si>
  <si>
    <r>
      <rPr>
        <sz val="8"/>
        <rFont val="Bookman Old Style"/>
        <family val="1"/>
      </rPr>
      <t xml:space="preserve">Pengguna Barang                       </t>
    </r>
    <r>
      <rPr>
        <sz val="7.5"/>
        <rFont val="Arial"/>
        <family val="2"/>
      </rPr>
      <t>:</t>
    </r>
  </si>
  <si>
    <r>
      <rPr>
        <sz val="8"/>
        <rFont val="Bookman Old Style"/>
        <family val="1"/>
      </rPr>
      <t xml:space="preserve">Kode Barang                               </t>
    </r>
    <r>
      <rPr>
        <sz val="7.5"/>
        <rFont val="Arial"/>
        <family val="2"/>
      </rPr>
      <t>:</t>
    </r>
  </si>
  <si>
    <r>
      <rPr>
        <sz val="8"/>
        <rFont val="Bookman Old Style"/>
        <family val="1"/>
      </rPr>
      <t xml:space="preserve">Nama Barang                              </t>
    </r>
    <r>
      <rPr>
        <sz val="7.5"/>
        <rFont val="Arial"/>
        <family val="2"/>
      </rPr>
      <t>:</t>
    </r>
  </si>
  <si>
    <r>
      <rPr>
        <sz val="8"/>
        <rFont val="Bookman Old Style"/>
        <family val="1"/>
      </rPr>
      <t xml:space="preserve">Spesifikasi Barang                      </t>
    </r>
    <r>
      <rPr>
        <sz val="7.5"/>
        <rFont val="Arial"/>
        <family val="2"/>
      </rPr>
      <t>:</t>
    </r>
  </si>
  <si>
    <r>
      <rPr>
        <sz val="8"/>
        <rFont val="Bookman Old Style"/>
        <family val="1"/>
      </rPr>
      <t>No.</t>
    </r>
  </si>
  <si>
    <r>
      <rPr>
        <sz val="8"/>
        <rFont val="Bookman Old Style"/>
        <family val="1"/>
      </rPr>
      <t>Tanggal Pemeliharaan</t>
    </r>
  </si>
  <si>
    <r>
      <rPr>
        <sz val="8"/>
        <rFont val="Bookman Old Style"/>
        <family val="1"/>
      </rPr>
      <t>Jenis Pemeliharaan</t>
    </r>
  </si>
  <si>
    <r>
      <rPr>
        <sz val="8"/>
        <rFont val="Bookman Old Style"/>
        <family val="1"/>
      </rPr>
      <t>Biaya Pemeliharaan (Rp)</t>
    </r>
  </si>
  <si>
    <r>
      <rPr>
        <sz val="8"/>
        <rFont val="Bookman Old Style"/>
        <family val="1"/>
      </rPr>
      <t>Nama Penyedia</t>
    </r>
  </si>
  <si>
    <r>
      <rPr>
        <sz val="8"/>
        <rFont val="Bookman Old Style"/>
        <family val="1"/>
      </rPr>
      <t>Bentuk Kontrak</t>
    </r>
  </si>
  <si>
    <r>
      <rPr>
        <sz val="8"/>
        <rFont val="Bookman Old Style"/>
        <family val="1"/>
      </rPr>
      <t>Ket.</t>
    </r>
  </si>
  <si>
    <r>
      <rPr>
        <sz val="8"/>
        <rFont val="Bookman Old Style"/>
        <family val="1"/>
      </rPr>
      <t xml:space="preserve">Kuasa Pengguna Barang             </t>
    </r>
    <r>
      <rPr>
        <sz val="7.5"/>
        <rFont val="Arial"/>
        <family val="2"/>
      </rPr>
      <t>:</t>
    </r>
  </si>
  <si>
    <t>Dani H. Christian Heo</t>
  </si>
  <si>
    <t>11 Februari 2025</t>
  </si>
  <si>
    <t>Perpanjangan STNK</t>
  </si>
  <si>
    <t>1.3.2.02.01.04.001</t>
  </si>
  <si>
    <t>Kuning Mas Motor</t>
  </si>
  <si>
    <t>14 Agustus 2025</t>
  </si>
  <si>
    <t>Penggantian Ban Luar</t>
  </si>
  <si>
    <t>Besi/Plastik</t>
  </si>
  <si>
    <t>1.3.2.02.01.04.002</t>
  </si>
  <si>
    <t xml:space="preserve">Oli SPx + Gardan </t>
  </si>
  <si>
    <t>Cuci Injeksi</t>
  </si>
  <si>
    <t>Batok</t>
  </si>
  <si>
    <t>Slide</t>
  </si>
  <si>
    <t xml:space="preserve">Saringan Udara </t>
  </si>
  <si>
    <t>Kampas Ganda</t>
  </si>
  <si>
    <t xml:space="preserve">Biaya servis </t>
  </si>
  <si>
    <t>AHASS</t>
  </si>
  <si>
    <t>Oli sell power</t>
  </si>
  <si>
    <t>Minyak rem</t>
  </si>
  <si>
    <t>filter oli</t>
  </si>
  <si>
    <t>Oli + mu</t>
  </si>
  <si>
    <t>Roller '90</t>
  </si>
  <si>
    <t>federal sole</t>
  </si>
  <si>
    <t>Sumber Mas Motor</t>
  </si>
  <si>
    <t>22 Agustus 2025</t>
  </si>
  <si>
    <t>Oli mesin shell</t>
  </si>
  <si>
    <t>Filter oli</t>
  </si>
  <si>
    <t>Oli power</t>
  </si>
  <si>
    <t>Parfum AC</t>
  </si>
  <si>
    <t>Bolam h</t>
  </si>
  <si>
    <t>Coolan</t>
  </si>
  <si>
    <t>m silo</t>
  </si>
  <si>
    <t>Filer oli</t>
  </si>
  <si>
    <t>Roller 90</t>
  </si>
  <si>
    <t>22 Agustus  2025</t>
  </si>
  <si>
    <t>ED 1056 WB</t>
  </si>
  <si>
    <t>ED 2218 WB</t>
  </si>
  <si>
    <t>Noni Saubaki</t>
  </si>
  <si>
    <t>Viktorius D.Bani</t>
  </si>
  <si>
    <t>ED 2214 WB</t>
  </si>
  <si>
    <t>ED 1043 WB</t>
  </si>
  <si>
    <t>Charles Hermana Weru, S.Sos</t>
  </si>
  <si>
    <t>ED 8045 WB</t>
  </si>
  <si>
    <t>Titus Diaz Liurai,S.Sos</t>
  </si>
  <si>
    <t>Oli mesin</t>
  </si>
  <si>
    <t>Oli Mesin</t>
  </si>
  <si>
    <t xml:space="preserve">Cek Kampas Belakang </t>
  </si>
  <si>
    <t>Imanuel M. Kalegotana, S.T., M.Si.</t>
  </si>
  <si>
    <t>Oli garden + verl</t>
  </si>
  <si>
    <t>oli power</t>
  </si>
  <si>
    <t>21 Agustus 2025</t>
  </si>
  <si>
    <t>ED 2766 WB</t>
  </si>
  <si>
    <t>Alvian Zadrakh T. Kosi, S.Pt</t>
  </si>
  <si>
    <t>Delta Motor</t>
  </si>
  <si>
    <t>Kampas rem depan</t>
  </si>
  <si>
    <t xml:space="preserve">Kampas rem belakang </t>
  </si>
  <si>
    <t>ED 2215 WB</t>
  </si>
  <si>
    <t>Yohanes B.P.Makin</t>
  </si>
  <si>
    <t>Oli spx + gardan</t>
  </si>
  <si>
    <t>kabel speedometer</t>
  </si>
  <si>
    <t>oli spx 0.8</t>
  </si>
  <si>
    <t>oli gardan</t>
  </si>
  <si>
    <t>cuci pompa</t>
  </si>
  <si>
    <t>Laptop</t>
  </si>
  <si>
    <t>01 Agustus 2025</t>
  </si>
  <si>
    <t>02 September 2025</t>
  </si>
  <si>
    <t>Servis Laptop</t>
  </si>
  <si>
    <t>JAYAELECTRO</t>
  </si>
  <si>
    <t>16 Juli 2025</t>
  </si>
  <si>
    <t>Ban Luar</t>
  </si>
  <si>
    <t>Bangun Jaya</t>
  </si>
  <si>
    <t>Toko Bangun Jaya</t>
  </si>
  <si>
    <t>Alfred Ngongo Leba</t>
  </si>
  <si>
    <t>ED 2759 WB</t>
  </si>
  <si>
    <t>07 November 2025</t>
  </si>
  <si>
    <t>Kuning Mas</t>
  </si>
  <si>
    <t>13 November 2025</t>
  </si>
  <si>
    <t>Ban Dalam</t>
  </si>
  <si>
    <t>Ban Luar Depan</t>
  </si>
  <si>
    <t>Ban Luar Belakang</t>
  </si>
  <si>
    <t>Karburator</t>
  </si>
  <si>
    <t>Oli Federal</t>
  </si>
  <si>
    <t>Kaca Spion</t>
  </si>
  <si>
    <t>Reflektor Depan</t>
  </si>
  <si>
    <t>Gir Pres Supra</t>
  </si>
  <si>
    <t>Sepatu Rantai</t>
  </si>
  <si>
    <t>Laher 6301</t>
  </si>
  <si>
    <t>Ruli Motor</t>
  </si>
  <si>
    <t>Sakina</t>
  </si>
  <si>
    <t>Sekrup</t>
  </si>
  <si>
    <t>Bola Lampu</t>
  </si>
  <si>
    <t>Tis</t>
  </si>
  <si>
    <t>Ozzy Motor</t>
  </si>
  <si>
    <t>Batok Depan Supra</t>
  </si>
  <si>
    <t>Batok Belakang Supra</t>
  </si>
  <si>
    <t>Sinar Jaya Motor</t>
  </si>
  <si>
    <t>19 November 2025</t>
  </si>
  <si>
    <t>Muh. Zulfikar At. Tariq</t>
  </si>
  <si>
    <t>Alvian Z. T. Kosi</t>
  </si>
  <si>
    <t>ED 2780 WB</t>
  </si>
  <si>
    <t>Yohanes B. Pati Makin</t>
  </si>
  <si>
    <t>Elvira</t>
  </si>
  <si>
    <t>Pajak Jalan</t>
  </si>
  <si>
    <t>Ikhsan</t>
  </si>
  <si>
    <t>20 November 2025</t>
  </si>
  <si>
    <t>Shok Belakang</t>
  </si>
  <si>
    <t>Gir Komplit</t>
  </si>
  <si>
    <t>Kampas Belakang</t>
  </si>
  <si>
    <t>Tombol Dim</t>
  </si>
  <si>
    <t>Cornelis Dokoe Bani</t>
  </si>
  <si>
    <t>1.3.2.02.01.04.005</t>
  </si>
  <si>
    <t>Servis Printer</t>
  </si>
  <si>
    <t>Service Kendaraan</t>
  </si>
  <si>
    <t>Farid Muhammad</t>
  </si>
  <si>
    <t>11 November 2025</t>
  </si>
  <si>
    <t>Seher (piston)</t>
  </si>
  <si>
    <t>Metal duduk</t>
  </si>
  <si>
    <t>Metal Jalan</t>
  </si>
  <si>
    <t>Packing Set</t>
  </si>
  <si>
    <t>Ball Joint Kiri-Kanan</t>
  </si>
  <si>
    <t>Tirot Kiri - Kanan</t>
  </si>
  <si>
    <t>Laher Roda Depan</t>
  </si>
  <si>
    <t>Laher Roda Belakang</t>
  </si>
  <si>
    <t>Cover Stir Rush</t>
  </si>
  <si>
    <t>Ban Luar BS 235X70XX15</t>
  </si>
  <si>
    <t>Accu GS 70 ampere + air</t>
  </si>
  <si>
    <t>Filter udara KF</t>
  </si>
  <si>
    <t>Minya Rem STP ( Besar)</t>
  </si>
  <si>
    <t>Oli Mesin 5 Liter</t>
  </si>
  <si>
    <t>Karpet Mobil Rush</t>
  </si>
  <si>
    <t>Rumah Lampu Belakang Kiri</t>
  </si>
  <si>
    <t>Kondensor AC Mobil</t>
  </si>
  <si>
    <t>Freon AC Mobil Rush</t>
  </si>
  <si>
    <t>Variasi Dek Atas</t>
  </si>
  <si>
    <t>Lampu Pemecah Kabut</t>
  </si>
  <si>
    <t>Radiator</t>
  </si>
  <si>
    <t>Clear Danaglos</t>
  </si>
  <si>
    <t>Sarung Jok Rush Fullset</t>
  </si>
  <si>
    <t>Biaya Service</t>
  </si>
  <si>
    <t>Bengkel Rafa</t>
  </si>
  <si>
    <t>Accu</t>
  </si>
  <si>
    <t>24 Oktober 2025</t>
  </si>
  <si>
    <t>03 Februari 2025</t>
  </si>
  <si>
    <t>Servis Printer Epson</t>
  </si>
  <si>
    <t>B.S. Computer</t>
  </si>
  <si>
    <t>Printer</t>
  </si>
  <si>
    <t>10 Februari 2025</t>
  </si>
  <si>
    <t>Baut L</t>
  </si>
  <si>
    <t>Oli</t>
  </si>
  <si>
    <t>Laher Belakang</t>
  </si>
  <si>
    <t>Kampas Depan</t>
  </si>
  <si>
    <t>Piringan Cakram</t>
  </si>
  <si>
    <t>Biaya Servis</t>
  </si>
  <si>
    <t>18 Februari 2025</t>
  </si>
  <si>
    <t>ED 2019 WB</t>
  </si>
  <si>
    <t>ED 2779 WB</t>
  </si>
  <si>
    <t>25 Februari 2025</t>
  </si>
  <si>
    <t>Spul</t>
  </si>
  <si>
    <t>Bola Lampu Depan</t>
  </si>
  <si>
    <t>Tutup Klep</t>
  </si>
  <si>
    <t>Kabel 1 Meter</t>
  </si>
  <si>
    <t>Isolasi</t>
  </si>
  <si>
    <t>Baut 10 + Ring</t>
  </si>
  <si>
    <t>Baut Setelan Lampu Depan</t>
  </si>
  <si>
    <t>Aneka Motor</t>
  </si>
  <si>
    <t>ED 2008 WB</t>
  </si>
  <si>
    <t>Agustinus Mada Leko</t>
  </si>
  <si>
    <t>Ban Dalam 275x18</t>
  </si>
  <si>
    <t>Tiner A</t>
  </si>
  <si>
    <t>Amplas No. 1000</t>
  </si>
  <si>
    <t>Baut Seklar</t>
  </si>
  <si>
    <t>Pack Blok Pro NTP</t>
  </si>
  <si>
    <t>Kabel Gas</t>
  </si>
  <si>
    <t>Selang Bensin</t>
  </si>
  <si>
    <t>Shock Belakang GL Pro</t>
  </si>
  <si>
    <t>Boss Ass Tengah</t>
  </si>
  <si>
    <t>Ass Starter</t>
  </si>
  <si>
    <t>Gigi Pinion</t>
  </si>
  <si>
    <t>Pedal Starter</t>
  </si>
  <si>
    <t>Kunci Kontak</t>
  </si>
  <si>
    <t>Filter Bensin</t>
  </si>
  <si>
    <t>Tutupan Tangki GL Pro</t>
  </si>
  <si>
    <t>Ver Starter</t>
  </si>
  <si>
    <t>Selang Minyak</t>
  </si>
  <si>
    <t>26 Juni 2025</t>
  </si>
  <si>
    <t>23 Juni 2025</t>
  </si>
  <si>
    <t>sii klep</t>
  </si>
  <si>
    <t>kertas pasir</t>
  </si>
  <si>
    <t>klep</t>
  </si>
  <si>
    <t>noken AS</t>
  </si>
  <si>
    <t>Seher</t>
  </si>
  <si>
    <t>Rantai Kambrat</t>
  </si>
  <si>
    <t>Stut Kambrat</t>
  </si>
  <si>
    <t>Setelan Kambrat</t>
  </si>
  <si>
    <t>Baut Aki</t>
  </si>
  <si>
    <t>Oli MPX</t>
  </si>
  <si>
    <t>Bensin Cuci Mesin</t>
  </si>
  <si>
    <t>Kolter</t>
  </si>
  <si>
    <t>Temblar</t>
  </si>
  <si>
    <t>Packing Foring</t>
  </si>
  <si>
    <t>Bos Klep</t>
  </si>
  <si>
    <t>Packing Kop</t>
  </si>
  <si>
    <t>Imanuel Motor</t>
  </si>
  <si>
    <t>ED 2355 JG</t>
  </si>
  <si>
    <t>Yulius Efrianto Susanto Kalli</t>
  </si>
  <si>
    <t>4 Juni 2025</t>
  </si>
  <si>
    <t>Seal</t>
  </si>
  <si>
    <t>Rumah Roller</t>
  </si>
  <si>
    <t>Boring</t>
  </si>
  <si>
    <t>Gemuk</t>
  </si>
  <si>
    <t>Vanbel</t>
  </si>
  <si>
    <t>Saringan Udara</t>
  </si>
  <si>
    <t>SPX 2 + Gardan</t>
  </si>
  <si>
    <t>Kabel Kones</t>
  </si>
  <si>
    <t>Septiawan</t>
  </si>
  <si>
    <t>Oli Mpx</t>
  </si>
  <si>
    <t>Fanbel</t>
  </si>
  <si>
    <t>Ban Luar + dalam</t>
  </si>
  <si>
    <t>Oli mpx + gardan</t>
  </si>
  <si>
    <t>Kuning mas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</si>
</sst>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_);\(0\)"/>
  </numFmts>
  <fonts count="11" x14ac:knownFonts="1">
    <font>
      <sz val="10"/>
      <color rgb="FF000000"/>
      <name val="Times New Roman"/>
      <family val="1"/>
    </font>
    <font>
      <sz val="12"/>
      <name val="Bookman Old Style"/>
      <family val="1"/>
    </font>
    <font>
      <sz val="9"/>
      <name val="Bookman Old Style"/>
      <family val="1"/>
    </font>
    <font>
      <sz val="8"/>
      <name val="Bookman Old Style"/>
      <family val="1"/>
    </font>
    <font>
      <sz val="7.5"/>
      <name val="Arial"/>
      <family val="2"/>
    </font>
    <font>
      <sz val="7.5"/>
      <color rgb="FF000000"/>
      <name val="Arial"/>
      <family val="2"/>
    </font>
    <font>
      <sz val="8"/>
      <color rgb="FF000000"/>
      <name val="Bookman Old Style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left" vertical="top"/>
    </xf>
    <xf numFmtId="165" fontId="5" fillId="0" borderId="0" xfId="0" applyNumberFormat="1" applyFont="1" applyAlignment="1">
      <alignment horizontal="center" vertical="top" shrinkToFi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5" xfId="0" applyFont="1" applyBorder="1" applyAlignment="1">
      <alignment vertical="top" wrapText="1"/>
    </xf>
    <xf numFmtId="165" fontId="6" fillId="0" borderId="4" xfId="0" applyNumberFormat="1" applyFont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center" vertical="top" shrinkToFit="1"/>
    </xf>
    <xf numFmtId="165" fontId="6" fillId="0" borderId="5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3" fillId="0" borderId="4" xfId="0" applyFont="1" applyBorder="1" applyAlignment="1">
      <alignment vertical="top" wrapText="1"/>
    </xf>
    <xf numFmtId="164" fontId="0" fillId="0" borderId="1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0" fontId="0" fillId="0" borderId="4" xfId="0" quotePrefix="1" applyBorder="1" applyAlignment="1">
      <alignment horizontal="left" vertical="top" wrapText="1"/>
    </xf>
    <xf numFmtId="165" fontId="10" fillId="0" borderId="4" xfId="0" applyNumberFormat="1" applyFont="1" applyBorder="1" applyAlignment="1">
      <alignment horizontal="center" vertical="top" shrinkToFit="1"/>
    </xf>
    <xf numFmtId="165" fontId="10" fillId="0" borderId="4" xfId="0" applyNumberFormat="1" applyFont="1" applyBorder="1" applyAlignment="1">
      <alignment horizontal="left" vertical="top" shrinkToFit="1"/>
    </xf>
    <xf numFmtId="164" fontId="10" fillId="0" borderId="1" xfId="1" applyFont="1" applyBorder="1" applyAlignment="1">
      <alignment horizontal="center" vertical="top" shrinkToFit="1"/>
    </xf>
    <xf numFmtId="165" fontId="10" fillId="0" borderId="1" xfId="0" applyNumberFormat="1" applyFont="1" applyBorder="1" applyAlignment="1">
      <alignment horizontal="center" vertical="top" shrinkToFit="1"/>
    </xf>
    <xf numFmtId="0" fontId="10" fillId="0" borderId="4" xfId="0" quotePrefix="1" applyFont="1" applyBorder="1" applyAlignment="1">
      <alignment horizontal="left" vertical="top" wrapText="1"/>
    </xf>
    <xf numFmtId="165" fontId="6" fillId="0" borderId="4" xfId="0" applyNumberFormat="1" applyFont="1" applyBorder="1" applyAlignment="1">
      <alignment horizontal="left" vertical="top" shrinkToFit="1"/>
    </xf>
    <xf numFmtId="164" fontId="6" fillId="0" borderId="1" xfId="1" applyFont="1" applyBorder="1" applyAlignment="1">
      <alignment horizontal="right" vertical="top" shrinkToFit="1"/>
    </xf>
    <xf numFmtId="165" fontId="10" fillId="0" borderId="1" xfId="0" applyNumberFormat="1" applyFont="1" applyBorder="1" applyAlignment="1">
      <alignment horizontal="center" vertical="top" wrapText="1" shrinkToFit="1"/>
    </xf>
    <xf numFmtId="165" fontId="10" fillId="0" borderId="4" xfId="0" quotePrefix="1" applyNumberFormat="1" applyFont="1" applyBorder="1" applyAlignment="1">
      <alignment horizontal="center" vertical="top" shrinkToFit="1"/>
    </xf>
    <xf numFmtId="165" fontId="10" fillId="0" borderId="2" xfId="0" quotePrefix="1" applyNumberFormat="1" applyFont="1" applyBorder="1" applyAlignment="1">
      <alignment horizontal="center" vertical="top" shrinkToFit="1"/>
    </xf>
    <xf numFmtId="165" fontId="6" fillId="0" borderId="2" xfId="0" applyNumberFormat="1" applyFont="1" applyBorder="1" applyAlignment="1">
      <alignment horizontal="left" vertical="top" shrinkToFit="1"/>
    </xf>
    <xf numFmtId="164" fontId="6" fillId="0" borderId="2" xfId="1" applyFont="1" applyBorder="1" applyAlignment="1">
      <alignment horizontal="right" vertical="top" shrinkToFit="1"/>
    </xf>
    <xf numFmtId="165" fontId="10" fillId="0" borderId="2" xfId="0" applyNumberFormat="1" applyFont="1" applyBorder="1" applyAlignment="1">
      <alignment horizontal="center" vertical="top" wrapText="1" shrinkToFit="1"/>
    </xf>
    <xf numFmtId="165" fontId="6" fillId="0" borderId="2" xfId="0" applyNumberFormat="1" applyFont="1" applyBorder="1" applyAlignment="1">
      <alignment horizontal="center" vertical="top" shrinkToFit="1"/>
    </xf>
    <xf numFmtId="165" fontId="6" fillId="0" borderId="0" xfId="0" applyNumberFormat="1" applyFont="1" applyAlignment="1">
      <alignment horizontal="center" vertical="top" shrinkToFit="1"/>
    </xf>
    <xf numFmtId="165" fontId="10" fillId="0" borderId="1" xfId="0" quotePrefix="1" applyNumberFormat="1" applyFont="1" applyBorder="1" applyAlignment="1">
      <alignment horizontal="center" vertical="top" shrinkToFit="1"/>
    </xf>
    <xf numFmtId="165" fontId="6" fillId="0" borderId="6" xfId="0" applyNumberFormat="1" applyFont="1" applyBorder="1" applyAlignment="1">
      <alignment horizontal="left" vertical="top" shrinkToFit="1"/>
    </xf>
    <xf numFmtId="164" fontId="6" fillId="0" borderId="7" xfId="1" applyFont="1" applyBorder="1" applyAlignment="1">
      <alignment horizontal="right" vertical="top" shrinkToFit="1"/>
    </xf>
    <xf numFmtId="165" fontId="6" fillId="0" borderId="7" xfId="0" applyNumberFormat="1" applyFont="1" applyBorder="1" applyAlignment="1">
      <alignment horizontal="center" vertical="top" shrinkToFit="1"/>
    </xf>
    <xf numFmtId="165" fontId="6" fillId="0" borderId="8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/>
    </xf>
    <xf numFmtId="164" fontId="6" fillId="0" borderId="5" xfId="1" applyFont="1" applyBorder="1" applyAlignment="1">
      <alignment horizontal="right" vertical="top" shrinkToFit="1"/>
    </xf>
    <xf numFmtId="164" fontId="0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6" fillId="0" borderId="4" xfId="0" quotePrefix="1" applyNumberFormat="1" applyFont="1" applyBorder="1" applyAlignment="1">
      <alignment horizontal="center" vertical="top" shrinkToFit="1"/>
    </xf>
    <xf numFmtId="164" fontId="6" fillId="0" borderId="1" xfId="1" applyFont="1" applyBorder="1" applyAlignment="1">
      <alignment horizontal="center" vertical="top" shrinkToFit="1"/>
    </xf>
    <xf numFmtId="165" fontId="6" fillId="0" borderId="6" xfId="0" applyNumberFormat="1" applyFont="1" applyBorder="1" applyAlignment="1">
      <alignment horizontal="center" vertical="top" shrinkToFit="1"/>
    </xf>
    <xf numFmtId="165" fontId="6" fillId="0" borderId="9" xfId="0" applyNumberFormat="1" applyFont="1" applyBorder="1" applyAlignment="1">
      <alignment horizontal="center" vertical="top" shrinkToFit="1"/>
    </xf>
    <xf numFmtId="165" fontId="6" fillId="0" borderId="10" xfId="0" quotePrefix="1" applyNumberFormat="1" applyFont="1" applyBorder="1" applyAlignment="1">
      <alignment horizontal="center" vertical="top" shrinkToFit="1"/>
    </xf>
    <xf numFmtId="165" fontId="6" fillId="0" borderId="10" xfId="0" applyNumberFormat="1" applyFont="1" applyBorder="1" applyAlignment="1">
      <alignment horizontal="left" vertical="top" shrinkToFit="1"/>
    </xf>
    <xf numFmtId="164" fontId="6" fillId="0" borderId="10" xfId="1" applyFont="1" applyBorder="1" applyAlignment="1">
      <alignment horizontal="right" vertical="top" shrinkToFit="1"/>
    </xf>
    <xf numFmtId="165" fontId="6" fillId="0" borderId="10" xfId="0" applyNumberFormat="1" applyFont="1" applyBorder="1" applyAlignment="1">
      <alignment horizontal="center" vertical="top" shrinkToFit="1"/>
    </xf>
    <xf numFmtId="165" fontId="6" fillId="0" borderId="5" xfId="0" applyNumberFormat="1" applyFont="1" applyBorder="1" applyAlignment="1">
      <alignment horizontal="left" vertical="top" shrinkToFit="1"/>
    </xf>
    <xf numFmtId="165" fontId="10" fillId="0" borderId="2" xfId="0" applyNumberFormat="1" applyFont="1" applyBorder="1" applyAlignment="1">
      <alignment horizontal="center" vertical="top" shrinkToFit="1"/>
    </xf>
    <xf numFmtId="164" fontId="0" fillId="0" borderId="0" xfId="1" applyFont="1" applyFill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143498</xdr:colOff>
      <xdr:row>0</xdr:row>
      <xdr:rowOff>0</xdr:rowOff>
    </xdr:from>
    <xdr:ext cx="33655" cy="33655"/>
    <xdr:grpSp>
      <xdr:nvGrpSpPr>
        <xdr:cNvPr id="2" name="Group 2">
          <a:extLst>
            <a:ext uri="{FF2B5EF4-FFF2-40B4-BE49-F238E27FC236}">
              <a16:creationId xmlns:a16="http://schemas.microsoft.com/office/drawing/2014/main" id="{CCB4E29B-3B47-4E5C-B5ED-B5389C0C9526}"/>
            </a:ext>
          </a:extLst>
        </xdr:cNvPr>
        <xdr:cNvGrpSpPr/>
      </xdr:nvGrpSpPr>
      <xdr:grpSpPr>
        <a:xfrm>
          <a:off x="4603072" y="0"/>
          <a:ext cx="33655" cy="33655"/>
          <a:chOff x="0" y="0"/>
          <a:chExt cx="33655" cy="3365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2D131ED9-387C-44D1-975C-6AF10B810EA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144FF0A6-1180-4EA8-8831-8439CB6FF03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5D7776BB-14E7-4CDD-A1A9-B85FBED51B1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26B86754-60F5-47EB-AF9E-4A6C7AB0ED9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7A629A98-C211-4D88-AE49-EE1F5EA960F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3F337D4-DC6D-4AC9-B5BB-F9981D449F3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86EE6F91-1017-44DD-A84E-A9F66D9C65F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3C48F61A-CD44-465C-BD71-109A0DE0208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C33E17D9-BB27-4FF9-B1B5-4D09DD8D3AA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A0D48218-BE28-4A56-ACE3-AF6A7699EE9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DBABB736-955F-4CDD-A4F9-A2C73EDC353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7D89B939-0DF9-43A1-A1C7-7CBBBDAAE01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98981B40-DCF9-41B5-A2F7-9750F65F23F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690761DB-1033-4651-B27E-EA9C4049084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0</xdr:row>
      <xdr:rowOff>0</xdr:rowOff>
    </xdr:from>
    <xdr:ext cx="33655" cy="33655"/>
    <xdr:grpSp>
      <xdr:nvGrpSpPr>
        <xdr:cNvPr id="17" name="Group 17">
          <a:extLst>
            <a:ext uri="{FF2B5EF4-FFF2-40B4-BE49-F238E27FC236}">
              <a16:creationId xmlns:a16="http://schemas.microsoft.com/office/drawing/2014/main" id="{22AA1613-3F7D-4D94-A886-93288C93C952}"/>
            </a:ext>
          </a:extLst>
        </xdr:cNvPr>
        <xdr:cNvGrpSpPr/>
      </xdr:nvGrpSpPr>
      <xdr:grpSpPr>
        <a:xfrm>
          <a:off x="4603072" y="0"/>
          <a:ext cx="33655" cy="33655"/>
          <a:chOff x="0" y="0"/>
          <a:chExt cx="33655" cy="33655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3D548EE-B384-45BB-B250-7FF2CC8E985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34BA8067-9CFF-4E06-8AA1-05C9D3BE3E5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F9652145-D940-43B0-9FA1-207460ACB06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1AD7A7B9-5D8C-412C-A024-D8FE3F48197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98BC8CD7-E56D-48AB-9565-A20766A408A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C0B43230-512B-44B1-B40A-CD434E3D775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A8A67F48-B70C-4914-A61D-0880F4758A9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5DB51806-9978-4065-9E78-6919EDDF180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BECF61-3E5D-4C69-9AE2-5B55A8D76F5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8F4AA205-75E0-45CC-A294-C43D7E3EFB3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401199CD-67B2-4365-9DA3-53BB533877F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474D8B62-1419-48E2-85C6-A3A1BB1F790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1E34CCC1-2AB0-4CF8-9C3D-E84C9AC0028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23B14741-B273-4643-8C77-ADC39FB387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0</xdr:row>
      <xdr:rowOff>0</xdr:rowOff>
    </xdr:from>
    <xdr:ext cx="33655" cy="33655"/>
    <xdr:grpSp>
      <xdr:nvGrpSpPr>
        <xdr:cNvPr id="32" name="Group 32">
          <a:extLst>
            <a:ext uri="{FF2B5EF4-FFF2-40B4-BE49-F238E27FC236}">
              <a16:creationId xmlns:a16="http://schemas.microsoft.com/office/drawing/2014/main" id="{DEE4D36F-593B-4804-8A62-7C24E03A6962}"/>
            </a:ext>
          </a:extLst>
        </xdr:cNvPr>
        <xdr:cNvGrpSpPr/>
      </xdr:nvGrpSpPr>
      <xdr:grpSpPr>
        <a:xfrm>
          <a:off x="4603072" y="0"/>
          <a:ext cx="33655" cy="33655"/>
          <a:chOff x="0" y="0"/>
          <a:chExt cx="33655" cy="33655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9CC7EB6C-AB9A-493D-BBA4-B3AD4BB53B6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920BA332-949E-4FE5-9A78-CD5F599BFD9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E97DF39B-4D1C-4739-95A8-23C5FC64616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8080393D-92F4-4B95-8D20-C4D8F122328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882A881A-DA79-4D3C-A49A-EEA30E3470A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C4037AD6-FB0A-4FC6-93BF-98466640438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35A6664-95E8-4148-9E8D-72A370A074C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24CF997-7C51-4928-B245-D780C32FEC7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B68D98B5-1C0D-4F49-A4EA-D38BA5CEB8E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FE3EDC16-7C58-4723-8F5D-7A84ECF7EA0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66E2BDC0-AA06-41CD-B575-B05C4DC02E4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3BF9998A-C6AD-4802-BB8D-EDDD86EB76B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15821853-2AB3-4072-8AD9-9CE79333A71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FB9CBC8B-0CEC-4CB4-B13A-8F29729C629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0</xdr:row>
      <xdr:rowOff>0</xdr:rowOff>
    </xdr:from>
    <xdr:ext cx="33655" cy="33655"/>
    <xdr:grpSp>
      <xdr:nvGrpSpPr>
        <xdr:cNvPr id="47" name="Group 47">
          <a:extLst>
            <a:ext uri="{FF2B5EF4-FFF2-40B4-BE49-F238E27FC236}">
              <a16:creationId xmlns:a16="http://schemas.microsoft.com/office/drawing/2014/main" id="{15643C41-BA89-41CD-A06A-9D94D65FD141}"/>
            </a:ext>
          </a:extLst>
        </xdr:cNvPr>
        <xdr:cNvGrpSpPr/>
      </xdr:nvGrpSpPr>
      <xdr:grpSpPr>
        <a:xfrm>
          <a:off x="4603072" y="0"/>
          <a:ext cx="33655" cy="33655"/>
          <a:chOff x="0" y="0"/>
          <a:chExt cx="33655" cy="33655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574DFD8D-36A1-47FF-88E5-15451914E38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4B5DD78D-56C7-4C62-AFD4-2DB3E349257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94056BF0-FF2A-455F-86BE-47EDD5F1B84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D91B0778-3559-43C2-8014-60470BA46DE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36F4D0C0-0467-4775-A9AA-CFF298D71C8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36C4A1B6-B765-42B3-91FB-5B1A88DE230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FB6339AD-CCB0-4051-9F16-57E65130F91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69289B4D-A0E2-4EEB-ABA8-0418313995F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46F3C0C6-5AE3-4CE0-830F-0F103A4245A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B17AE8F7-8F1B-410E-B6BF-59AB9E0E4E8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BC966A07-795E-419E-98EE-195FCB00A1F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80259E40-4CE5-4FBD-938F-9E8DD755D9A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8F7FACF8-F629-43F5-8E01-3BACF3A0E41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EE7A8F3-2B87-42FB-82F8-DCEF68C34BF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0</xdr:row>
      <xdr:rowOff>0</xdr:rowOff>
    </xdr:from>
    <xdr:ext cx="33655" cy="33655"/>
    <xdr:grpSp>
      <xdr:nvGrpSpPr>
        <xdr:cNvPr id="62" name="Group 62">
          <a:extLst>
            <a:ext uri="{FF2B5EF4-FFF2-40B4-BE49-F238E27FC236}">
              <a16:creationId xmlns:a16="http://schemas.microsoft.com/office/drawing/2014/main" id="{4F927D66-0474-4D12-A22C-EBA35743FAB2}"/>
            </a:ext>
          </a:extLst>
        </xdr:cNvPr>
        <xdr:cNvGrpSpPr/>
      </xdr:nvGrpSpPr>
      <xdr:grpSpPr>
        <a:xfrm>
          <a:off x="4603072" y="0"/>
          <a:ext cx="33655" cy="33655"/>
          <a:chOff x="0" y="0"/>
          <a:chExt cx="33655" cy="33655"/>
        </a:xfrm>
      </xdr:grpSpPr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3F79E26D-BD5B-4A48-9DA9-11CAB51E100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A7A4CDE3-6410-4F02-9DD8-E4C6ACFDE04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E1524701-484C-4C9E-9D99-FD34432D4E7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C2C99178-81A0-4BCE-894D-CA8006AF967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C6ACB5E9-90FB-4D32-8CDC-57FAB62626B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6D161D85-CCA4-4590-95C3-B7D1E5DF080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7D646296-5D10-473C-9577-FBCFEC0FE47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47DDAE6D-0535-453E-B4B0-846DF9D2BF7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6206A401-E9AA-463D-A4D3-00C998E2FBB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C8D97B68-169A-445B-8F46-3F1D1B67BD2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47C608C9-FE07-46FE-9C86-52AFD237245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F4F8F1DA-CA48-4DA8-9278-A01E9ADB0A6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61CB4EF6-B951-4F82-B2BC-3AA1C9825CB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5C2C095D-04E2-4CB9-BB0B-10F27C90160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30</xdr:row>
      <xdr:rowOff>2978</xdr:rowOff>
    </xdr:from>
    <xdr:ext cx="33655" cy="33655"/>
    <xdr:grpSp>
      <xdr:nvGrpSpPr>
        <xdr:cNvPr id="77" name="Group 2">
          <a:extLst>
            <a:ext uri="{FF2B5EF4-FFF2-40B4-BE49-F238E27FC236}">
              <a16:creationId xmlns:a16="http://schemas.microsoft.com/office/drawing/2014/main" id="{14FF7AB4-4324-414A-9245-C28E0798417C}"/>
            </a:ext>
          </a:extLst>
        </xdr:cNvPr>
        <xdr:cNvGrpSpPr/>
      </xdr:nvGrpSpPr>
      <xdr:grpSpPr>
        <a:xfrm>
          <a:off x="4603072" y="5399437"/>
          <a:ext cx="33655" cy="33655"/>
          <a:chOff x="0" y="0"/>
          <a:chExt cx="33655" cy="33655"/>
        </a:xfrm>
      </xdr:grpSpPr>
      <xdr:sp macro="" textlink="">
        <xdr:nvSpPr>
          <xdr:cNvPr id="78" name="Shape 3">
            <a:extLst>
              <a:ext uri="{FF2B5EF4-FFF2-40B4-BE49-F238E27FC236}">
                <a16:creationId xmlns:a16="http://schemas.microsoft.com/office/drawing/2014/main" id="{76ADA3EA-B02E-7E9F-1266-B224BB8406A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" name="Shape 4">
            <a:extLst>
              <a:ext uri="{FF2B5EF4-FFF2-40B4-BE49-F238E27FC236}">
                <a16:creationId xmlns:a16="http://schemas.microsoft.com/office/drawing/2014/main" id="{35CDAD2D-0012-43E5-E86D-391C489AD4F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" name="Shape 5">
            <a:extLst>
              <a:ext uri="{FF2B5EF4-FFF2-40B4-BE49-F238E27FC236}">
                <a16:creationId xmlns:a16="http://schemas.microsoft.com/office/drawing/2014/main" id="{0AFE6470-9AEC-C6FD-AC97-B7FE1682419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" name="Shape 6">
            <a:extLst>
              <a:ext uri="{FF2B5EF4-FFF2-40B4-BE49-F238E27FC236}">
                <a16:creationId xmlns:a16="http://schemas.microsoft.com/office/drawing/2014/main" id="{6BA51EEF-DA0A-0935-2351-C1AEF907A34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" name="Shape 7">
            <a:extLst>
              <a:ext uri="{FF2B5EF4-FFF2-40B4-BE49-F238E27FC236}">
                <a16:creationId xmlns:a16="http://schemas.microsoft.com/office/drawing/2014/main" id="{0EF9F1C0-BB75-31C2-704F-4271A22CE95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3" name="Shape 8">
            <a:extLst>
              <a:ext uri="{FF2B5EF4-FFF2-40B4-BE49-F238E27FC236}">
                <a16:creationId xmlns:a16="http://schemas.microsoft.com/office/drawing/2014/main" id="{29C6E352-7525-96A4-A4A4-081CBA42642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" name="Shape 9">
            <a:extLst>
              <a:ext uri="{FF2B5EF4-FFF2-40B4-BE49-F238E27FC236}">
                <a16:creationId xmlns:a16="http://schemas.microsoft.com/office/drawing/2014/main" id="{A46C440E-9B37-6BE0-1B8B-476C27C3A59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" name="Shape 10">
            <a:extLst>
              <a:ext uri="{FF2B5EF4-FFF2-40B4-BE49-F238E27FC236}">
                <a16:creationId xmlns:a16="http://schemas.microsoft.com/office/drawing/2014/main" id="{B8BD8D1C-27D6-DF2B-2DA7-B18A4A8E85E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6" name="Shape 11">
            <a:extLst>
              <a:ext uri="{FF2B5EF4-FFF2-40B4-BE49-F238E27FC236}">
                <a16:creationId xmlns:a16="http://schemas.microsoft.com/office/drawing/2014/main" id="{129AF970-1D19-73AC-9958-ACD7693FAA4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" name="Shape 12">
            <a:extLst>
              <a:ext uri="{FF2B5EF4-FFF2-40B4-BE49-F238E27FC236}">
                <a16:creationId xmlns:a16="http://schemas.microsoft.com/office/drawing/2014/main" id="{1746AABF-5B0E-6089-F646-C359DC7AC96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" name="Shape 13">
            <a:extLst>
              <a:ext uri="{FF2B5EF4-FFF2-40B4-BE49-F238E27FC236}">
                <a16:creationId xmlns:a16="http://schemas.microsoft.com/office/drawing/2014/main" id="{D21F304E-9A3C-CCD3-F3AD-F1F249897FA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" name="Shape 14">
            <a:extLst>
              <a:ext uri="{FF2B5EF4-FFF2-40B4-BE49-F238E27FC236}">
                <a16:creationId xmlns:a16="http://schemas.microsoft.com/office/drawing/2014/main" id="{FD67585B-8AB0-457F-AE65-0B844101746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" name="Shape 15">
            <a:extLst>
              <a:ext uri="{FF2B5EF4-FFF2-40B4-BE49-F238E27FC236}">
                <a16:creationId xmlns:a16="http://schemas.microsoft.com/office/drawing/2014/main" id="{181C4506-27D6-64EC-1AD4-D41CA60FA3C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" name="Shape 16">
            <a:extLst>
              <a:ext uri="{FF2B5EF4-FFF2-40B4-BE49-F238E27FC236}">
                <a16:creationId xmlns:a16="http://schemas.microsoft.com/office/drawing/2014/main" id="{B8D8C771-8682-DAD3-E658-B6D6F72E1AA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30</xdr:row>
      <xdr:rowOff>3246</xdr:rowOff>
    </xdr:from>
    <xdr:ext cx="33655" cy="33655"/>
    <xdr:grpSp>
      <xdr:nvGrpSpPr>
        <xdr:cNvPr id="92" name="Group 17">
          <a:extLst>
            <a:ext uri="{FF2B5EF4-FFF2-40B4-BE49-F238E27FC236}">
              <a16:creationId xmlns:a16="http://schemas.microsoft.com/office/drawing/2014/main" id="{0A18DB2E-F783-4E12-A61F-89ACCC272734}"/>
            </a:ext>
          </a:extLst>
        </xdr:cNvPr>
        <xdr:cNvGrpSpPr/>
      </xdr:nvGrpSpPr>
      <xdr:grpSpPr>
        <a:xfrm>
          <a:off x="4603072" y="5399705"/>
          <a:ext cx="33655" cy="33655"/>
          <a:chOff x="0" y="0"/>
          <a:chExt cx="33655" cy="33655"/>
        </a:xfrm>
      </xdr:grpSpPr>
      <xdr:sp macro="" textlink="">
        <xdr:nvSpPr>
          <xdr:cNvPr id="93" name="Shape 18">
            <a:extLst>
              <a:ext uri="{FF2B5EF4-FFF2-40B4-BE49-F238E27FC236}">
                <a16:creationId xmlns:a16="http://schemas.microsoft.com/office/drawing/2014/main" id="{ACF0A878-B8BB-1D29-451F-3BC8FAAE0D4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" name="Shape 19">
            <a:extLst>
              <a:ext uri="{FF2B5EF4-FFF2-40B4-BE49-F238E27FC236}">
                <a16:creationId xmlns:a16="http://schemas.microsoft.com/office/drawing/2014/main" id="{C80E5818-34B8-7347-7208-22CF075982D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" name="Shape 20">
            <a:extLst>
              <a:ext uri="{FF2B5EF4-FFF2-40B4-BE49-F238E27FC236}">
                <a16:creationId xmlns:a16="http://schemas.microsoft.com/office/drawing/2014/main" id="{A396EA7B-4BC0-3136-D58D-6FD41D31BCE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" name="Shape 21">
            <a:extLst>
              <a:ext uri="{FF2B5EF4-FFF2-40B4-BE49-F238E27FC236}">
                <a16:creationId xmlns:a16="http://schemas.microsoft.com/office/drawing/2014/main" id="{84E6C95F-0B47-CE72-0B5E-BA15BE2EBBF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" name="Shape 22">
            <a:extLst>
              <a:ext uri="{FF2B5EF4-FFF2-40B4-BE49-F238E27FC236}">
                <a16:creationId xmlns:a16="http://schemas.microsoft.com/office/drawing/2014/main" id="{EBE1E3C6-EF9A-74E3-1F0B-71FBD275C42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" name="Shape 23">
            <a:extLst>
              <a:ext uri="{FF2B5EF4-FFF2-40B4-BE49-F238E27FC236}">
                <a16:creationId xmlns:a16="http://schemas.microsoft.com/office/drawing/2014/main" id="{9FFEB83F-9DA3-1D85-3129-508DFF04C5D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" name="Shape 24">
            <a:extLst>
              <a:ext uri="{FF2B5EF4-FFF2-40B4-BE49-F238E27FC236}">
                <a16:creationId xmlns:a16="http://schemas.microsoft.com/office/drawing/2014/main" id="{17427181-3D80-57D5-AC14-29DD4DC0A63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" name="Shape 25">
            <a:extLst>
              <a:ext uri="{FF2B5EF4-FFF2-40B4-BE49-F238E27FC236}">
                <a16:creationId xmlns:a16="http://schemas.microsoft.com/office/drawing/2014/main" id="{DECD49C6-2024-6326-44A0-3C65F8FAAF4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" name="Shape 26">
            <a:extLst>
              <a:ext uri="{FF2B5EF4-FFF2-40B4-BE49-F238E27FC236}">
                <a16:creationId xmlns:a16="http://schemas.microsoft.com/office/drawing/2014/main" id="{0EFCD08D-6342-659C-731F-9E09B3B0449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" name="Shape 27">
            <a:extLst>
              <a:ext uri="{FF2B5EF4-FFF2-40B4-BE49-F238E27FC236}">
                <a16:creationId xmlns:a16="http://schemas.microsoft.com/office/drawing/2014/main" id="{95A11AD5-EB57-56CA-3D18-2202C54A9F1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" name="Shape 28">
            <a:extLst>
              <a:ext uri="{FF2B5EF4-FFF2-40B4-BE49-F238E27FC236}">
                <a16:creationId xmlns:a16="http://schemas.microsoft.com/office/drawing/2014/main" id="{2F46D36A-C187-825A-520C-1C205A5F907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" name="Shape 29">
            <a:extLst>
              <a:ext uri="{FF2B5EF4-FFF2-40B4-BE49-F238E27FC236}">
                <a16:creationId xmlns:a16="http://schemas.microsoft.com/office/drawing/2014/main" id="{FDC96FF2-5C7A-CD57-2BE3-500D3CDE290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" name="Shape 30">
            <a:extLst>
              <a:ext uri="{FF2B5EF4-FFF2-40B4-BE49-F238E27FC236}">
                <a16:creationId xmlns:a16="http://schemas.microsoft.com/office/drawing/2014/main" id="{77B0D07D-FA3C-5022-E9B5-19F3B0C28C8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" name="Shape 31">
            <a:extLst>
              <a:ext uri="{FF2B5EF4-FFF2-40B4-BE49-F238E27FC236}">
                <a16:creationId xmlns:a16="http://schemas.microsoft.com/office/drawing/2014/main" id="{5544D105-9239-DF9C-B6D2-64A2FC6277D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29</xdr:row>
      <xdr:rowOff>160585</xdr:rowOff>
    </xdr:from>
    <xdr:ext cx="33655" cy="33655"/>
    <xdr:grpSp>
      <xdr:nvGrpSpPr>
        <xdr:cNvPr id="107" name="Group 32">
          <a:extLst>
            <a:ext uri="{FF2B5EF4-FFF2-40B4-BE49-F238E27FC236}">
              <a16:creationId xmlns:a16="http://schemas.microsoft.com/office/drawing/2014/main" id="{F8D47500-663A-4692-924D-B86831D46DEA}"/>
            </a:ext>
          </a:extLst>
        </xdr:cNvPr>
        <xdr:cNvGrpSpPr/>
      </xdr:nvGrpSpPr>
      <xdr:grpSpPr>
        <a:xfrm>
          <a:off x="4603072" y="5388405"/>
          <a:ext cx="33655" cy="33655"/>
          <a:chOff x="0" y="0"/>
          <a:chExt cx="33655" cy="33655"/>
        </a:xfrm>
      </xdr:grpSpPr>
      <xdr:sp macro="" textlink="">
        <xdr:nvSpPr>
          <xdr:cNvPr id="108" name="Shape 33">
            <a:extLst>
              <a:ext uri="{FF2B5EF4-FFF2-40B4-BE49-F238E27FC236}">
                <a16:creationId xmlns:a16="http://schemas.microsoft.com/office/drawing/2014/main" id="{7A72ECA0-0F1B-8315-A691-0756D8E5D9F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" name="Shape 34">
            <a:extLst>
              <a:ext uri="{FF2B5EF4-FFF2-40B4-BE49-F238E27FC236}">
                <a16:creationId xmlns:a16="http://schemas.microsoft.com/office/drawing/2014/main" id="{17A8741B-E672-6F99-6CF6-8576C557EBB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" name="Shape 35">
            <a:extLst>
              <a:ext uri="{FF2B5EF4-FFF2-40B4-BE49-F238E27FC236}">
                <a16:creationId xmlns:a16="http://schemas.microsoft.com/office/drawing/2014/main" id="{7F217BF5-98CF-AEED-93DA-1833CEEE209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" name="Shape 36">
            <a:extLst>
              <a:ext uri="{FF2B5EF4-FFF2-40B4-BE49-F238E27FC236}">
                <a16:creationId xmlns:a16="http://schemas.microsoft.com/office/drawing/2014/main" id="{DDD7BADE-E056-6F64-A839-4EEAB5495D8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2" name="Shape 37">
            <a:extLst>
              <a:ext uri="{FF2B5EF4-FFF2-40B4-BE49-F238E27FC236}">
                <a16:creationId xmlns:a16="http://schemas.microsoft.com/office/drawing/2014/main" id="{47A4D919-82BC-634A-9B0A-4DBFF8BB95C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3" name="Shape 38">
            <a:extLst>
              <a:ext uri="{FF2B5EF4-FFF2-40B4-BE49-F238E27FC236}">
                <a16:creationId xmlns:a16="http://schemas.microsoft.com/office/drawing/2014/main" id="{9AE7BDDC-69F7-4F43-CA4F-7B3F7DC2A30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4" name="Shape 39">
            <a:extLst>
              <a:ext uri="{FF2B5EF4-FFF2-40B4-BE49-F238E27FC236}">
                <a16:creationId xmlns:a16="http://schemas.microsoft.com/office/drawing/2014/main" id="{E66DCF65-2840-304B-7ED0-C8AEE3C3563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5" name="Shape 40">
            <a:extLst>
              <a:ext uri="{FF2B5EF4-FFF2-40B4-BE49-F238E27FC236}">
                <a16:creationId xmlns:a16="http://schemas.microsoft.com/office/drawing/2014/main" id="{6F597EB9-49AE-AF01-0EFA-EC38355F613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6" name="Shape 41">
            <a:extLst>
              <a:ext uri="{FF2B5EF4-FFF2-40B4-BE49-F238E27FC236}">
                <a16:creationId xmlns:a16="http://schemas.microsoft.com/office/drawing/2014/main" id="{D38F2A40-269A-1269-2763-0A23A5E556D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7" name="Shape 42">
            <a:extLst>
              <a:ext uri="{FF2B5EF4-FFF2-40B4-BE49-F238E27FC236}">
                <a16:creationId xmlns:a16="http://schemas.microsoft.com/office/drawing/2014/main" id="{554C9886-DA6C-1B72-1361-0ACB6E782E4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8" name="Shape 43">
            <a:extLst>
              <a:ext uri="{FF2B5EF4-FFF2-40B4-BE49-F238E27FC236}">
                <a16:creationId xmlns:a16="http://schemas.microsoft.com/office/drawing/2014/main" id="{4625FC4A-DB29-F0EE-BC56-12674967D32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9" name="Shape 44">
            <a:extLst>
              <a:ext uri="{FF2B5EF4-FFF2-40B4-BE49-F238E27FC236}">
                <a16:creationId xmlns:a16="http://schemas.microsoft.com/office/drawing/2014/main" id="{9F3534B9-6DE7-3CAE-C368-ECD55FFF7DC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0" name="Shape 45">
            <a:extLst>
              <a:ext uri="{FF2B5EF4-FFF2-40B4-BE49-F238E27FC236}">
                <a16:creationId xmlns:a16="http://schemas.microsoft.com/office/drawing/2014/main" id="{DC65700F-576C-7065-AB4D-ED184487E2B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1" name="Shape 46">
            <a:extLst>
              <a:ext uri="{FF2B5EF4-FFF2-40B4-BE49-F238E27FC236}">
                <a16:creationId xmlns:a16="http://schemas.microsoft.com/office/drawing/2014/main" id="{CFB3F10F-77B0-A462-6EDC-290C1529E5F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30</xdr:row>
      <xdr:rowOff>3409</xdr:rowOff>
    </xdr:from>
    <xdr:ext cx="33655" cy="33655"/>
    <xdr:grpSp>
      <xdr:nvGrpSpPr>
        <xdr:cNvPr id="122" name="Group 47">
          <a:extLst>
            <a:ext uri="{FF2B5EF4-FFF2-40B4-BE49-F238E27FC236}">
              <a16:creationId xmlns:a16="http://schemas.microsoft.com/office/drawing/2014/main" id="{C417FD67-32D4-4EB7-8FF4-AB4ACA4B483A}"/>
            </a:ext>
          </a:extLst>
        </xdr:cNvPr>
        <xdr:cNvGrpSpPr/>
      </xdr:nvGrpSpPr>
      <xdr:grpSpPr>
        <a:xfrm>
          <a:off x="4603072" y="5399868"/>
          <a:ext cx="33655" cy="33655"/>
          <a:chOff x="0" y="0"/>
          <a:chExt cx="33655" cy="33655"/>
        </a:xfrm>
      </xdr:grpSpPr>
      <xdr:sp macro="" textlink="">
        <xdr:nvSpPr>
          <xdr:cNvPr id="123" name="Shape 48">
            <a:extLst>
              <a:ext uri="{FF2B5EF4-FFF2-40B4-BE49-F238E27FC236}">
                <a16:creationId xmlns:a16="http://schemas.microsoft.com/office/drawing/2014/main" id="{CB106595-420D-D7F7-B1E1-2D2A695AE05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4" name="Shape 49">
            <a:extLst>
              <a:ext uri="{FF2B5EF4-FFF2-40B4-BE49-F238E27FC236}">
                <a16:creationId xmlns:a16="http://schemas.microsoft.com/office/drawing/2014/main" id="{996F1E54-540E-F1AB-BBF8-758D1BE41C9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5" name="Shape 50">
            <a:extLst>
              <a:ext uri="{FF2B5EF4-FFF2-40B4-BE49-F238E27FC236}">
                <a16:creationId xmlns:a16="http://schemas.microsoft.com/office/drawing/2014/main" id="{5F731B66-11B7-2D04-B8B1-8C98655E28F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6" name="Shape 51">
            <a:extLst>
              <a:ext uri="{FF2B5EF4-FFF2-40B4-BE49-F238E27FC236}">
                <a16:creationId xmlns:a16="http://schemas.microsoft.com/office/drawing/2014/main" id="{ACEB1AB4-DA0F-78D8-896F-FDD06FFD6B2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7" name="Shape 52">
            <a:extLst>
              <a:ext uri="{FF2B5EF4-FFF2-40B4-BE49-F238E27FC236}">
                <a16:creationId xmlns:a16="http://schemas.microsoft.com/office/drawing/2014/main" id="{5636B3F9-C15F-6AED-28BC-3908A66CA55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8" name="Shape 53">
            <a:extLst>
              <a:ext uri="{FF2B5EF4-FFF2-40B4-BE49-F238E27FC236}">
                <a16:creationId xmlns:a16="http://schemas.microsoft.com/office/drawing/2014/main" id="{395C4EF3-AF90-7944-5B5B-51631A3ABF9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9" name="Shape 54">
            <a:extLst>
              <a:ext uri="{FF2B5EF4-FFF2-40B4-BE49-F238E27FC236}">
                <a16:creationId xmlns:a16="http://schemas.microsoft.com/office/drawing/2014/main" id="{1465B974-55D5-7ACE-BA4E-EEAE30C6FC0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30" name="Shape 55">
            <a:extLst>
              <a:ext uri="{FF2B5EF4-FFF2-40B4-BE49-F238E27FC236}">
                <a16:creationId xmlns:a16="http://schemas.microsoft.com/office/drawing/2014/main" id="{BE3CD209-1B22-1FB6-7FA9-D24BDE6C3C3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31" name="Shape 56">
            <a:extLst>
              <a:ext uri="{FF2B5EF4-FFF2-40B4-BE49-F238E27FC236}">
                <a16:creationId xmlns:a16="http://schemas.microsoft.com/office/drawing/2014/main" id="{7AE30FB7-8DB4-0D35-9AFE-47AEA49A47B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32" name="Shape 57">
            <a:extLst>
              <a:ext uri="{FF2B5EF4-FFF2-40B4-BE49-F238E27FC236}">
                <a16:creationId xmlns:a16="http://schemas.microsoft.com/office/drawing/2014/main" id="{BDF78688-6036-34EF-B9BB-D38372CE949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33" name="Shape 58">
            <a:extLst>
              <a:ext uri="{FF2B5EF4-FFF2-40B4-BE49-F238E27FC236}">
                <a16:creationId xmlns:a16="http://schemas.microsoft.com/office/drawing/2014/main" id="{91FE40D7-58C6-3913-1A28-BD6CD1F066B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34" name="Shape 59">
            <a:extLst>
              <a:ext uri="{FF2B5EF4-FFF2-40B4-BE49-F238E27FC236}">
                <a16:creationId xmlns:a16="http://schemas.microsoft.com/office/drawing/2014/main" id="{FB1B5EB6-91AC-75BD-D41B-C41C983C21E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35" name="Shape 60">
            <a:extLst>
              <a:ext uri="{FF2B5EF4-FFF2-40B4-BE49-F238E27FC236}">
                <a16:creationId xmlns:a16="http://schemas.microsoft.com/office/drawing/2014/main" id="{615648DB-8DA7-0EA7-0492-C09EC590B38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36" name="Shape 61">
            <a:extLst>
              <a:ext uri="{FF2B5EF4-FFF2-40B4-BE49-F238E27FC236}">
                <a16:creationId xmlns:a16="http://schemas.microsoft.com/office/drawing/2014/main" id="{0B78D762-2934-B491-2551-BABAE666225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29</xdr:row>
      <xdr:rowOff>160844</xdr:rowOff>
    </xdr:from>
    <xdr:ext cx="33655" cy="33655"/>
    <xdr:grpSp>
      <xdr:nvGrpSpPr>
        <xdr:cNvPr id="137" name="Group 62">
          <a:extLst>
            <a:ext uri="{FF2B5EF4-FFF2-40B4-BE49-F238E27FC236}">
              <a16:creationId xmlns:a16="http://schemas.microsoft.com/office/drawing/2014/main" id="{01CBE6AE-D625-4ED7-B868-E973D850167F}"/>
            </a:ext>
          </a:extLst>
        </xdr:cNvPr>
        <xdr:cNvGrpSpPr/>
      </xdr:nvGrpSpPr>
      <xdr:grpSpPr>
        <a:xfrm>
          <a:off x="4603072" y="5388664"/>
          <a:ext cx="33655" cy="33655"/>
          <a:chOff x="0" y="0"/>
          <a:chExt cx="33655" cy="33655"/>
        </a:xfrm>
      </xdr:grpSpPr>
      <xdr:sp macro="" textlink="">
        <xdr:nvSpPr>
          <xdr:cNvPr id="138" name="Shape 63">
            <a:extLst>
              <a:ext uri="{FF2B5EF4-FFF2-40B4-BE49-F238E27FC236}">
                <a16:creationId xmlns:a16="http://schemas.microsoft.com/office/drawing/2014/main" id="{0B76B97C-72E2-1A4D-27DB-94E4355C7C2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39" name="Shape 64">
            <a:extLst>
              <a:ext uri="{FF2B5EF4-FFF2-40B4-BE49-F238E27FC236}">
                <a16:creationId xmlns:a16="http://schemas.microsoft.com/office/drawing/2014/main" id="{E803F8F5-9A7C-09AF-8EEC-1E3DA4B10C4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0" name="Shape 65">
            <a:extLst>
              <a:ext uri="{FF2B5EF4-FFF2-40B4-BE49-F238E27FC236}">
                <a16:creationId xmlns:a16="http://schemas.microsoft.com/office/drawing/2014/main" id="{4A342444-9C21-3FFE-C31D-E11743A8B49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1" name="Shape 66">
            <a:extLst>
              <a:ext uri="{FF2B5EF4-FFF2-40B4-BE49-F238E27FC236}">
                <a16:creationId xmlns:a16="http://schemas.microsoft.com/office/drawing/2014/main" id="{70F02616-1632-1C75-4BE6-E27CBC9C98C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2" name="Shape 67">
            <a:extLst>
              <a:ext uri="{FF2B5EF4-FFF2-40B4-BE49-F238E27FC236}">
                <a16:creationId xmlns:a16="http://schemas.microsoft.com/office/drawing/2014/main" id="{4D56C1C0-1967-3692-F393-AB3AD6C4646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3" name="Shape 68">
            <a:extLst>
              <a:ext uri="{FF2B5EF4-FFF2-40B4-BE49-F238E27FC236}">
                <a16:creationId xmlns:a16="http://schemas.microsoft.com/office/drawing/2014/main" id="{E62CAF4D-BBE8-2F62-5914-910A55A260A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4" name="Shape 69">
            <a:extLst>
              <a:ext uri="{FF2B5EF4-FFF2-40B4-BE49-F238E27FC236}">
                <a16:creationId xmlns:a16="http://schemas.microsoft.com/office/drawing/2014/main" id="{DC2BA853-D30F-0748-38CB-F509455BDF5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5" name="Shape 70">
            <a:extLst>
              <a:ext uri="{FF2B5EF4-FFF2-40B4-BE49-F238E27FC236}">
                <a16:creationId xmlns:a16="http://schemas.microsoft.com/office/drawing/2014/main" id="{4A0F3F09-FF01-66BC-BA11-DF009E9D4BE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6" name="Shape 71">
            <a:extLst>
              <a:ext uri="{FF2B5EF4-FFF2-40B4-BE49-F238E27FC236}">
                <a16:creationId xmlns:a16="http://schemas.microsoft.com/office/drawing/2014/main" id="{BE33B956-E455-F29C-B292-B5767E0DCF5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7" name="Shape 72">
            <a:extLst>
              <a:ext uri="{FF2B5EF4-FFF2-40B4-BE49-F238E27FC236}">
                <a16:creationId xmlns:a16="http://schemas.microsoft.com/office/drawing/2014/main" id="{96B31A19-FE4F-7ED3-0AE7-89788B7AEF1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8" name="Shape 73">
            <a:extLst>
              <a:ext uri="{FF2B5EF4-FFF2-40B4-BE49-F238E27FC236}">
                <a16:creationId xmlns:a16="http://schemas.microsoft.com/office/drawing/2014/main" id="{A8BE175B-D5DB-16B2-2849-85F8A40197A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9" name="Shape 74">
            <a:extLst>
              <a:ext uri="{FF2B5EF4-FFF2-40B4-BE49-F238E27FC236}">
                <a16:creationId xmlns:a16="http://schemas.microsoft.com/office/drawing/2014/main" id="{8C90B6B7-C8CE-112F-B787-3C9C8371C12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0" name="Shape 75">
            <a:extLst>
              <a:ext uri="{FF2B5EF4-FFF2-40B4-BE49-F238E27FC236}">
                <a16:creationId xmlns:a16="http://schemas.microsoft.com/office/drawing/2014/main" id="{9239E7D6-A2D8-0034-0792-EEB7CABF015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1" name="Shape 76">
            <a:extLst>
              <a:ext uri="{FF2B5EF4-FFF2-40B4-BE49-F238E27FC236}">
                <a16:creationId xmlns:a16="http://schemas.microsoft.com/office/drawing/2014/main" id="{97B609D0-2826-FA70-6E38-534946675DE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41</xdr:row>
      <xdr:rowOff>2978</xdr:rowOff>
    </xdr:from>
    <xdr:ext cx="33655" cy="33655"/>
    <xdr:grpSp>
      <xdr:nvGrpSpPr>
        <xdr:cNvPr id="1127" name="Group 2">
          <a:extLst>
            <a:ext uri="{FF2B5EF4-FFF2-40B4-BE49-F238E27FC236}">
              <a16:creationId xmlns:a16="http://schemas.microsoft.com/office/drawing/2014/main" id="{D6AB4FBB-13DD-4142-BC6A-37D13238B629}"/>
            </a:ext>
          </a:extLst>
        </xdr:cNvPr>
        <xdr:cNvGrpSpPr/>
      </xdr:nvGrpSpPr>
      <xdr:grpSpPr>
        <a:xfrm>
          <a:off x="4603072" y="7560519"/>
          <a:ext cx="33655" cy="33655"/>
          <a:chOff x="0" y="0"/>
          <a:chExt cx="33655" cy="33655"/>
        </a:xfrm>
      </xdr:grpSpPr>
      <xdr:sp macro="" textlink="">
        <xdr:nvSpPr>
          <xdr:cNvPr id="1128" name="Shape 3">
            <a:extLst>
              <a:ext uri="{FF2B5EF4-FFF2-40B4-BE49-F238E27FC236}">
                <a16:creationId xmlns:a16="http://schemas.microsoft.com/office/drawing/2014/main" id="{FEDAA11A-B28C-32FE-7029-947C096A0EC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29" name="Shape 4">
            <a:extLst>
              <a:ext uri="{FF2B5EF4-FFF2-40B4-BE49-F238E27FC236}">
                <a16:creationId xmlns:a16="http://schemas.microsoft.com/office/drawing/2014/main" id="{5B6ED99E-D699-F26C-4421-B07943DBF10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30" name="Shape 5">
            <a:extLst>
              <a:ext uri="{FF2B5EF4-FFF2-40B4-BE49-F238E27FC236}">
                <a16:creationId xmlns:a16="http://schemas.microsoft.com/office/drawing/2014/main" id="{63E806DD-59F6-56DE-F72F-F86CA82EA22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31" name="Shape 6">
            <a:extLst>
              <a:ext uri="{FF2B5EF4-FFF2-40B4-BE49-F238E27FC236}">
                <a16:creationId xmlns:a16="http://schemas.microsoft.com/office/drawing/2014/main" id="{4D42354C-4F80-F679-568A-C1E3DC5AC67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32" name="Shape 7">
            <a:extLst>
              <a:ext uri="{FF2B5EF4-FFF2-40B4-BE49-F238E27FC236}">
                <a16:creationId xmlns:a16="http://schemas.microsoft.com/office/drawing/2014/main" id="{D3D542C1-7FA6-DC80-7709-98158B978B5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33" name="Shape 8">
            <a:extLst>
              <a:ext uri="{FF2B5EF4-FFF2-40B4-BE49-F238E27FC236}">
                <a16:creationId xmlns:a16="http://schemas.microsoft.com/office/drawing/2014/main" id="{914B10F2-4AD6-13C3-0AD9-D180130FBA3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34" name="Shape 9">
            <a:extLst>
              <a:ext uri="{FF2B5EF4-FFF2-40B4-BE49-F238E27FC236}">
                <a16:creationId xmlns:a16="http://schemas.microsoft.com/office/drawing/2014/main" id="{96500784-B49F-7352-615A-5980553DF83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35" name="Shape 10">
            <a:extLst>
              <a:ext uri="{FF2B5EF4-FFF2-40B4-BE49-F238E27FC236}">
                <a16:creationId xmlns:a16="http://schemas.microsoft.com/office/drawing/2014/main" id="{35948820-A69E-10B4-0EBE-208E042C00F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36" name="Shape 11">
            <a:extLst>
              <a:ext uri="{FF2B5EF4-FFF2-40B4-BE49-F238E27FC236}">
                <a16:creationId xmlns:a16="http://schemas.microsoft.com/office/drawing/2014/main" id="{31207772-85C0-CE38-EED6-6CB08E0B4C6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37" name="Shape 12">
            <a:extLst>
              <a:ext uri="{FF2B5EF4-FFF2-40B4-BE49-F238E27FC236}">
                <a16:creationId xmlns:a16="http://schemas.microsoft.com/office/drawing/2014/main" id="{6D29257B-30EE-9E22-1A7A-D20EC4A1686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38" name="Shape 13">
            <a:extLst>
              <a:ext uri="{FF2B5EF4-FFF2-40B4-BE49-F238E27FC236}">
                <a16:creationId xmlns:a16="http://schemas.microsoft.com/office/drawing/2014/main" id="{5DC05F4F-4121-363B-C104-733E9495324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39" name="Shape 14">
            <a:extLst>
              <a:ext uri="{FF2B5EF4-FFF2-40B4-BE49-F238E27FC236}">
                <a16:creationId xmlns:a16="http://schemas.microsoft.com/office/drawing/2014/main" id="{E572309D-604C-F027-C3ED-D988EEC5B75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40" name="Shape 15">
            <a:extLst>
              <a:ext uri="{FF2B5EF4-FFF2-40B4-BE49-F238E27FC236}">
                <a16:creationId xmlns:a16="http://schemas.microsoft.com/office/drawing/2014/main" id="{4D625A91-7A9F-2CD7-E4F5-789789E79A5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41" name="Shape 16">
            <a:extLst>
              <a:ext uri="{FF2B5EF4-FFF2-40B4-BE49-F238E27FC236}">
                <a16:creationId xmlns:a16="http://schemas.microsoft.com/office/drawing/2014/main" id="{79A7B408-73C2-2881-BADB-7721DC4BF0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41</xdr:row>
      <xdr:rowOff>3246</xdr:rowOff>
    </xdr:from>
    <xdr:ext cx="33655" cy="33655"/>
    <xdr:grpSp>
      <xdr:nvGrpSpPr>
        <xdr:cNvPr id="1142" name="Group 17">
          <a:extLst>
            <a:ext uri="{FF2B5EF4-FFF2-40B4-BE49-F238E27FC236}">
              <a16:creationId xmlns:a16="http://schemas.microsoft.com/office/drawing/2014/main" id="{66477CF1-7937-4931-9F4B-6C575D9F3B18}"/>
            </a:ext>
          </a:extLst>
        </xdr:cNvPr>
        <xdr:cNvGrpSpPr/>
      </xdr:nvGrpSpPr>
      <xdr:grpSpPr>
        <a:xfrm>
          <a:off x="4603072" y="7560787"/>
          <a:ext cx="33655" cy="33655"/>
          <a:chOff x="0" y="0"/>
          <a:chExt cx="33655" cy="33655"/>
        </a:xfrm>
      </xdr:grpSpPr>
      <xdr:sp macro="" textlink="">
        <xdr:nvSpPr>
          <xdr:cNvPr id="1143" name="Shape 18">
            <a:extLst>
              <a:ext uri="{FF2B5EF4-FFF2-40B4-BE49-F238E27FC236}">
                <a16:creationId xmlns:a16="http://schemas.microsoft.com/office/drawing/2014/main" id="{CAA6B630-8C16-F060-47C4-634480A51B4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44" name="Shape 19">
            <a:extLst>
              <a:ext uri="{FF2B5EF4-FFF2-40B4-BE49-F238E27FC236}">
                <a16:creationId xmlns:a16="http://schemas.microsoft.com/office/drawing/2014/main" id="{D1817A12-438C-50F6-32AA-410DAC73B13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45" name="Shape 20">
            <a:extLst>
              <a:ext uri="{FF2B5EF4-FFF2-40B4-BE49-F238E27FC236}">
                <a16:creationId xmlns:a16="http://schemas.microsoft.com/office/drawing/2014/main" id="{5542AFA8-53B7-6B38-C455-BB4DFB23C16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46" name="Shape 21">
            <a:extLst>
              <a:ext uri="{FF2B5EF4-FFF2-40B4-BE49-F238E27FC236}">
                <a16:creationId xmlns:a16="http://schemas.microsoft.com/office/drawing/2014/main" id="{F1E05EA5-8B7C-DBD2-5527-259041EF865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47" name="Shape 22">
            <a:extLst>
              <a:ext uri="{FF2B5EF4-FFF2-40B4-BE49-F238E27FC236}">
                <a16:creationId xmlns:a16="http://schemas.microsoft.com/office/drawing/2014/main" id="{A431C350-7FCA-8D4A-6055-2F6BB095328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48" name="Shape 23">
            <a:extLst>
              <a:ext uri="{FF2B5EF4-FFF2-40B4-BE49-F238E27FC236}">
                <a16:creationId xmlns:a16="http://schemas.microsoft.com/office/drawing/2014/main" id="{EBCC586A-F1AF-5402-A5B6-0014A6D69CE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49" name="Shape 24">
            <a:extLst>
              <a:ext uri="{FF2B5EF4-FFF2-40B4-BE49-F238E27FC236}">
                <a16:creationId xmlns:a16="http://schemas.microsoft.com/office/drawing/2014/main" id="{EA5A9ADA-B784-9E99-F8E5-74DCA6DBA4A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50" name="Shape 25">
            <a:extLst>
              <a:ext uri="{FF2B5EF4-FFF2-40B4-BE49-F238E27FC236}">
                <a16:creationId xmlns:a16="http://schemas.microsoft.com/office/drawing/2014/main" id="{0C8FF65C-6BE9-3119-A13B-8CD1EAA78B7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51" name="Shape 26">
            <a:extLst>
              <a:ext uri="{FF2B5EF4-FFF2-40B4-BE49-F238E27FC236}">
                <a16:creationId xmlns:a16="http://schemas.microsoft.com/office/drawing/2014/main" id="{85062536-CDB9-7B6F-D693-F9ED9F85DC1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52" name="Shape 27">
            <a:extLst>
              <a:ext uri="{FF2B5EF4-FFF2-40B4-BE49-F238E27FC236}">
                <a16:creationId xmlns:a16="http://schemas.microsoft.com/office/drawing/2014/main" id="{F1596F12-8CF3-9DA1-E08D-4F2DFA8D20A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53" name="Shape 28">
            <a:extLst>
              <a:ext uri="{FF2B5EF4-FFF2-40B4-BE49-F238E27FC236}">
                <a16:creationId xmlns:a16="http://schemas.microsoft.com/office/drawing/2014/main" id="{23F1C534-F871-F3E1-4F3F-996A31AE4DB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54" name="Shape 29">
            <a:extLst>
              <a:ext uri="{FF2B5EF4-FFF2-40B4-BE49-F238E27FC236}">
                <a16:creationId xmlns:a16="http://schemas.microsoft.com/office/drawing/2014/main" id="{3C9107E5-1CC4-4CB1-C7FD-A268492C5DB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55" name="Shape 30">
            <a:extLst>
              <a:ext uri="{FF2B5EF4-FFF2-40B4-BE49-F238E27FC236}">
                <a16:creationId xmlns:a16="http://schemas.microsoft.com/office/drawing/2014/main" id="{6AAC6935-21B3-386B-FEF9-451E327469D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56" name="Shape 31">
            <a:extLst>
              <a:ext uri="{FF2B5EF4-FFF2-40B4-BE49-F238E27FC236}">
                <a16:creationId xmlns:a16="http://schemas.microsoft.com/office/drawing/2014/main" id="{06BE48A2-0C81-2D53-83C3-DC3680BFA0E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</xdr:row>
      <xdr:rowOff>160585</xdr:rowOff>
    </xdr:from>
    <xdr:ext cx="33655" cy="33655"/>
    <xdr:grpSp>
      <xdr:nvGrpSpPr>
        <xdr:cNvPr id="1157" name="Group 32">
          <a:extLst>
            <a:ext uri="{FF2B5EF4-FFF2-40B4-BE49-F238E27FC236}">
              <a16:creationId xmlns:a16="http://schemas.microsoft.com/office/drawing/2014/main" id="{2B9813FB-EE10-42CC-8120-4A31B3BDD232}"/>
            </a:ext>
          </a:extLst>
        </xdr:cNvPr>
        <xdr:cNvGrpSpPr/>
      </xdr:nvGrpSpPr>
      <xdr:grpSpPr>
        <a:xfrm>
          <a:off x="4603072" y="7549487"/>
          <a:ext cx="33655" cy="33655"/>
          <a:chOff x="0" y="0"/>
          <a:chExt cx="33655" cy="33655"/>
        </a:xfrm>
      </xdr:grpSpPr>
      <xdr:sp macro="" textlink="">
        <xdr:nvSpPr>
          <xdr:cNvPr id="1158" name="Shape 33">
            <a:extLst>
              <a:ext uri="{FF2B5EF4-FFF2-40B4-BE49-F238E27FC236}">
                <a16:creationId xmlns:a16="http://schemas.microsoft.com/office/drawing/2014/main" id="{C4164E26-39CC-1F2A-730A-CF1972FB627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59" name="Shape 34">
            <a:extLst>
              <a:ext uri="{FF2B5EF4-FFF2-40B4-BE49-F238E27FC236}">
                <a16:creationId xmlns:a16="http://schemas.microsoft.com/office/drawing/2014/main" id="{00EE1E69-6FDB-457F-0BEF-AB1189F83BA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60" name="Shape 35">
            <a:extLst>
              <a:ext uri="{FF2B5EF4-FFF2-40B4-BE49-F238E27FC236}">
                <a16:creationId xmlns:a16="http://schemas.microsoft.com/office/drawing/2014/main" id="{5B00746C-7D1C-E01A-D44F-8889F9338F7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61" name="Shape 36">
            <a:extLst>
              <a:ext uri="{FF2B5EF4-FFF2-40B4-BE49-F238E27FC236}">
                <a16:creationId xmlns:a16="http://schemas.microsoft.com/office/drawing/2014/main" id="{4137A4DD-A254-8490-AA25-D53E362F306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62" name="Shape 37">
            <a:extLst>
              <a:ext uri="{FF2B5EF4-FFF2-40B4-BE49-F238E27FC236}">
                <a16:creationId xmlns:a16="http://schemas.microsoft.com/office/drawing/2014/main" id="{884F6A4F-95EC-09D5-868F-F7B400035B0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63" name="Shape 38">
            <a:extLst>
              <a:ext uri="{FF2B5EF4-FFF2-40B4-BE49-F238E27FC236}">
                <a16:creationId xmlns:a16="http://schemas.microsoft.com/office/drawing/2014/main" id="{EA0EB3EE-5A04-B3AE-F356-CED4E80399B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64" name="Shape 39">
            <a:extLst>
              <a:ext uri="{FF2B5EF4-FFF2-40B4-BE49-F238E27FC236}">
                <a16:creationId xmlns:a16="http://schemas.microsoft.com/office/drawing/2014/main" id="{4E915378-ACA1-1DE6-7A70-9934F954A18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65" name="Shape 40">
            <a:extLst>
              <a:ext uri="{FF2B5EF4-FFF2-40B4-BE49-F238E27FC236}">
                <a16:creationId xmlns:a16="http://schemas.microsoft.com/office/drawing/2014/main" id="{DD05602A-99EC-C4F0-998B-74956649E71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66" name="Shape 41">
            <a:extLst>
              <a:ext uri="{FF2B5EF4-FFF2-40B4-BE49-F238E27FC236}">
                <a16:creationId xmlns:a16="http://schemas.microsoft.com/office/drawing/2014/main" id="{0ADEADF9-DEE0-0E2F-0C9F-913C2F462EC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67" name="Shape 42">
            <a:extLst>
              <a:ext uri="{FF2B5EF4-FFF2-40B4-BE49-F238E27FC236}">
                <a16:creationId xmlns:a16="http://schemas.microsoft.com/office/drawing/2014/main" id="{DC75D278-18C3-A216-B4F6-61E107ED5A1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68" name="Shape 43">
            <a:extLst>
              <a:ext uri="{FF2B5EF4-FFF2-40B4-BE49-F238E27FC236}">
                <a16:creationId xmlns:a16="http://schemas.microsoft.com/office/drawing/2014/main" id="{8D40C36A-6C91-A9C8-1DA9-9A1A525DD26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69" name="Shape 44">
            <a:extLst>
              <a:ext uri="{FF2B5EF4-FFF2-40B4-BE49-F238E27FC236}">
                <a16:creationId xmlns:a16="http://schemas.microsoft.com/office/drawing/2014/main" id="{7EC12CA2-B3A6-A373-80EF-1E8DF0F3A45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70" name="Shape 45">
            <a:extLst>
              <a:ext uri="{FF2B5EF4-FFF2-40B4-BE49-F238E27FC236}">
                <a16:creationId xmlns:a16="http://schemas.microsoft.com/office/drawing/2014/main" id="{D62F8AD5-4F79-8772-E1CE-9294A4FB152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71" name="Shape 46">
            <a:extLst>
              <a:ext uri="{FF2B5EF4-FFF2-40B4-BE49-F238E27FC236}">
                <a16:creationId xmlns:a16="http://schemas.microsoft.com/office/drawing/2014/main" id="{61DBC8C8-2E9F-E3D3-7864-AB9A94D19C8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41</xdr:row>
      <xdr:rowOff>3409</xdr:rowOff>
    </xdr:from>
    <xdr:ext cx="33655" cy="33655"/>
    <xdr:grpSp>
      <xdr:nvGrpSpPr>
        <xdr:cNvPr id="1172" name="Group 47">
          <a:extLst>
            <a:ext uri="{FF2B5EF4-FFF2-40B4-BE49-F238E27FC236}">
              <a16:creationId xmlns:a16="http://schemas.microsoft.com/office/drawing/2014/main" id="{9BA79AD6-0958-4911-9F3C-349EB6FD9A1E}"/>
            </a:ext>
          </a:extLst>
        </xdr:cNvPr>
        <xdr:cNvGrpSpPr/>
      </xdr:nvGrpSpPr>
      <xdr:grpSpPr>
        <a:xfrm>
          <a:off x="4603072" y="7560950"/>
          <a:ext cx="33655" cy="33655"/>
          <a:chOff x="0" y="0"/>
          <a:chExt cx="33655" cy="33655"/>
        </a:xfrm>
      </xdr:grpSpPr>
      <xdr:sp macro="" textlink="">
        <xdr:nvSpPr>
          <xdr:cNvPr id="1173" name="Shape 48">
            <a:extLst>
              <a:ext uri="{FF2B5EF4-FFF2-40B4-BE49-F238E27FC236}">
                <a16:creationId xmlns:a16="http://schemas.microsoft.com/office/drawing/2014/main" id="{9819EFB1-1FAA-98EC-ECD8-9E156B5B917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74" name="Shape 49">
            <a:extLst>
              <a:ext uri="{FF2B5EF4-FFF2-40B4-BE49-F238E27FC236}">
                <a16:creationId xmlns:a16="http://schemas.microsoft.com/office/drawing/2014/main" id="{2E2A6F8B-3F17-0F48-C120-9B422A4B257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75" name="Shape 50">
            <a:extLst>
              <a:ext uri="{FF2B5EF4-FFF2-40B4-BE49-F238E27FC236}">
                <a16:creationId xmlns:a16="http://schemas.microsoft.com/office/drawing/2014/main" id="{EA949ED5-BD82-A78F-5A0A-343414449CE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76" name="Shape 51">
            <a:extLst>
              <a:ext uri="{FF2B5EF4-FFF2-40B4-BE49-F238E27FC236}">
                <a16:creationId xmlns:a16="http://schemas.microsoft.com/office/drawing/2014/main" id="{CE7E738E-5B7C-36B8-D5C3-F38319FB93C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77" name="Shape 52">
            <a:extLst>
              <a:ext uri="{FF2B5EF4-FFF2-40B4-BE49-F238E27FC236}">
                <a16:creationId xmlns:a16="http://schemas.microsoft.com/office/drawing/2014/main" id="{3FE15B62-63CC-6FD9-1790-A7201CBF508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78" name="Shape 53">
            <a:extLst>
              <a:ext uri="{FF2B5EF4-FFF2-40B4-BE49-F238E27FC236}">
                <a16:creationId xmlns:a16="http://schemas.microsoft.com/office/drawing/2014/main" id="{E8660F18-E706-746C-CD5C-13DEA0DE0EC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79" name="Shape 54">
            <a:extLst>
              <a:ext uri="{FF2B5EF4-FFF2-40B4-BE49-F238E27FC236}">
                <a16:creationId xmlns:a16="http://schemas.microsoft.com/office/drawing/2014/main" id="{4BAE0804-C89C-F2A1-1ECD-335718EA905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80" name="Shape 55">
            <a:extLst>
              <a:ext uri="{FF2B5EF4-FFF2-40B4-BE49-F238E27FC236}">
                <a16:creationId xmlns:a16="http://schemas.microsoft.com/office/drawing/2014/main" id="{1075AE7A-4B79-9603-3D5F-775CD795914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81" name="Shape 56">
            <a:extLst>
              <a:ext uri="{FF2B5EF4-FFF2-40B4-BE49-F238E27FC236}">
                <a16:creationId xmlns:a16="http://schemas.microsoft.com/office/drawing/2014/main" id="{646022C8-24D7-FCAE-6CEF-36A8088C94D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82" name="Shape 57">
            <a:extLst>
              <a:ext uri="{FF2B5EF4-FFF2-40B4-BE49-F238E27FC236}">
                <a16:creationId xmlns:a16="http://schemas.microsoft.com/office/drawing/2014/main" id="{26BC0777-6B5C-484A-0E42-1184239DDDF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83" name="Shape 58">
            <a:extLst>
              <a:ext uri="{FF2B5EF4-FFF2-40B4-BE49-F238E27FC236}">
                <a16:creationId xmlns:a16="http://schemas.microsoft.com/office/drawing/2014/main" id="{40EF9F9F-8841-C3C2-D862-D2F76791AC4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84" name="Shape 59">
            <a:extLst>
              <a:ext uri="{FF2B5EF4-FFF2-40B4-BE49-F238E27FC236}">
                <a16:creationId xmlns:a16="http://schemas.microsoft.com/office/drawing/2014/main" id="{40FB543D-3D28-E95E-DD62-44DA46B3240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85" name="Shape 60">
            <a:extLst>
              <a:ext uri="{FF2B5EF4-FFF2-40B4-BE49-F238E27FC236}">
                <a16:creationId xmlns:a16="http://schemas.microsoft.com/office/drawing/2014/main" id="{35619CF0-97FE-A4C6-D51B-DFF0D914FD5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86" name="Shape 61">
            <a:extLst>
              <a:ext uri="{FF2B5EF4-FFF2-40B4-BE49-F238E27FC236}">
                <a16:creationId xmlns:a16="http://schemas.microsoft.com/office/drawing/2014/main" id="{ADACD941-9E8C-42FC-75DF-19B4C3A71EE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</xdr:row>
      <xdr:rowOff>160844</xdr:rowOff>
    </xdr:from>
    <xdr:ext cx="33655" cy="33655"/>
    <xdr:grpSp>
      <xdr:nvGrpSpPr>
        <xdr:cNvPr id="1187" name="Group 62">
          <a:extLst>
            <a:ext uri="{FF2B5EF4-FFF2-40B4-BE49-F238E27FC236}">
              <a16:creationId xmlns:a16="http://schemas.microsoft.com/office/drawing/2014/main" id="{8FEFA926-FB84-4E20-BA3B-3D8AE8AE329C}"/>
            </a:ext>
          </a:extLst>
        </xdr:cNvPr>
        <xdr:cNvGrpSpPr/>
      </xdr:nvGrpSpPr>
      <xdr:grpSpPr>
        <a:xfrm>
          <a:off x="4603072" y="7549746"/>
          <a:ext cx="33655" cy="33655"/>
          <a:chOff x="0" y="0"/>
          <a:chExt cx="33655" cy="33655"/>
        </a:xfrm>
      </xdr:grpSpPr>
      <xdr:sp macro="" textlink="">
        <xdr:nvSpPr>
          <xdr:cNvPr id="1188" name="Shape 63">
            <a:extLst>
              <a:ext uri="{FF2B5EF4-FFF2-40B4-BE49-F238E27FC236}">
                <a16:creationId xmlns:a16="http://schemas.microsoft.com/office/drawing/2014/main" id="{CEF94E3A-D6BE-75AC-EECA-356C9166400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89" name="Shape 64">
            <a:extLst>
              <a:ext uri="{FF2B5EF4-FFF2-40B4-BE49-F238E27FC236}">
                <a16:creationId xmlns:a16="http://schemas.microsoft.com/office/drawing/2014/main" id="{D6DCE1EF-4301-FE8A-AE83-70A225CD78C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90" name="Shape 65">
            <a:extLst>
              <a:ext uri="{FF2B5EF4-FFF2-40B4-BE49-F238E27FC236}">
                <a16:creationId xmlns:a16="http://schemas.microsoft.com/office/drawing/2014/main" id="{CA56E382-8855-D324-ECE4-7440639A0B7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91" name="Shape 66">
            <a:extLst>
              <a:ext uri="{FF2B5EF4-FFF2-40B4-BE49-F238E27FC236}">
                <a16:creationId xmlns:a16="http://schemas.microsoft.com/office/drawing/2014/main" id="{C93C8DAC-CABE-4FED-F225-05835CE8B9A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92" name="Shape 67">
            <a:extLst>
              <a:ext uri="{FF2B5EF4-FFF2-40B4-BE49-F238E27FC236}">
                <a16:creationId xmlns:a16="http://schemas.microsoft.com/office/drawing/2014/main" id="{EF6EF788-347C-26BB-FE51-A984C5BB066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93" name="Shape 68">
            <a:extLst>
              <a:ext uri="{FF2B5EF4-FFF2-40B4-BE49-F238E27FC236}">
                <a16:creationId xmlns:a16="http://schemas.microsoft.com/office/drawing/2014/main" id="{0B099603-9280-AD0A-A53D-29CFF47AFBB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94" name="Shape 69">
            <a:extLst>
              <a:ext uri="{FF2B5EF4-FFF2-40B4-BE49-F238E27FC236}">
                <a16:creationId xmlns:a16="http://schemas.microsoft.com/office/drawing/2014/main" id="{06DCE441-1F62-E6CC-9D9C-6E264F822D9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95" name="Shape 70">
            <a:extLst>
              <a:ext uri="{FF2B5EF4-FFF2-40B4-BE49-F238E27FC236}">
                <a16:creationId xmlns:a16="http://schemas.microsoft.com/office/drawing/2014/main" id="{413092C2-D875-7FFF-13C3-10716A77F50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96" name="Shape 71">
            <a:extLst>
              <a:ext uri="{FF2B5EF4-FFF2-40B4-BE49-F238E27FC236}">
                <a16:creationId xmlns:a16="http://schemas.microsoft.com/office/drawing/2014/main" id="{E626C64D-CFB3-EF92-C113-DF2164642E5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97" name="Shape 72">
            <a:extLst>
              <a:ext uri="{FF2B5EF4-FFF2-40B4-BE49-F238E27FC236}">
                <a16:creationId xmlns:a16="http://schemas.microsoft.com/office/drawing/2014/main" id="{B6AE203D-BD06-0FA6-8C71-6768F51DF42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98" name="Shape 73">
            <a:extLst>
              <a:ext uri="{FF2B5EF4-FFF2-40B4-BE49-F238E27FC236}">
                <a16:creationId xmlns:a16="http://schemas.microsoft.com/office/drawing/2014/main" id="{B2F2B17F-7275-22AB-050E-347DCEB3517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99" name="Shape 74">
            <a:extLst>
              <a:ext uri="{FF2B5EF4-FFF2-40B4-BE49-F238E27FC236}">
                <a16:creationId xmlns:a16="http://schemas.microsoft.com/office/drawing/2014/main" id="{66C251D6-CBA0-1544-EB21-EC4DCCD3989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200" name="Shape 75">
            <a:extLst>
              <a:ext uri="{FF2B5EF4-FFF2-40B4-BE49-F238E27FC236}">
                <a16:creationId xmlns:a16="http://schemas.microsoft.com/office/drawing/2014/main" id="{8C545EF1-CE5F-32BD-FE44-3D71B598BE7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201" name="Shape 76">
            <a:extLst>
              <a:ext uri="{FF2B5EF4-FFF2-40B4-BE49-F238E27FC236}">
                <a16:creationId xmlns:a16="http://schemas.microsoft.com/office/drawing/2014/main" id="{FD831EB9-8BC3-9575-2499-F98011E38C6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52</xdr:row>
      <xdr:rowOff>2978</xdr:rowOff>
    </xdr:from>
    <xdr:ext cx="33655" cy="33655"/>
    <xdr:grpSp>
      <xdr:nvGrpSpPr>
        <xdr:cNvPr id="1427" name="Group 2">
          <a:extLst>
            <a:ext uri="{FF2B5EF4-FFF2-40B4-BE49-F238E27FC236}">
              <a16:creationId xmlns:a16="http://schemas.microsoft.com/office/drawing/2014/main" id="{8E32DB2E-A4F4-42BA-B9B8-770EA02EE193}"/>
            </a:ext>
          </a:extLst>
        </xdr:cNvPr>
        <xdr:cNvGrpSpPr/>
      </xdr:nvGrpSpPr>
      <xdr:grpSpPr>
        <a:xfrm>
          <a:off x="4603072" y="9721601"/>
          <a:ext cx="33655" cy="33655"/>
          <a:chOff x="0" y="0"/>
          <a:chExt cx="33655" cy="33655"/>
        </a:xfrm>
      </xdr:grpSpPr>
      <xdr:sp macro="" textlink="">
        <xdr:nvSpPr>
          <xdr:cNvPr id="1428" name="Shape 3">
            <a:extLst>
              <a:ext uri="{FF2B5EF4-FFF2-40B4-BE49-F238E27FC236}">
                <a16:creationId xmlns:a16="http://schemas.microsoft.com/office/drawing/2014/main" id="{876F3608-34C2-93B3-C04F-1F3A56914C7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29" name="Shape 4">
            <a:extLst>
              <a:ext uri="{FF2B5EF4-FFF2-40B4-BE49-F238E27FC236}">
                <a16:creationId xmlns:a16="http://schemas.microsoft.com/office/drawing/2014/main" id="{DBD55ED0-A77C-8036-BED6-10ED5214B8B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30" name="Shape 5">
            <a:extLst>
              <a:ext uri="{FF2B5EF4-FFF2-40B4-BE49-F238E27FC236}">
                <a16:creationId xmlns:a16="http://schemas.microsoft.com/office/drawing/2014/main" id="{FEB91898-CE61-CC71-4DA3-DCA356A1A33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31" name="Shape 6">
            <a:extLst>
              <a:ext uri="{FF2B5EF4-FFF2-40B4-BE49-F238E27FC236}">
                <a16:creationId xmlns:a16="http://schemas.microsoft.com/office/drawing/2014/main" id="{9752E7AE-2B09-9DAB-F2D0-B40BECF039B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32" name="Shape 7">
            <a:extLst>
              <a:ext uri="{FF2B5EF4-FFF2-40B4-BE49-F238E27FC236}">
                <a16:creationId xmlns:a16="http://schemas.microsoft.com/office/drawing/2014/main" id="{9FC0F1DA-ED5B-D006-4078-2C7CCAB32A8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33" name="Shape 8">
            <a:extLst>
              <a:ext uri="{FF2B5EF4-FFF2-40B4-BE49-F238E27FC236}">
                <a16:creationId xmlns:a16="http://schemas.microsoft.com/office/drawing/2014/main" id="{D0333CF8-C42A-4E3E-BE3C-8E03EBEB9D8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34" name="Shape 9">
            <a:extLst>
              <a:ext uri="{FF2B5EF4-FFF2-40B4-BE49-F238E27FC236}">
                <a16:creationId xmlns:a16="http://schemas.microsoft.com/office/drawing/2014/main" id="{E3613479-1798-E5EF-D80D-FDCD474A3DA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35" name="Shape 10">
            <a:extLst>
              <a:ext uri="{FF2B5EF4-FFF2-40B4-BE49-F238E27FC236}">
                <a16:creationId xmlns:a16="http://schemas.microsoft.com/office/drawing/2014/main" id="{B7B3A2CE-3F6C-3EA5-C740-E97B33BA962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36" name="Shape 11">
            <a:extLst>
              <a:ext uri="{FF2B5EF4-FFF2-40B4-BE49-F238E27FC236}">
                <a16:creationId xmlns:a16="http://schemas.microsoft.com/office/drawing/2014/main" id="{DBC669AF-E4FE-3C7F-9202-03CCA2D5828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37" name="Shape 12">
            <a:extLst>
              <a:ext uri="{FF2B5EF4-FFF2-40B4-BE49-F238E27FC236}">
                <a16:creationId xmlns:a16="http://schemas.microsoft.com/office/drawing/2014/main" id="{6F84B99C-ED58-2133-427C-06B0779ACDE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38" name="Shape 13">
            <a:extLst>
              <a:ext uri="{FF2B5EF4-FFF2-40B4-BE49-F238E27FC236}">
                <a16:creationId xmlns:a16="http://schemas.microsoft.com/office/drawing/2014/main" id="{A3B09184-4712-9492-C40F-5DA5BD60AAC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39" name="Shape 14">
            <a:extLst>
              <a:ext uri="{FF2B5EF4-FFF2-40B4-BE49-F238E27FC236}">
                <a16:creationId xmlns:a16="http://schemas.microsoft.com/office/drawing/2014/main" id="{71D20CA8-0ED1-3C1A-0B19-0C27FA3D170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40" name="Shape 15">
            <a:extLst>
              <a:ext uri="{FF2B5EF4-FFF2-40B4-BE49-F238E27FC236}">
                <a16:creationId xmlns:a16="http://schemas.microsoft.com/office/drawing/2014/main" id="{18400622-48B8-2E9C-8E85-48E8D08B9B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41" name="Shape 16">
            <a:extLst>
              <a:ext uri="{FF2B5EF4-FFF2-40B4-BE49-F238E27FC236}">
                <a16:creationId xmlns:a16="http://schemas.microsoft.com/office/drawing/2014/main" id="{A3FF71C4-D82B-61E5-AF38-1C9E11E141A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52</xdr:row>
      <xdr:rowOff>3246</xdr:rowOff>
    </xdr:from>
    <xdr:ext cx="33655" cy="33655"/>
    <xdr:grpSp>
      <xdr:nvGrpSpPr>
        <xdr:cNvPr id="1442" name="Group 17">
          <a:extLst>
            <a:ext uri="{FF2B5EF4-FFF2-40B4-BE49-F238E27FC236}">
              <a16:creationId xmlns:a16="http://schemas.microsoft.com/office/drawing/2014/main" id="{4A24A77C-FE09-4EBC-9505-CB53FA5F38E5}"/>
            </a:ext>
          </a:extLst>
        </xdr:cNvPr>
        <xdr:cNvGrpSpPr/>
      </xdr:nvGrpSpPr>
      <xdr:grpSpPr>
        <a:xfrm>
          <a:off x="4603072" y="9721869"/>
          <a:ext cx="33655" cy="33655"/>
          <a:chOff x="0" y="0"/>
          <a:chExt cx="33655" cy="33655"/>
        </a:xfrm>
      </xdr:grpSpPr>
      <xdr:sp macro="" textlink="">
        <xdr:nvSpPr>
          <xdr:cNvPr id="1443" name="Shape 18">
            <a:extLst>
              <a:ext uri="{FF2B5EF4-FFF2-40B4-BE49-F238E27FC236}">
                <a16:creationId xmlns:a16="http://schemas.microsoft.com/office/drawing/2014/main" id="{55F4F8C0-4A07-4AF5-5F68-341641B416A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44" name="Shape 19">
            <a:extLst>
              <a:ext uri="{FF2B5EF4-FFF2-40B4-BE49-F238E27FC236}">
                <a16:creationId xmlns:a16="http://schemas.microsoft.com/office/drawing/2014/main" id="{A52533D5-6C8F-FCDB-E448-595F85FC2B5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45" name="Shape 20">
            <a:extLst>
              <a:ext uri="{FF2B5EF4-FFF2-40B4-BE49-F238E27FC236}">
                <a16:creationId xmlns:a16="http://schemas.microsoft.com/office/drawing/2014/main" id="{C3B4F3E5-7418-C7A2-3BF1-995E9F37ABD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46" name="Shape 21">
            <a:extLst>
              <a:ext uri="{FF2B5EF4-FFF2-40B4-BE49-F238E27FC236}">
                <a16:creationId xmlns:a16="http://schemas.microsoft.com/office/drawing/2014/main" id="{1B837BEF-B25D-53A6-73B2-F713C4EDD72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47" name="Shape 22">
            <a:extLst>
              <a:ext uri="{FF2B5EF4-FFF2-40B4-BE49-F238E27FC236}">
                <a16:creationId xmlns:a16="http://schemas.microsoft.com/office/drawing/2014/main" id="{579BBE5C-1CAD-92A4-C4D5-9D5E8067619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48" name="Shape 23">
            <a:extLst>
              <a:ext uri="{FF2B5EF4-FFF2-40B4-BE49-F238E27FC236}">
                <a16:creationId xmlns:a16="http://schemas.microsoft.com/office/drawing/2014/main" id="{9AD0C913-9D35-D0E5-3CC9-4C589D4B93B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49" name="Shape 24">
            <a:extLst>
              <a:ext uri="{FF2B5EF4-FFF2-40B4-BE49-F238E27FC236}">
                <a16:creationId xmlns:a16="http://schemas.microsoft.com/office/drawing/2014/main" id="{5B79E543-30CA-BC6F-F80E-3A66DD091A8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50" name="Shape 25">
            <a:extLst>
              <a:ext uri="{FF2B5EF4-FFF2-40B4-BE49-F238E27FC236}">
                <a16:creationId xmlns:a16="http://schemas.microsoft.com/office/drawing/2014/main" id="{110BAD64-29A2-D801-7201-38E040E46E9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51" name="Shape 26">
            <a:extLst>
              <a:ext uri="{FF2B5EF4-FFF2-40B4-BE49-F238E27FC236}">
                <a16:creationId xmlns:a16="http://schemas.microsoft.com/office/drawing/2014/main" id="{668179A3-07E1-D753-A415-AE02970E267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52" name="Shape 27">
            <a:extLst>
              <a:ext uri="{FF2B5EF4-FFF2-40B4-BE49-F238E27FC236}">
                <a16:creationId xmlns:a16="http://schemas.microsoft.com/office/drawing/2014/main" id="{BF743895-055D-14AE-2D47-994A7FEA31F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53" name="Shape 28">
            <a:extLst>
              <a:ext uri="{FF2B5EF4-FFF2-40B4-BE49-F238E27FC236}">
                <a16:creationId xmlns:a16="http://schemas.microsoft.com/office/drawing/2014/main" id="{5E1F6BFB-6E20-457F-8F85-33DD2A956E0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54" name="Shape 29">
            <a:extLst>
              <a:ext uri="{FF2B5EF4-FFF2-40B4-BE49-F238E27FC236}">
                <a16:creationId xmlns:a16="http://schemas.microsoft.com/office/drawing/2014/main" id="{9EF6D102-CB73-B616-2756-5C688949EDD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55" name="Shape 30">
            <a:extLst>
              <a:ext uri="{FF2B5EF4-FFF2-40B4-BE49-F238E27FC236}">
                <a16:creationId xmlns:a16="http://schemas.microsoft.com/office/drawing/2014/main" id="{CBC4C3FB-BCC5-1C92-8C91-088B989ACF4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56" name="Shape 31">
            <a:extLst>
              <a:ext uri="{FF2B5EF4-FFF2-40B4-BE49-F238E27FC236}">
                <a16:creationId xmlns:a16="http://schemas.microsoft.com/office/drawing/2014/main" id="{9B8981E6-4E96-9A25-12D2-7C851FB60CC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51</xdr:row>
      <xdr:rowOff>160585</xdr:rowOff>
    </xdr:from>
    <xdr:ext cx="33655" cy="33655"/>
    <xdr:grpSp>
      <xdr:nvGrpSpPr>
        <xdr:cNvPr id="1457" name="Group 32">
          <a:extLst>
            <a:ext uri="{FF2B5EF4-FFF2-40B4-BE49-F238E27FC236}">
              <a16:creationId xmlns:a16="http://schemas.microsoft.com/office/drawing/2014/main" id="{32836309-1B72-47C8-A9E5-05C44A718E88}"/>
            </a:ext>
          </a:extLst>
        </xdr:cNvPr>
        <xdr:cNvGrpSpPr/>
      </xdr:nvGrpSpPr>
      <xdr:grpSpPr>
        <a:xfrm>
          <a:off x="4603072" y="9710569"/>
          <a:ext cx="33655" cy="33655"/>
          <a:chOff x="0" y="0"/>
          <a:chExt cx="33655" cy="33655"/>
        </a:xfrm>
      </xdr:grpSpPr>
      <xdr:sp macro="" textlink="">
        <xdr:nvSpPr>
          <xdr:cNvPr id="1458" name="Shape 33">
            <a:extLst>
              <a:ext uri="{FF2B5EF4-FFF2-40B4-BE49-F238E27FC236}">
                <a16:creationId xmlns:a16="http://schemas.microsoft.com/office/drawing/2014/main" id="{272C67A4-DE61-3638-211A-6F0EF141838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59" name="Shape 34">
            <a:extLst>
              <a:ext uri="{FF2B5EF4-FFF2-40B4-BE49-F238E27FC236}">
                <a16:creationId xmlns:a16="http://schemas.microsoft.com/office/drawing/2014/main" id="{60722EB1-03E4-D22F-3895-1645CE0A546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60" name="Shape 35">
            <a:extLst>
              <a:ext uri="{FF2B5EF4-FFF2-40B4-BE49-F238E27FC236}">
                <a16:creationId xmlns:a16="http://schemas.microsoft.com/office/drawing/2014/main" id="{46B3A9B4-DDDB-71CB-402C-0CCDC6FD488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61" name="Shape 36">
            <a:extLst>
              <a:ext uri="{FF2B5EF4-FFF2-40B4-BE49-F238E27FC236}">
                <a16:creationId xmlns:a16="http://schemas.microsoft.com/office/drawing/2014/main" id="{BCA34735-CD10-0096-B93A-0128D350500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62" name="Shape 37">
            <a:extLst>
              <a:ext uri="{FF2B5EF4-FFF2-40B4-BE49-F238E27FC236}">
                <a16:creationId xmlns:a16="http://schemas.microsoft.com/office/drawing/2014/main" id="{E98507A9-BE0B-D8F6-E534-1828F552FC4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63" name="Shape 38">
            <a:extLst>
              <a:ext uri="{FF2B5EF4-FFF2-40B4-BE49-F238E27FC236}">
                <a16:creationId xmlns:a16="http://schemas.microsoft.com/office/drawing/2014/main" id="{14980385-5DAE-EAA6-2841-CB3B71B6E4C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64" name="Shape 39">
            <a:extLst>
              <a:ext uri="{FF2B5EF4-FFF2-40B4-BE49-F238E27FC236}">
                <a16:creationId xmlns:a16="http://schemas.microsoft.com/office/drawing/2014/main" id="{E22660E0-17D9-323B-7117-4797352B37A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65" name="Shape 40">
            <a:extLst>
              <a:ext uri="{FF2B5EF4-FFF2-40B4-BE49-F238E27FC236}">
                <a16:creationId xmlns:a16="http://schemas.microsoft.com/office/drawing/2014/main" id="{4218DFE4-2508-FE0C-2246-04CAC87F5BE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66" name="Shape 41">
            <a:extLst>
              <a:ext uri="{FF2B5EF4-FFF2-40B4-BE49-F238E27FC236}">
                <a16:creationId xmlns:a16="http://schemas.microsoft.com/office/drawing/2014/main" id="{C37E75EA-55D4-3DD4-8374-0D964B70FCF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67" name="Shape 42">
            <a:extLst>
              <a:ext uri="{FF2B5EF4-FFF2-40B4-BE49-F238E27FC236}">
                <a16:creationId xmlns:a16="http://schemas.microsoft.com/office/drawing/2014/main" id="{2BDB289A-D607-171E-54E5-02668B49256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68" name="Shape 43">
            <a:extLst>
              <a:ext uri="{FF2B5EF4-FFF2-40B4-BE49-F238E27FC236}">
                <a16:creationId xmlns:a16="http://schemas.microsoft.com/office/drawing/2014/main" id="{3FEB073F-1C0B-4729-C5C9-5936DA08122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69" name="Shape 44">
            <a:extLst>
              <a:ext uri="{FF2B5EF4-FFF2-40B4-BE49-F238E27FC236}">
                <a16:creationId xmlns:a16="http://schemas.microsoft.com/office/drawing/2014/main" id="{6D6F746A-EC2A-9CEE-8674-A6381442FE9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70" name="Shape 45">
            <a:extLst>
              <a:ext uri="{FF2B5EF4-FFF2-40B4-BE49-F238E27FC236}">
                <a16:creationId xmlns:a16="http://schemas.microsoft.com/office/drawing/2014/main" id="{6BEBA24A-E136-525C-F621-5D5294ACEFA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71" name="Shape 46">
            <a:extLst>
              <a:ext uri="{FF2B5EF4-FFF2-40B4-BE49-F238E27FC236}">
                <a16:creationId xmlns:a16="http://schemas.microsoft.com/office/drawing/2014/main" id="{A7C76F62-E086-6144-F202-41058534393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52</xdr:row>
      <xdr:rowOff>3409</xdr:rowOff>
    </xdr:from>
    <xdr:ext cx="33655" cy="33655"/>
    <xdr:grpSp>
      <xdr:nvGrpSpPr>
        <xdr:cNvPr id="1472" name="Group 47">
          <a:extLst>
            <a:ext uri="{FF2B5EF4-FFF2-40B4-BE49-F238E27FC236}">
              <a16:creationId xmlns:a16="http://schemas.microsoft.com/office/drawing/2014/main" id="{5560A6D1-BFDB-47AD-9176-F60DB1718F87}"/>
            </a:ext>
          </a:extLst>
        </xdr:cNvPr>
        <xdr:cNvGrpSpPr/>
      </xdr:nvGrpSpPr>
      <xdr:grpSpPr>
        <a:xfrm>
          <a:off x="4603072" y="9722032"/>
          <a:ext cx="33655" cy="33655"/>
          <a:chOff x="0" y="0"/>
          <a:chExt cx="33655" cy="33655"/>
        </a:xfrm>
      </xdr:grpSpPr>
      <xdr:sp macro="" textlink="">
        <xdr:nvSpPr>
          <xdr:cNvPr id="1473" name="Shape 48">
            <a:extLst>
              <a:ext uri="{FF2B5EF4-FFF2-40B4-BE49-F238E27FC236}">
                <a16:creationId xmlns:a16="http://schemas.microsoft.com/office/drawing/2014/main" id="{12D0C104-FBD4-A8D7-D087-7A6AD267BE4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74" name="Shape 49">
            <a:extLst>
              <a:ext uri="{FF2B5EF4-FFF2-40B4-BE49-F238E27FC236}">
                <a16:creationId xmlns:a16="http://schemas.microsoft.com/office/drawing/2014/main" id="{4330667A-592A-B4CB-4C09-4BA76610B44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75" name="Shape 50">
            <a:extLst>
              <a:ext uri="{FF2B5EF4-FFF2-40B4-BE49-F238E27FC236}">
                <a16:creationId xmlns:a16="http://schemas.microsoft.com/office/drawing/2014/main" id="{8C9ECE97-CE91-EA80-3437-1D56D19964B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76" name="Shape 51">
            <a:extLst>
              <a:ext uri="{FF2B5EF4-FFF2-40B4-BE49-F238E27FC236}">
                <a16:creationId xmlns:a16="http://schemas.microsoft.com/office/drawing/2014/main" id="{88F92CF8-1560-1738-A3D6-4E67AE4CAF1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77" name="Shape 52">
            <a:extLst>
              <a:ext uri="{FF2B5EF4-FFF2-40B4-BE49-F238E27FC236}">
                <a16:creationId xmlns:a16="http://schemas.microsoft.com/office/drawing/2014/main" id="{FEDFC2BA-3592-7432-BFF2-E9A2984D4AC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78" name="Shape 53">
            <a:extLst>
              <a:ext uri="{FF2B5EF4-FFF2-40B4-BE49-F238E27FC236}">
                <a16:creationId xmlns:a16="http://schemas.microsoft.com/office/drawing/2014/main" id="{867891B5-9389-0F6E-490C-39874E9472F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79" name="Shape 54">
            <a:extLst>
              <a:ext uri="{FF2B5EF4-FFF2-40B4-BE49-F238E27FC236}">
                <a16:creationId xmlns:a16="http://schemas.microsoft.com/office/drawing/2014/main" id="{C55AB602-FF45-675D-CB8A-A4514296476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80" name="Shape 55">
            <a:extLst>
              <a:ext uri="{FF2B5EF4-FFF2-40B4-BE49-F238E27FC236}">
                <a16:creationId xmlns:a16="http://schemas.microsoft.com/office/drawing/2014/main" id="{D7BCD5B2-8DB6-A41B-41BF-9825A9DF40D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81" name="Shape 56">
            <a:extLst>
              <a:ext uri="{FF2B5EF4-FFF2-40B4-BE49-F238E27FC236}">
                <a16:creationId xmlns:a16="http://schemas.microsoft.com/office/drawing/2014/main" id="{69E5BD35-1E5C-6A39-B3D5-27200D351D2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82" name="Shape 57">
            <a:extLst>
              <a:ext uri="{FF2B5EF4-FFF2-40B4-BE49-F238E27FC236}">
                <a16:creationId xmlns:a16="http://schemas.microsoft.com/office/drawing/2014/main" id="{64C215D4-E5CE-DBD3-C7F9-9D62C881198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83" name="Shape 58">
            <a:extLst>
              <a:ext uri="{FF2B5EF4-FFF2-40B4-BE49-F238E27FC236}">
                <a16:creationId xmlns:a16="http://schemas.microsoft.com/office/drawing/2014/main" id="{7E092E32-3026-3DCA-01F1-A0EF83497E5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84" name="Shape 59">
            <a:extLst>
              <a:ext uri="{FF2B5EF4-FFF2-40B4-BE49-F238E27FC236}">
                <a16:creationId xmlns:a16="http://schemas.microsoft.com/office/drawing/2014/main" id="{0D742932-C27E-B182-5DD0-C1B805D5E10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85" name="Shape 60">
            <a:extLst>
              <a:ext uri="{FF2B5EF4-FFF2-40B4-BE49-F238E27FC236}">
                <a16:creationId xmlns:a16="http://schemas.microsoft.com/office/drawing/2014/main" id="{F5B0006B-E419-8D08-ED09-22C09EACD38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86" name="Shape 61">
            <a:extLst>
              <a:ext uri="{FF2B5EF4-FFF2-40B4-BE49-F238E27FC236}">
                <a16:creationId xmlns:a16="http://schemas.microsoft.com/office/drawing/2014/main" id="{7CBEC7BC-D5E9-EAF2-299E-DDB631BF1C8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51</xdr:row>
      <xdr:rowOff>160844</xdr:rowOff>
    </xdr:from>
    <xdr:ext cx="33655" cy="33655"/>
    <xdr:grpSp>
      <xdr:nvGrpSpPr>
        <xdr:cNvPr id="1487" name="Group 62">
          <a:extLst>
            <a:ext uri="{FF2B5EF4-FFF2-40B4-BE49-F238E27FC236}">
              <a16:creationId xmlns:a16="http://schemas.microsoft.com/office/drawing/2014/main" id="{13528DE1-B473-40F6-BD5D-3F35D8D84098}"/>
            </a:ext>
          </a:extLst>
        </xdr:cNvPr>
        <xdr:cNvGrpSpPr/>
      </xdr:nvGrpSpPr>
      <xdr:grpSpPr>
        <a:xfrm>
          <a:off x="4603072" y="9710828"/>
          <a:ext cx="33655" cy="33655"/>
          <a:chOff x="0" y="0"/>
          <a:chExt cx="33655" cy="33655"/>
        </a:xfrm>
      </xdr:grpSpPr>
      <xdr:sp macro="" textlink="">
        <xdr:nvSpPr>
          <xdr:cNvPr id="1488" name="Shape 63">
            <a:extLst>
              <a:ext uri="{FF2B5EF4-FFF2-40B4-BE49-F238E27FC236}">
                <a16:creationId xmlns:a16="http://schemas.microsoft.com/office/drawing/2014/main" id="{99B99D75-4C8B-3372-CB42-9434E448A39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89" name="Shape 64">
            <a:extLst>
              <a:ext uri="{FF2B5EF4-FFF2-40B4-BE49-F238E27FC236}">
                <a16:creationId xmlns:a16="http://schemas.microsoft.com/office/drawing/2014/main" id="{CF83F52C-60F3-9D76-9693-84673528D40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90" name="Shape 65">
            <a:extLst>
              <a:ext uri="{FF2B5EF4-FFF2-40B4-BE49-F238E27FC236}">
                <a16:creationId xmlns:a16="http://schemas.microsoft.com/office/drawing/2014/main" id="{88A35240-484B-8572-3083-C4A1B5E14DA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91" name="Shape 66">
            <a:extLst>
              <a:ext uri="{FF2B5EF4-FFF2-40B4-BE49-F238E27FC236}">
                <a16:creationId xmlns:a16="http://schemas.microsoft.com/office/drawing/2014/main" id="{22FF32C5-DEAE-1679-9AA5-750A48C38EE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92" name="Shape 67">
            <a:extLst>
              <a:ext uri="{FF2B5EF4-FFF2-40B4-BE49-F238E27FC236}">
                <a16:creationId xmlns:a16="http://schemas.microsoft.com/office/drawing/2014/main" id="{6B33B02C-2E6E-F959-3721-DBE49615BA1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93" name="Shape 68">
            <a:extLst>
              <a:ext uri="{FF2B5EF4-FFF2-40B4-BE49-F238E27FC236}">
                <a16:creationId xmlns:a16="http://schemas.microsoft.com/office/drawing/2014/main" id="{ED1288CD-5C6F-2B58-7BA4-288A414E7D8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94" name="Shape 69">
            <a:extLst>
              <a:ext uri="{FF2B5EF4-FFF2-40B4-BE49-F238E27FC236}">
                <a16:creationId xmlns:a16="http://schemas.microsoft.com/office/drawing/2014/main" id="{675931F5-4314-057F-E87A-29A9FB5CB59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95" name="Shape 70">
            <a:extLst>
              <a:ext uri="{FF2B5EF4-FFF2-40B4-BE49-F238E27FC236}">
                <a16:creationId xmlns:a16="http://schemas.microsoft.com/office/drawing/2014/main" id="{1A34B049-0B3B-F81F-33BB-90947C225D2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96" name="Shape 71">
            <a:extLst>
              <a:ext uri="{FF2B5EF4-FFF2-40B4-BE49-F238E27FC236}">
                <a16:creationId xmlns:a16="http://schemas.microsoft.com/office/drawing/2014/main" id="{87C5D659-9484-C816-3A09-1497AB63C0F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97" name="Shape 72">
            <a:extLst>
              <a:ext uri="{FF2B5EF4-FFF2-40B4-BE49-F238E27FC236}">
                <a16:creationId xmlns:a16="http://schemas.microsoft.com/office/drawing/2014/main" id="{8E9BA5C9-BAFD-C6BB-0DEF-36DB99282D5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498" name="Shape 73">
            <a:extLst>
              <a:ext uri="{FF2B5EF4-FFF2-40B4-BE49-F238E27FC236}">
                <a16:creationId xmlns:a16="http://schemas.microsoft.com/office/drawing/2014/main" id="{9CAC4C56-3D63-3587-3E50-14E45306A92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99" name="Shape 74">
            <a:extLst>
              <a:ext uri="{FF2B5EF4-FFF2-40B4-BE49-F238E27FC236}">
                <a16:creationId xmlns:a16="http://schemas.microsoft.com/office/drawing/2014/main" id="{EA7C5697-0C73-C18A-03F6-498C8A7B1DA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00" name="Shape 75">
            <a:extLst>
              <a:ext uri="{FF2B5EF4-FFF2-40B4-BE49-F238E27FC236}">
                <a16:creationId xmlns:a16="http://schemas.microsoft.com/office/drawing/2014/main" id="{F07AE0FC-392D-036A-75D5-195735F11D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01" name="Shape 76">
            <a:extLst>
              <a:ext uri="{FF2B5EF4-FFF2-40B4-BE49-F238E27FC236}">
                <a16:creationId xmlns:a16="http://schemas.microsoft.com/office/drawing/2014/main" id="{0280F8D2-4E12-30C0-CB8C-A06AF911EE1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63</xdr:row>
      <xdr:rowOff>2978</xdr:rowOff>
    </xdr:from>
    <xdr:ext cx="33655" cy="33655"/>
    <xdr:grpSp>
      <xdr:nvGrpSpPr>
        <xdr:cNvPr id="1652" name="Group 2">
          <a:extLst>
            <a:ext uri="{FF2B5EF4-FFF2-40B4-BE49-F238E27FC236}">
              <a16:creationId xmlns:a16="http://schemas.microsoft.com/office/drawing/2014/main" id="{006AC6A0-94A3-41E6-B3F5-2B783827F8C6}"/>
            </a:ext>
          </a:extLst>
        </xdr:cNvPr>
        <xdr:cNvGrpSpPr/>
      </xdr:nvGrpSpPr>
      <xdr:grpSpPr>
        <a:xfrm>
          <a:off x="4603072" y="11882683"/>
          <a:ext cx="33655" cy="33655"/>
          <a:chOff x="0" y="0"/>
          <a:chExt cx="33655" cy="33655"/>
        </a:xfrm>
      </xdr:grpSpPr>
      <xdr:sp macro="" textlink="">
        <xdr:nvSpPr>
          <xdr:cNvPr id="1653" name="Shape 3">
            <a:extLst>
              <a:ext uri="{FF2B5EF4-FFF2-40B4-BE49-F238E27FC236}">
                <a16:creationId xmlns:a16="http://schemas.microsoft.com/office/drawing/2014/main" id="{F5922F57-DFF0-D574-C4E4-15D27614839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54" name="Shape 4">
            <a:extLst>
              <a:ext uri="{FF2B5EF4-FFF2-40B4-BE49-F238E27FC236}">
                <a16:creationId xmlns:a16="http://schemas.microsoft.com/office/drawing/2014/main" id="{4655486C-3FCF-4CCF-598A-D275B34A0DF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55" name="Shape 5">
            <a:extLst>
              <a:ext uri="{FF2B5EF4-FFF2-40B4-BE49-F238E27FC236}">
                <a16:creationId xmlns:a16="http://schemas.microsoft.com/office/drawing/2014/main" id="{7E24BE34-601A-17D9-F3DE-D80D9BCAB82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56" name="Shape 6">
            <a:extLst>
              <a:ext uri="{FF2B5EF4-FFF2-40B4-BE49-F238E27FC236}">
                <a16:creationId xmlns:a16="http://schemas.microsoft.com/office/drawing/2014/main" id="{280724C0-5BDC-8362-31FA-F79E0CB3763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57" name="Shape 7">
            <a:extLst>
              <a:ext uri="{FF2B5EF4-FFF2-40B4-BE49-F238E27FC236}">
                <a16:creationId xmlns:a16="http://schemas.microsoft.com/office/drawing/2014/main" id="{9D382761-F32A-52F5-6057-0CDDB0D8DB4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58" name="Shape 8">
            <a:extLst>
              <a:ext uri="{FF2B5EF4-FFF2-40B4-BE49-F238E27FC236}">
                <a16:creationId xmlns:a16="http://schemas.microsoft.com/office/drawing/2014/main" id="{4E8926DD-E9CE-BEA6-A58B-075DE059104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59" name="Shape 9">
            <a:extLst>
              <a:ext uri="{FF2B5EF4-FFF2-40B4-BE49-F238E27FC236}">
                <a16:creationId xmlns:a16="http://schemas.microsoft.com/office/drawing/2014/main" id="{676C5B52-D7D9-FBFC-4745-8BD519A5275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60" name="Shape 10">
            <a:extLst>
              <a:ext uri="{FF2B5EF4-FFF2-40B4-BE49-F238E27FC236}">
                <a16:creationId xmlns:a16="http://schemas.microsoft.com/office/drawing/2014/main" id="{B6F29375-4FA7-0B4F-8708-28CD5E2D53C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61" name="Shape 11">
            <a:extLst>
              <a:ext uri="{FF2B5EF4-FFF2-40B4-BE49-F238E27FC236}">
                <a16:creationId xmlns:a16="http://schemas.microsoft.com/office/drawing/2014/main" id="{C9FB4ACB-FCD3-B971-6DE8-1F83476EF64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62" name="Shape 12">
            <a:extLst>
              <a:ext uri="{FF2B5EF4-FFF2-40B4-BE49-F238E27FC236}">
                <a16:creationId xmlns:a16="http://schemas.microsoft.com/office/drawing/2014/main" id="{A8A7163E-16C7-61A4-D92F-B814856692E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63" name="Shape 13">
            <a:extLst>
              <a:ext uri="{FF2B5EF4-FFF2-40B4-BE49-F238E27FC236}">
                <a16:creationId xmlns:a16="http://schemas.microsoft.com/office/drawing/2014/main" id="{F563882D-041D-8974-1DDF-25A8589F8FC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64" name="Shape 14">
            <a:extLst>
              <a:ext uri="{FF2B5EF4-FFF2-40B4-BE49-F238E27FC236}">
                <a16:creationId xmlns:a16="http://schemas.microsoft.com/office/drawing/2014/main" id="{66812D8A-62D3-C0AE-5377-5B5F1A67D34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65" name="Shape 15">
            <a:extLst>
              <a:ext uri="{FF2B5EF4-FFF2-40B4-BE49-F238E27FC236}">
                <a16:creationId xmlns:a16="http://schemas.microsoft.com/office/drawing/2014/main" id="{A2FCB525-2190-B238-5706-718E9625255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66" name="Shape 16">
            <a:extLst>
              <a:ext uri="{FF2B5EF4-FFF2-40B4-BE49-F238E27FC236}">
                <a16:creationId xmlns:a16="http://schemas.microsoft.com/office/drawing/2014/main" id="{ED16019B-A7EB-7E72-0C1D-10923F4092D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63</xdr:row>
      <xdr:rowOff>3246</xdr:rowOff>
    </xdr:from>
    <xdr:ext cx="33655" cy="33655"/>
    <xdr:grpSp>
      <xdr:nvGrpSpPr>
        <xdr:cNvPr id="1667" name="Group 17">
          <a:extLst>
            <a:ext uri="{FF2B5EF4-FFF2-40B4-BE49-F238E27FC236}">
              <a16:creationId xmlns:a16="http://schemas.microsoft.com/office/drawing/2014/main" id="{340692EF-D3D3-4BB9-84C2-AE89A16DAA8E}"/>
            </a:ext>
          </a:extLst>
        </xdr:cNvPr>
        <xdr:cNvGrpSpPr/>
      </xdr:nvGrpSpPr>
      <xdr:grpSpPr>
        <a:xfrm>
          <a:off x="4603072" y="11882951"/>
          <a:ext cx="33655" cy="33655"/>
          <a:chOff x="0" y="0"/>
          <a:chExt cx="33655" cy="33655"/>
        </a:xfrm>
      </xdr:grpSpPr>
      <xdr:sp macro="" textlink="">
        <xdr:nvSpPr>
          <xdr:cNvPr id="1668" name="Shape 18">
            <a:extLst>
              <a:ext uri="{FF2B5EF4-FFF2-40B4-BE49-F238E27FC236}">
                <a16:creationId xmlns:a16="http://schemas.microsoft.com/office/drawing/2014/main" id="{2377370A-A05C-6974-B739-2517AD92053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69" name="Shape 19">
            <a:extLst>
              <a:ext uri="{FF2B5EF4-FFF2-40B4-BE49-F238E27FC236}">
                <a16:creationId xmlns:a16="http://schemas.microsoft.com/office/drawing/2014/main" id="{D3FEF889-CDF5-DA54-B79B-7798EF2899C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70" name="Shape 20">
            <a:extLst>
              <a:ext uri="{FF2B5EF4-FFF2-40B4-BE49-F238E27FC236}">
                <a16:creationId xmlns:a16="http://schemas.microsoft.com/office/drawing/2014/main" id="{E5F98153-2160-B942-F8AC-498C9AD5372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71" name="Shape 21">
            <a:extLst>
              <a:ext uri="{FF2B5EF4-FFF2-40B4-BE49-F238E27FC236}">
                <a16:creationId xmlns:a16="http://schemas.microsoft.com/office/drawing/2014/main" id="{4BBBA608-31FF-5201-5F40-4DFB4E25D21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72" name="Shape 22">
            <a:extLst>
              <a:ext uri="{FF2B5EF4-FFF2-40B4-BE49-F238E27FC236}">
                <a16:creationId xmlns:a16="http://schemas.microsoft.com/office/drawing/2014/main" id="{B10C406E-8AD3-8F72-39A8-F741033095B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73" name="Shape 23">
            <a:extLst>
              <a:ext uri="{FF2B5EF4-FFF2-40B4-BE49-F238E27FC236}">
                <a16:creationId xmlns:a16="http://schemas.microsoft.com/office/drawing/2014/main" id="{00F480A8-283E-C207-4D11-DDB4724DF7A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74" name="Shape 24">
            <a:extLst>
              <a:ext uri="{FF2B5EF4-FFF2-40B4-BE49-F238E27FC236}">
                <a16:creationId xmlns:a16="http://schemas.microsoft.com/office/drawing/2014/main" id="{758D20FC-9CFB-AEAE-0B84-46EC8F14E33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75" name="Shape 25">
            <a:extLst>
              <a:ext uri="{FF2B5EF4-FFF2-40B4-BE49-F238E27FC236}">
                <a16:creationId xmlns:a16="http://schemas.microsoft.com/office/drawing/2014/main" id="{6634AFAC-71D9-F305-0A36-52B0FC160AA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76" name="Shape 26">
            <a:extLst>
              <a:ext uri="{FF2B5EF4-FFF2-40B4-BE49-F238E27FC236}">
                <a16:creationId xmlns:a16="http://schemas.microsoft.com/office/drawing/2014/main" id="{0B4678A8-7A99-EB41-3E02-C4D4EA6AB11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77" name="Shape 27">
            <a:extLst>
              <a:ext uri="{FF2B5EF4-FFF2-40B4-BE49-F238E27FC236}">
                <a16:creationId xmlns:a16="http://schemas.microsoft.com/office/drawing/2014/main" id="{59C2EB4A-B5FB-9979-883C-A60B403028B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78" name="Shape 28">
            <a:extLst>
              <a:ext uri="{FF2B5EF4-FFF2-40B4-BE49-F238E27FC236}">
                <a16:creationId xmlns:a16="http://schemas.microsoft.com/office/drawing/2014/main" id="{A2D1A832-4531-97B9-6DFC-9A16A1F2F60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79" name="Shape 29">
            <a:extLst>
              <a:ext uri="{FF2B5EF4-FFF2-40B4-BE49-F238E27FC236}">
                <a16:creationId xmlns:a16="http://schemas.microsoft.com/office/drawing/2014/main" id="{D9651043-FF80-CF6B-DEAC-9260041D7F8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80" name="Shape 30">
            <a:extLst>
              <a:ext uri="{FF2B5EF4-FFF2-40B4-BE49-F238E27FC236}">
                <a16:creationId xmlns:a16="http://schemas.microsoft.com/office/drawing/2014/main" id="{9EF46A8E-4FCF-F802-221D-95B69A89F65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81" name="Shape 31">
            <a:extLst>
              <a:ext uri="{FF2B5EF4-FFF2-40B4-BE49-F238E27FC236}">
                <a16:creationId xmlns:a16="http://schemas.microsoft.com/office/drawing/2014/main" id="{3A7DF71A-B4C7-04A1-A3BA-58048FE4A72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</xdr:row>
      <xdr:rowOff>160585</xdr:rowOff>
    </xdr:from>
    <xdr:ext cx="33655" cy="33655"/>
    <xdr:grpSp>
      <xdr:nvGrpSpPr>
        <xdr:cNvPr id="1682" name="Group 32">
          <a:extLst>
            <a:ext uri="{FF2B5EF4-FFF2-40B4-BE49-F238E27FC236}">
              <a16:creationId xmlns:a16="http://schemas.microsoft.com/office/drawing/2014/main" id="{5E13B009-3FED-48C7-AE18-8BDADFEDC079}"/>
            </a:ext>
          </a:extLst>
        </xdr:cNvPr>
        <xdr:cNvGrpSpPr/>
      </xdr:nvGrpSpPr>
      <xdr:grpSpPr>
        <a:xfrm>
          <a:off x="4603072" y="11871651"/>
          <a:ext cx="33655" cy="33655"/>
          <a:chOff x="0" y="0"/>
          <a:chExt cx="33655" cy="33655"/>
        </a:xfrm>
      </xdr:grpSpPr>
      <xdr:sp macro="" textlink="">
        <xdr:nvSpPr>
          <xdr:cNvPr id="1683" name="Shape 33">
            <a:extLst>
              <a:ext uri="{FF2B5EF4-FFF2-40B4-BE49-F238E27FC236}">
                <a16:creationId xmlns:a16="http://schemas.microsoft.com/office/drawing/2014/main" id="{F959FED5-940A-7F74-237A-5CF0A713AF8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84" name="Shape 34">
            <a:extLst>
              <a:ext uri="{FF2B5EF4-FFF2-40B4-BE49-F238E27FC236}">
                <a16:creationId xmlns:a16="http://schemas.microsoft.com/office/drawing/2014/main" id="{912CF0FA-9C8E-6448-06E2-F54079A0480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85" name="Shape 35">
            <a:extLst>
              <a:ext uri="{FF2B5EF4-FFF2-40B4-BE49-F238E27FC236}">
                <a16:creationId xmlns:a16="http://schemas.microsoft.com/office/drawing/2014/main" id="{B4A51FE8-6DD2-80E3-BEDD-18E5D5A1F36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86" name="Shape 36">
            <a:extLst>
              <a:ext uri="{FF2B5EF4-FFF2-40B4-BE49-F238E27FC236}">
                <a16:creationId xmlns:a16="http://schemas.microsoft.com/office/drawing/2014/main" id="{B72147E1-E19B-1D19-1C2C-8D6169A30C6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87" name="Shape 37">
            <a:extLst>
              <a:ext uri="{FF2B5EF4-FFF2-40B4-BE49-F238E27FC236}">
                <a16:creationId xmlns:a16="http://schemas.microsoft.com/office/drawing/2014/main" id="{98B4C12F-3820-A4DE-CCA6-72BC505DE10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88" name="Shape 38">
            <a:extLst>
              <a:ext uri="{FF2B5EF4-FFF2-40B4-BE49-F238E27FC236}">
                <a16:creationId xmlns:a16="http://schemas.microsoft.com/office/drawing/2014/main" id="{B115369D-AA3D-3B69-E01F-AD9B18E6B69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89" name="Shape 39">
            <a:extLst>
              <a:ext uri="{FF2B5EF4-FFF2-40B4-BE49-F238E27FC236}">
                <a16:creationId xmlns:a16="http://schemas.microsoft.com/office/drawing/2014/main" id="{161A4E9A-D99C-01CA-6ED9-6CCF4846D9F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90" name="Shape 40">
            <a:extLst>
              <a:ext uri="{FF2B5EF4-FFF2-40B4-BE49-F238E27FC236}">
                <a16:creationId xmlns:a16="http://schemas.microsoft.com/office/drawing/2014/main" id="{A8A2C2AF-D984-5D10-41C5-0D9135FB4E3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91" name="Shape 41">
            <a:extLst>
              <a:ext uri="{FF2B5EF4-FFF2-40B4-BE49-F238E27FC236}">
                <a16:creationId xmlns:a16="http://schemas.microsoft.com/office/drawing/2014/main" id="{26183C70-6777-41AB-8393-2626F2EB41C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92" name="Shape 42">
            <a:extLst>
              <a:ext uri="{FF2B5EF4-FFF2-40B4-BE49-F238E27FC236}">
                <a16:creationId xmlns:a16="http://schemas.microsoft.com/office/drawing/2014/main" id="{03A3771E-8C7B-E501-C329-C926E3D532A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93" name="Shape 43">
            <a:extLst>
              <a:ext uri="{FF2B5EF4-FFF2-40B4-BE49-F238E27FC236}">
                <a16:creationId xmlns:a16="http://schemas.microsoft.com/office/drawing/2014/main" id="{DD93004F-3222-C492-E978-4A31B32B139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94" name="Shape 44">
            <a:extLst>
              <a:ext uri="{FF2B5EF4-FFF2-40B4-BE49-F238E27FC236}">
                <a16:creationId xmlns:a16="http://schemas.microsoft.com/office/drawing/2014/main" id="{D043154C-B0AD-594E-B675-649582DAF7A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95" name="Shape 45">
            <a:extLst>
              <a:ext uri="{FF2B5EF4-FFF2-40B4-BE49-F238E27FC236}">
                <a16:creationId xmlns:a16="http://schemas.microsoft.com/office/drawing/2014/main" id="{9A3130DB-2DAB-8E63-B26F-75A56647F4D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96" name="Shape 46">
            <a:extLst>
              <a:ext uri="{FF2B5EF4-FFF2-40B4-BE49-F238E27FC236}">
                <a16:creationId xmlns:a16="http://schemas.microsoft.com/office/drawing/2014/main" id="{F2DDD2EF-96A5-23D1-9318-F6F7E3244D3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63</xdr:row>
      <xdr:rowOff>3409</xdr:rowOff>
    </xdr:from>
    <xdr:ext cx="33655" cy="33655"/>
    <xdr:grpSp>
      <xdr:nvGrpSpPr>
        <xdr:cNvPr id="1697" name="Group 47">
          <a:extLst>
            <a:ext uri="{FF2B5EF4-FFF2-40B4-BE49-F238E27FC236}">
              <a16:creationId xmlns:a16="http://schemas.microsoft.com/office/drawing/2014/main" id="{2B664ADB-2913-4085-BC36-965EF941948C}"/>
            </a:ext>
          </a:extLst>
        </xdr:cNvPr>
        <xdr:cNvGrpSpPr/>
      </xdr:nvGrpSpPr>
      <xdr:grpSpPr>
        <a:xfrm>
          <a:off x="4603072" y="11883114"/>
          <a:ext cx="33655" cy="33655"/>
          <a:chOff x="0" y="0"/>
          <a:chExt cx="33655" cy="33655"/>
        </a:xfrm>
      </xdr:grpSpPr>
      <xdr:sp macro="" textlink="">
        <xdr:nvSpPr>
          <xdr:cNvPr id="1698" name="Shape 48">
            <a:extLst>
              <a:ext uri="{FF2B5EF4-FFF2-40B4-BE49-F238E27FC236}">
                <a16:creationId xmlns:a16="http://schemas.microsoft.com/office/drawing/2014/main" id="{6A36FA6B-BF8F-16AD-E27C-ED200189A06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99" name="Shape 49">
            <a:extLst>
              <a:ext uri="{FF2B5EF4-FFF2-40B4-BE49-F238E27FC236}">
                <a16:creationId xmlns:a16="http://schemas.microsoft.com/office/drawing/2014/main" id="{3C0CF712-775F-67FB-3502-E0E03F13EDB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00" name="Shape 50">
            <a:extLst>
              <a:ext uri="{FF2B5EF4-FFF2-40B4-BE49-F238E27FC236}">
                <a16:creationId xmlns:a16="http://schemas.microsoft.com/office/drawing/2014/main" id="{E9B65EEA-E7FC-544B-A9AC-BE141B5667C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01" name="Shape 51">
            <a:extLst>
              <a:ext uri="{FF2B5EF4-FFF2-40B4-BE49-F238E27FC236}">
                <a16:creationId xmlns:a16="http://schemas.microsoft.com/office/drawing/2014/main" id="{303E895A-2213-EC9D-EFA7-BA473DA77B7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02" name="Shape 52">
            <a:extLst>
              <a:ext uri="{FF2B5EF4-FFF2-40B4-BE49-F238E27FC236}">
                <a16:creationId xmlns:a16="http://schemas.microsoft.com/office/drawing/2014/main" id="{6022FD34-5777-9AB5-10A3-5B8C5F8503D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03" name="Shape 53">
            <a:extLst>
              <a:ext uri="{FF2B5EF4-FFF2-40B4-BE49-F238E27FC236}">
                <a16:creationId xmlns:a16="http://schemas.microsoft.com/office/drawing/2014/main" id="{C1F8968C-81E1-5EF5-793E-42D1B9DBEA9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04" name="Shape 54">
            <a:extLst>
              <a:ext uri="{FF2B5EF4-FFF2-40B4-BE49-F238E27FC236}">
                <a16:creationId xmlns:a16="http://schemas.microsoft.com/office/drawing/2014/main" id="{D419251A-E023-A9BF-A94B-36F336458B0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05" name="Shape 55">
            <a:extLst>
              <a:ext uri="{FF2B5EF4-FFF2-40B4-BE49-F238E27FC236}">
                <a16:creationId xmlns:a16="http://schemas.microsoft.com/office/drawing/2014/main" id="{DF328C14-7480-FC16-18F2-245D954B65D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06" name="Shape 56">
            <a:extLst>
              <a:ext uri="{FF2B5EF4-FFF2-40B4-BE49-F238E27FC236}">
                <a16:creationId xmlns:a16="http://schemas.microsoft.com/office/drawing/2014/main" id="{972F8209-0E54-944E-F9EC-55CC34A9E37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07" name="Shape 57">
            <a:extLst>
              <a:ext uri="{FF2B5EF4-FFF2-40B4-BE49-F238E27FC236}">
                <a16:creationId xmlns:a16="http://schemas.microsoft.com/office/drawing/2014/main" id="{A4E8EAD3-BF9A-AD79-D36A-69DA059FC9E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08" name="Shape 58">
            <a:extLst>
              <a:ext uri="{FF2B5EF4-FFF2-40B4-BE49-F238E27FC236}">
                <a16:creationId xmlns:a16="http://schemas.microsoft.com/office/drawing/2014/main" id="{B109DC27-4D38-887E-8817-36BC1567EEA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09" name="Shape 59">
            <a:extLst>
              <a:ext uri="{FF2B5EF4-FFF2-40B4-BE49-F238E27FC236}">
                <a16:creationId xmlns:a16="http://schemas.microsoft.com/office/drawing/2014/main" id="{72A8CA01-103F-A4D9-DF35-856EE5D1C93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10" name="Shape 60">
            <a:extLst>
              <a:ext uri="{FF2B5EF4-FFF2-40B4-BE49-F238E27FC236}">
                <a16:creationId xmlns:a16="http://schemas.microsoft.com/office/drawing/2014/main" id="{E5A6544A-A248-FC0F-8F26-C60D7396E7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11" name="Shape 61">
            <a:extLst>
              <a:ext uri="{FF2B5EF4-FFF2-40B4-BE49-F238E27FC236}">
                <a16:creationId xmlns:a16="http://schemas.microsoft.com/office/drawing/2014/main" id="{38A90245-2914-0BBD-0DEB-E6A06E9989C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</xdr:row>
      <xdr:rowOff>160844</xdr:rowOff>
    </xdr:from>
    <xdr:ext cx="33655" cy="33655"/>
    <xdr:grpSp>
      <xdr:nvGrpSpPr>
        <xdr:cNvPr id="1712" name="Group 62">
          <a:extLst>
            <a:ext uri="{FF2B5EF4-FFF2-40B4-BE49-F238E27FC236}">
              <a16:creationId xmlns:a16="http://schemas.microsoft.com/office/drawing/2014/main" id="{B429EB61-827D-4ECC-B588-20234FE748B1}"/>
            </a:ext>
          </a:extLst>
        </xdr:cNvPr>
        <xdr:cNvGrpSpPr/>
      </xdr:nvGrpSpPr>
      <xdr:grpSpPr>
        <a:xfrm>
          <a:off x="4603072" y="11871910"/>
          <a:ext cx="33655" cy="33655"/>
          <a:chOff x="0" y="0"/>
          <a:chExt cx="33655" cy="33655"/>
        </a:xfrm>
      </xdr:grpSpPr>
      <xdr:sp macro="" textlink="">
        <xdr:nvSpPr>
          <xdr:cNvPr id="1713" name="Shape 63">
            <a:extLst>
              <a:ext uri="{FF2B5EF4-FFF2-40B4-BE49-F238E27FC236}">
                <a16:creationId xmlns:a16="http://schemas.microsoft.com/office/drawing/2014/main" id="{1C2E99FA-2121-4354-17A5-355D0FD9F5E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14" name="Shape 64">
            <a:extLst>
              <a:ext uri="{FF2B5EF4-FFF2-40B4-BE49-F238E27FC236}">
                <a16:creationId xmlns:a16="http://schemas.microsoft.com/office/drawing/2014/main" id="{A1106511-C005-26E6-7A01-517A79BC114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715" name="Shape 65">
            <a:extLst>
              <a:ext uri="{FF2B5EF4-FFF2-40B4-BE49-F238E27FC236}">
                <a16:creationId xmlns:a16="http://schemas.microsoft.com/office/drawing/2014/main" id="{F64093C2-B24F-35CD-B996-2A8DD533367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16" name="Shape 66">
            <a:extLst>
              <a:ext uri="{FF2B5EF4-FFF2-40B4-BE49-F238E27FC236}">
                <a16:creationId xmlns:a16="http://schemas.microsoft.com/office/drawing/2014/main" id="{4D1A4B88-DE3B-B408-27D9-32717BAAB72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717" name="Shape 67">
            <a:extLst>
              <a:ext uri="{FF2B5EF4-FFF2-40B4-BE49-F238E27FC236}">
                <a16:creationId xmlns:a16="http://schemas.microsoft.com/office/drawing/2014/main" id="{DE69533B-CDB2-26FC-84EE-76539D338A3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18" name="Shape 68">
            <a:extLst>
              <a:ext uri="{FF2B5EF4-FFF2-40B4-BE49-F238E27FC236}">
                <a16:creationId xmlns:a16="http://schemas.microsoft.com/office/drawing/2014/main" id="{E8C98EFD-6FA6-AB2E-96E0-08509B81462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719" name="Shape 69">
            <a:extLst>
              <a:ext uri="{FF2B5EF4-FFF2-40B4-BE49-F238E27FC236}">
                <a16:creationId xmlns:a16="http://schemas.microsoft.com/office/drawing/2014/main" id="{E3101FFE-14FC-26B7-5D43-49E59949AC8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20" name="Shape 70">
            <a:extLst>
              <a:ext uri="{FF2B5EF4-FFF2-40B4-BE49-F238E27FC236}">
                <a16:creationId xmlns:a16="http://schemas.microsoft.com/office/drawing/2014/main" id="{A39739BA-B55B-0949-8E3A-C68CCB78595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721" name="Shape 71">
            <a:extLst>
              <a:ext uri="{FF2B5EF4-FFF2-40B4-BE49-F238E27FC236}">
                <a16:creationId xmlns:a16="http://schemas.microsoft.com/office/drawing/2014/main" id="{E5D9B8A9-D907-E1A6-C6B1-50618BE58C0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22" name="Shape 72">
            <a:extLst>
              <a:ext uri="{FF2B5EF4-FFF2-40B4-BE49-F238E27FC236}">
                <a16:creationId xmlns:a16="http://schemas.microsoft.com/office/drawing/2014/main" id="{692C4D98-8CC1-C6B3-8DA0-9543AEFDA35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723" name="Shape 73">
            <a:extLst>
              <a:ext uri="{FF2B5EF4-FFF2-40B4-BE49-F238E27FC236}">
                <a16:creationId xmlns:a16="http://schemas.microsoft.com/office/drawing/2014/main" id="{1EF59095-E5D4-360E-19DB-63B5CF3F25F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24" name="Shape 74">
            <a:extLst>
              <a:ext uri="{FF2B5EF4-FFF2-40B4-BE49-F238E27FC236}">
                <a16:creationId xmlns:a16="http://schemas.microsoft.com/office/drawing/2014/main" id="{311AFDF8-1CDB-5DAC-5125-1ECA07907DE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725" name="Shape 75">
            <a:extLst>
              <a:ext uri="{FF2B5EF4-FFF2-40B4-BE49-F238E27FC236}">
                <a16:creationId xmlns:a16="http://schemas.microsoft.com/office/drawing/2014/main" id="{D6AE6F51-20D3-11EA-972F-8626CD886C9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726" name="Shape 76">
            <a:extLst>
              <a:ext uri="{FF2B5EF4-FFF2-40B4-BE49-F238E27FC236}">
                <a16:creationId xmlns:a16="http://schemas.microsoft.com/office/drawing/2014/main" id="{F0314030-26F5-FC7A-7CDE-830DE12EE12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74</xdr:row>
      <xdr:rowOff>2978</xdr:rowOff>
    </xdr:from>
    <xdr:ext cx="33655" cy="33655"/>
    <xdr:grpSp>
      <xdr:nvGrpSpPr>
        <xdr:cNvPr id="2177" name="Group 2">
          <a:extLst>
            <a:ext uri="{FF2B5EF4-FFF2-40B4-BE49-F238E27FC236}">
              <a16:creationId xmlns:a16="http://schemas.microsoft.com/office/drawing/2014/main" id="{67AFA423-A10F-48CF-B2A1-B49A3103193E}"/>
            </a:ext>
          </a:extLst>
        </xdr:cNvPr>
        <xdr:cNvGrpSpPr/>
      </xdr:nvGrpSpPr>
      <xdr:grpSpPr>
        <a:xfrm>
          <a:off x="4603072" y="14043765"/>
          <a:ext cx="33655" cy="33655"/>
          <a:chOff x="0" y="0"/>
          <a:chExt cx="33655" cy="33655"/>
        </a:xfrm>
      </xdr:grpSpPr>
      <xdr:sp macro="" textlink="">
        <xdr:nvSpPr>
          <xdr:cNvPr id="2178" name="Shape 3">
            <a:extLst>
              <a:ext uri="{FF2B5EF4-FFF2-40B4-BE49-F238E27FC236}">
                <a16:creationId xmlns:a16="http://schemas.microsoft.com/office/drawing/2014/main" id="{3BC05937-A129-1A0B-A7E6-77F05B140A6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79" name="Shape 4">
            <a:extLst>
              <a:ext uri="{FF2B5EF4-FFF2-40B4-BE49-F238E27FC236}">
                <a16:creationId xmlns:a16="http://schemas.microsoft.com/office/drawing/2014/main" id="{733B9E3F-F95C-658A-5B5D-EDE9A565F6C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80" name="Shape 5">
            <a:extLst>
              <a:ext uri="{FF2B5EF4-FFF2-40B4-BE49-F238E27FC236}">
                <a16:creationId xmlns:a16="http://schemas.microsoft.com/office/drawing/2014/main" id="{C9A23CAF-D61B-D608-A0BF-60CF4F32339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81" name="Shape 6">
            <a:extLst>
              <a:ext uri="{FF2B5EF4-FFF2-40B4-BE49-F238E27FC236}">
                <a16:creationId xmlns:a16="http://schemas.microsoft.com/office/drawing/2014/main" id="{2F2C9086-0AE1-73D8-2C4D-F47D37AA28F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82" name="Shape 7">
            <a:extLst>
              <a:ext uri="{FF2B5EF4-FFF2-40B4-BE49-F238E27FC236}">
                <a16:creationId xmlns:a16="http://schemas.microsoft.com/office/drawing/2014/main" id="{7644E64B-503F-953B-EA04-39BCBD416FD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83" name="Shape 8">
            <a:extLst>
              <a:ext uri="{FF2B5EF4-FFF2-40B4-BE49-F238E27FC236}">
                <a16:creationId xmlns:a16="http://schemas.microsoft.com/office/drawing/2014/main" id="{C4E6000A-E2F5-321C-C96C-35715FE83B6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84" name="Shape 9">
            <a:extLst>
              <a:ext uri="{FF2B5EF4-FFF2-40B4-BE49-F238E27FC236}">
                <a16:creationId xmlns:a16="http://schemas.microsoft.com/office/drawing/2014/main" id="{1A8C1211-1B2F-C7A0-EDD4-75A7360E039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85" name="Shape 10">
            <a:extLst>
              <a:ext uri="{FF2B5EF4-FFF2-40B4-BE49-F238E27FC236}">
                <a16:creationId xmlns:a16="http://schemas.microsoft.com/office/drawing/2014/main" id="{E5B41F20-B9D0-90EF-F08E-C8620C0E71C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86" name="Shape 11">
            <a:extLst>
              <a:ext uri="{FF2B5EF4-FFF2-40B4-BE49-F238E27FC236}">
                <a16:creationId xmlns:a16="http://schemas.microsoft.com/office/drawing/2014/main" id="{D3979B5F-0405-6645-55D5-4680372B064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87" name="Shape 12">
            <a:extLst>
              <a:ext uri="{FF2B5EF4-FFF2-40B4-BE49-F238E27FC236}">
                <a16:creationId xmlns:a16="http://schemas.microsoft.com/office/drawing/2014/main" id="{202A1B5C-214F-8418-5F5B-EF5502CC18C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88" name="Shape 13">
            <a:extLst>
              <a:ext uri="{FF2B5EF4-FFF2-40B4-BE49-F238E27FC236}">
                <a16:creationId xmlns:a16="http://schemas.microsoft.com/office/drawing/2014/main" id="{A51CC504-FAFE-E88C-6AD0-BE06DD13F0B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89" name="Shape 14">
            <a:extLst>
              <a:ext uri="{FF2B5EF4-FFF2-40B4-BE49-F238E27FC236}">
                <a16:creationId xmlns:a16="http://schemas.microsoft.com/office/drawing/2014/main" id="{B9F774F4-27A8-4CFF-6786-48426B7D823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90" name="Shape 15">
            <a:extLst>
              <a:ext uri="{FF2B5EF4-FFF2-40B4-BE49-F238E27FC236}">
                <a16:creationId xmlns:a16="http://schemas.microsoft.com/office/drawing/2014/main" id="{261E05F9-6C12-0D67-4E3C-847E3520F74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91" name="Shape 16">
            <a:extLst>
              <a:ext uri="{FF2B5EF4-FFF2-40B4-BE49-F238E27FC236}">
                <a16:creationId xmlns:a16="http://schemas.microsoft.com/office/drawing/2014/main" id="{7EE04326-08DC-9812-F229-FB9E9668D51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</xdr:row>
      <xdr:rowOff>3246</xdr:rowOff>
    </xdr:from>
    <xdr:ext cx="33655" cy="33655"/>
    <xdr:grpSp>
      <xdr:nvGrpSpPr>
        <xdr:cNvPr id="2192" name="Group 17">
          <a:extLst>
            <a:ext uri="{FF2B5EF4-FFF2-40B4-BE49-F238E27FC236}">
              <a16:creationId xmlns:a16="http://schemas.microsoft.com/office/drawing/2014/main" id="{D9AA7CDC-6550-4751-9F97-ECBD7F68F927}"/>
            </a:ext>
          </a:extLst>
        </xdr:cNvPr>
        <xdr:cNvGrpSpPr/>
      </xdr:nvGrpSpPr>
      <xdr:grpSpPr>
        <a:xfrm>
          <a:off x="4603072" y="14044033"/>
          <a:ext cx="33655" cy="33655"/>
          <a:chOff x="0" y="0"/>
          <a:chExt cx="33655" cy="33655"/>
        </a:xfrm>
      </xdr:grpSpPr>
      <xdr:sp macro="" textlink="">
        <xdr:nvSpPr>
          <xdr:cNvPr id="2193" name="Shape 18">
            <a:extLst>
              <a:ext uri="{FF2B5EF4-FFF2-40B4-BE49-F238E27FC236}">
                <a16:creationId xmlns:a16="http://schemas.microsoft.com/office/drawing/2014/main" id="{0D8263D5-7B72-D984-C5B7-F9BC0CD88B1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94" name="Shape 19">
            <a:extLst>
              <a:ext uri="{FF2B5EF4-FFF2-40B4-BE49-F238E27FC236}">
                <a16:creationId xmlns:a16="http://schemas.microsoft.com/office/drawing/2014/main" id="{EA3FBE87-213D-8CA6-9FD7-3CFF0ECD131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95" name="Shape 20">
            <a:extLst>
              <a:ext uri="{FF2B5EF4-FFF2-40B4-BE49-F238E27FC236}">
                <a16:creationId xmlns:a16="http://schemas.microsoft.com/office/drawing/2014/main" id="{D2A2B97F-B7EE-14FE-19A2-FCF5F05500F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96" name="Shape 21">
            <a:extLst>
              <a:ext uri="{FF2B5EF4-FFF2-40B4-BE49-F238E27FC236}">
                <a16:creationId xmlns:a16="http://schemas.microsoft.com/office/drawing/2014/main" id="{C137E3AE-61E9-A230-A039-9C9D38F5AA8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97" name="Shape 22">
            <a:extLst>
              <a:ext uri="{FF2B5EF4-FFF2-40B4-BE49-F238E27FC236}">
                <a16:creationId xmlns:a16="http://schemas.microsoft.com/office/drawing/2014/main" id="{3A7CCD72-B702-668A-7E50-51B4BCA68B7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98" name="Shape 23">
            <a:extLst>
              <a:ext uri="{FF2B5EF4-FFF2-40B4-BE49-F238E27FC236}">
                <a16:creationId xmlns:a16="http://schemas.microsoft.com/office/drawing/2014/main" id="{D8FDB520-00FF-20B0-F8D8-A22A38328B6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199" name="Shape 24">
            <a:extLst>
              <a:ext uri="{FF2B5EF4-FFF2-40B4-BE49-F238E27FC236}">
                <a16:creationId xmlns:a16="http://schemas.microsoft.com/office/drawing/2014/main" id="{5ED211EC-0A5D-2A6E-6205-D605717B97D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00" name="Shape 25">
            <a:extLst>
              <a:ext uri="{FF2B5EF4-FFF2-40B4-BE49-F238E27FC236}">
                <a16:creationId xmlns:a16="http://schemas.microsoft.com/office/drawing/2014/main" id="{19C9840E-92A5-1679-353B-87E50E19A5A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01" name="Shape 26">
            <a:extLst>
              <a:ext uri="{FF2B5EF4-FFF2-40B4-BE49-F238E27FC236}">
                <a16:creationId xmlns:a16="http://schemas.microsoft.com/office/drawing/2014/main" id="{57C16532-269E-FE1B-6035-B183482826A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02" name="Shape 27">
            <a:extLst>
              <a:ext uri="{FF2B5EF4-FFF2-40B4-BE49-F238E27FC236}">
                <a16:creationId xmlns:a16="http://schemas.microsoft.com/office/drawing/2014/main" id="{D36AA098-3B41-BB08-7A53-4DC8FE4CE2A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03" name="Shape 28">
            <a:extLst>
              <a:ext uri="{FF2B5EF4-FFF2-40B4-BE49-F238E27FC236}">
                <a16:creationId xmlns:a16="http://schemas.microsoft.com/office/drawing/2014/main" id="{1029641B-5B2F-39D2-1CFD-538BE6BA106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04" name="Shape 29">
            <a:extLst>
              <a:ext uri="{FF2B5EF4-FFF2-40B4-BE49-F238E27FC236}">
                <a16:creationId xmlns:a16="http://schemas.microsoft.com/office/drawing/2014/main" id="{BBE57E51-6159-402A-C0A7-47272BC5356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05" name="Shape 30">
            <a:extLst>
              <a:ext uri="{FF2B5EF4-FFF2-40B4-BE49-F238E27FC236}">
                <a16:creationId xmlns:a16="http://schemas.microsoft.com/office/drawing/2014/main" id="{DF86D6DF-7615-7C04-A8B5-F2ADD6F07E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06" name="Shape 31">
            <a:extLst>
              <a:ext uri="{FF2B5EF4-FFF2-40B4-BE49-F238E27FC236}">
                <a16:creationId xmlns:a16="http://schemas.microsoft.com/office/drawing/2014/main" id="{042E44C9-8773-22B8-F446-A4DA6445409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</xdr:row>
      <xdr:rowOff>160585</xdr:rowOff>
    </xdr:from>
    <xdr:ext cx="33655" cy="33655"/>
    <xdr:grpSp>
      <xdr:nvGrpSpPr>
        <xdr:cNvPr id="2207" name="Group 32">
          <a:extLst>
            <a:ext uri="{FF2B5EF4-FFF2-40B4-BE49-F238E27FC236}">
              <a16:creationId xmlns:a16="http://schemas.microsoft.com/office/drawing/2014/main" id="{B11FA304-B8B6-485E-A558-F4FE6F968647}"/>
            </a:ext>
          </a:extLst>
        </xdr:cNvPr>
        <xdr:cNvGrpSpPr/>
      </xdr:nvGrpSpPr>
      <xdr:grpSpPr>
        <a:xfrm>
          <a:off x="4603072" y="14032733"/>
          <a:ext cx="33655" cy="33655"/>
          <a:chOff x="0" y="0"/>
          <a:chExt cx="33655" cy="33655"/>
        </a:xfrm>
      </xdr:grpSpPr>
      <xdr:sp macro="" textlink="">
        <xdr:nvSpPr>
          <xdr:cNvPr id="2208" name="Shape 33">
            <a:extLst>
              <a:ext uri="{FF2B5EF4-FFF2-40B4-BE49-F238E27FC236}">
                <a16:creationId xmlns:a16="http://schemas.microsoft.com/office/drawing/2014/main" id="{BA91DFC6-6111-CB71-FFFF-98EE40C60DB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09" name="Shape 34">
            <a:extLst>
              <a:ext uri="{FF2B5EF4-FFF2-40B4-BE49-F238E27FC236}">
                <a16:creationId xmlns:a16="http://schemas.microsoft.com/office/drawing/2014/main" id="{AD6FF1F5-E582-CC19-F1DA-A408AADA43C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10" name="Shape 35">
            <a:extLst>
              <a:ext uri="{FF2B5EF4-FFF2-40B4-BE49-F238E27FC236}">
                <a16:creationId xmlns:a16="http://schemas.microsoft.com/office/drawing/2014/main" id="{EE5A0766-811D-BA42-AF85-53C048358BA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11" name="Shape 36">
            <a:extLst>
              <a:ext uri="{FF2B5EF4-FFF2-40B4-BE49-F238E27FC236}">
                <a16:creationId xmlns:a16="http://schemas.microsoft.com/office/drawing/2014/main" id="{428DE728-ECC4-774C-62CC-81B7A07EE70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12" name="Shape 37">
            <a:extLst>
              <a:ext uri="{FF2B5EF4-FFF2-40B4-BE49-F238E27FC236}">
                <a16:creationId xmlns:a16="http://schemas.microsoft.com/office/drawing/2014/main" id="{AB312088-CDAD-E1EF-3E92-A7AC4C32401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13" name="Shape 38">
            <a:extLst>
              <a:ext uri="{FF2B5EF4-FFF2-40B4-BE49-F238E27FC236}">
                <a16:creationId xmlns:a16="http://schemas.microsoft.com/office/drawing/2014/main" id="{11BD49B5-6AFC-3B58-0639-D2E124F8DAB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14" name="Shape 39">
            <a:extLst>
              <a:ext uri="{FF2B5EF4-FFF2-40B4-BE49-F238E27FC236}">
                <a16:creationId xmlns:a16="http://schemas.microsoft.com/office/drawing/2014/main" id="{BA2EFBA0-3954-8068-AFBD-3A6F093F16C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15" name="Shape 40">
            <a:extLst>
              <a:ext uri="{FF2B5EF4-FFF2-40B4-BE49-F238E27FC236}">
                <a16:creationId xmlns:a16="http://schemas.microsoft.com/office/drawing/2014/main" id="{D2513155-15A0-4B75-22D5-D583C11B5FB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16" name="Shape 41">
            <a:extLst>
              <a:ext uri="{FF2B5EF4-FFF2-40B4-BE49-F238E27FC236}">
                <a16:creationId xmlns:a16="http://schemas.microsoft.com/office/drawing/2014/main" id="{A383EA78-31B5-BC79-FD7D-1D1A6349A9F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17" name="Shape 42">
            <a:extLst>
              <a:ext uri="{FF2B5EF4-FFF2-40B4-BE49-F238E27FC236}">
                <a16:creationId xmlns:a16="http://schemas.microsoft.com/office/drawing/2014/main" id="{56195AF6-BE9B-1C11-9E0B-1532630981C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18" name="Shape 43">
            <a:extLst>
              <a:ext uri="{FF2B5EF4-FFF2-40B4-BE49-F238E27FC236}">
                <a16:creationId xmlns:a16="http://schemas.microsoft.com/office/drawing/2014/main" id="{689A37A9-443C-7F7F-5B4A-45DCF74F96A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19" name="Shape 44">
            <a:extLst>
              <a:ext uri="{FF2B5EF4-FFF2-40B4-BE49-F238E27FC236}">
                <a16:creationId xmlns:a16="http://schemas.microsoft.com/office/drawing/2014/main" id="{F960CCAB-CE55-68EC-693E-8B9C038B78A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20" name="Shape 45">
            <a:extLst>
              <a:ext uri="{FF2B5EF4-FFF2-40B4-BE49-F238E27FC236}">
                <a16:creationId xmlns:a16="http://schemas.microsoft.com/office/drawing/2014/main" id="{C739496B-A75B-1415-E175-AA9E72A2CE2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21" name="Shape 46">
            <a:extLst>
              <a:ext uri="{FF2B5EF4-FFF2-40B4-BE49-F238E27FC236}">
                <a16:creationId xmlns:a16="http://schemas.microsoft.com/office/drawing/2014/main" id="{E37B6D8F-5FBB-0DAD-5204-06E7FBFE209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</xdr:row>
      <xdr:rowOff>3409</xdr:rowOff>
    </xdr:from>
    <xdr:ext cx="33655" cy="33655"/>
    <xdr:grpSp>
      <xdr:nvGrpSpPr>
        <xdr:cNvPr id="2222" name="Group 47">
          <a:extLst>
            <a:ext uri="{FF2B5EF4-FFF2-40B4-BE49-F238E27FC236}">
              <a16:creationId xmlns:a16="http://schemas.microsoft.com/office/drawing/2014/main" id="{30DDA16D-E9AF-4832-AE6D-4E2CAEF8FF24}"/>
            </a:ext>
          </a:extLst>
        </xdr:cNvPr>
        <xdr:cNvGrpSpPr/>
      </xdr:nvGrpSpPr>
      <xdr:grpSpPr>
        <a:xfrm>
          <a:off x="4603072" y="14044196"/>
          <a:ext cx="33655" cy="33655"/>
          <a:chOff x="0" y="0"/>
          <a:chExt cx="33655" cy="33655"/>
        </a:xfrm>
      </xdr:grpSpPr>
      <xdr:sp macro="" textlink="">
        <xdr:nvSpPr>
          <xdr:cNvPr id="2223" name="Shape 48">
            <a:extLst>
              <a:ext uri="{FF2B5EF4-FFF2-40B4-BE49-F238E27FC236}">
                <a16:creationId xmlns:a16="http://schemas.microsoft.com/office/drawing/2014/main" id="{5DB3F806-A8CC-9112-0B44-3BFFC0848B5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24" name="Shape 49">
            <a:extLst>
              <a:ext uri="{FF2B5EF4-FFF2-40B4-BE49-F238E27FC236}">
                <a16:creationId xmlns:a16="http://schemas.microsoft.com/office/drawing/2014/main" id="{1413C976-2506-48D8-D08C-6E6545F5B67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25" name="Shape 50">
            <a:extLst>
              <a:ext uri="{FF2B5EF4-FFF2-40B4-BE49-F238E27FC236}">
                <a16:creationId xmlns:a16="http://schemas.microsoft.com/office/drawing/2014/main" id="{D5486A0D-6695-098C-793E-BD3498655FF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26" name="Shape 51">
            <a:extLst>
              <a:ext uri="{FF2B5EF4-FFF2-40B4-BE49-F238E27FC236}">
                <a16:creationId xmlns:a16="http://schemas.microsoft.com/office/drawing/2014/main" id="{BBB5B837-70C1-0D5A-444F-1AD4559AB4C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27" name="Shape 52">
            <a:extLst>
              <a:ext uri="{FF2B5EF4-FFF2-40B4-BE49-F238E27FC236}">
                <a16:creationId xmlns:a16="http://schemas.microsoft.com/office/drawing/2014/main" id="{0C9458DA-6AC6-EFF4-0EED-FEA179C7DB0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28" name="Shape 53">
            <a:extLst>
              <a:ext uri="{FF2B5EF4-FFF2-40B4-BE49-F238E27FC236}">
                <a16:creationId xmlns:a16="http://schemas.microsoft.com/office/drawing/2014/main" id="{A3A0EDD5-D762-C8FA-BE55-419E625F730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29" name="Shape 54">
            <a:extLst>
              <a:ext uri="{FF2B5EF4-FFF2-40B4-BE49-F238E27FC236}">
                <a16:creationId xmlns:a16="http://schemas.microsoft.com/office/drawing/2014/main" id="{D0FDEE9D-0058-4ED1-5896-D039DD50541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30" name="Shape 55">
            <a:extLst>
              <a:ext uri="{FF2B5EF4-FFF2-40B4-BE49-F238E27FC236}">
                <a16:creationId xmlns:a16="http://schemas.microsoft.com/office/drawing/2014/main" id="{D4C33A76-A722-45B1-AF67-FDE5A2DB199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31" name="Shape 56">
            <a:extLst>
              <a:ext uri="{FF2B5EF4-FFF2-40B4-BE49-F238E27FC236}">
                <a16:creationId xmlns:a16="http://schemas.microsoft.com/office/drawing/2014/main" id="{ACE6AF68-5665-C9A5-B063-A15FD5F925C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32" name="Shape 57">
            <a:extLst>
              <a:ext uri="{FF2B5EF4-FFF2-40B4-BE49-F238E27FC236}">
                <a16:creationId xmlns:a16="http://schemas.microsoft.com/office/drawing/2014/main" id="{98C9CE3B-D8DC-001B-35DA-4ADC97C4139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33" name="Shape 58">
            <a:extLst>
              <a:ext uri="{FF2B5EF4-FFF2-40B4-BE49-F238E27FC236}">
                <a16:creationId xmlns:a16="http://schemas.microsoft.com/office/drawing/2014/main" id="{527ACF41-D483-8CD1-2314-FE046F48927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34" name="Shape 59">
            <a:extLst>
              <a:ext uri="{FF2B5EF4-FFF2-40B4-BE49-F238E27FC236}">
                <a16:creationId xmlns:a16="http://schemas.microsoft.com/office/drawing/2014/main" id="{B8AA2161-11D7-8F69-4D44-20F87874CA7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35" name="Shape 60">
            <a:extLst>
              <a:ext uri="{FF2B5EF4-FFF2-40B4-BE49-F238E27FC236}">
                <a16:creationId xmlns:a16="http://schemas.microsoft.com/office/drawing/2014/main" id="{DF5E09CD-34B7-8AFA-1A3E-E47C229B736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36" name="Shape 61">
            <a:extLst>
              <a:ext uri="{FF2B5EF4-FFF2-40B4-BE49-F238E27FC236}">
                <a16:creationId xmlns:a16="http://schemas.microsoft.com/office/drawing/2014/main" id="{0DE5A7D5-36C0-681E-8B27-1489EFF6C62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</xdr:row>
      <xdr:rowOff>160844</xdr:rowOff>
    </xdr:from>
    <xdr:ext cx="33655" cy="33655"/>
    <xdr:grpSp>
      <xdr:nvGrpSpPr>
        <xdr:cNvPr id="2237" name="Group 62">
          <a:extLst>
            <a:ext uri="{FF2B5EF4-FFF2-40B4-BE49-F238E27FC236}">
              <a16:creationId xmlns:a16="http://schemas.microsoft.com/office/drawing/2014/main" id="{31BA0545-CD26-454E-8092-264A01D4AC7D}"/>
            </a:ext>
          </a:extLst>
        </xdr:cNvPr>
        <xdr:cNvGrpSpPr/>
      </xdr:nvGrpSpPr>
      <xdr:grpSpPr>
        <a:xfrm>
          <a:off x="4603072" y="14032992"/>
          <a:ext cx="33655" cy="33655"/>
          <a:chOff x="0" y="0"/>
          <a:chExt cx="33655" cy="33655"/>
        </a:xfrm>
      </xdr:grpSpPr>
      <xdr:sp macro="" textlink="">
        <xdr:nvSpPr>
          <xdr:cNvPr id="2238" name="Shape 63">
            <a:extLst>
              <a:ext uri="{FF2B5EF4-FFF2-40B4-BE49-F238E27FC236}">
                <a16:creationId xmlns:a16="http://schemas.microsoft.com/office/drawing/2014/main" id="{0BA5A51D-BA5E-585E-B7C1-49D977AB8B2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39" name="Shape 64">
            <a:extLst>
              <a:ext uri="{FF2B5EF4-FFF2-40B4-BE49-F238E27FC236}">
                <a16:creationId xmlns:a16="http://schemas.microsoft.com/office/drawing/2014/main" id="{02355F06-3AAD-6EF1-CB0E-04D24774B05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240" name="Shape 65">
            <a:extLst>
              <a:ext uri="{FF2B5EF4-FFF2-40B4-BE49-F238E27FC236}">
                <a16:creationId xmlns:a16="http://schemas.microsoft.com/office/drawing/2014/main" id="{875FD7B7-74CA-9085-B6AF-4AB42A11557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41" name="Shape 66">
            <a:extLst>
              <a:ext uri="{FF2B5EF4-FFF2-40B4-BE49-F238E27FC236}">
                <a16:creationId xmlns:a16="http://schemas.microsoft.com/office/drawing/2014/main" id="{00C1C13A-F988-9EA3-2EEB-C6B3DBD62B6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242" name="Shape 67">
            <a:extLst>
              <a:ext uri="{FF2B5EF4-FFF2-40B4-BE49-F238E27FC236}">
                <a16:creationId xmlns:a16="http://schemas.microsoft.com/office/drawing/2014/main" id="{A49CCE97-009D-9624-FBD7-F28F7AF284C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43" name="Shape 68">
            <a:extLst>
              <a:ext uri="{FF2B5EF4-FFF2-40B4-BE49-F238E27FC236}">
                <a16:creationId xmlns:a16="http://schemas.microsoft.com/office/drawing/2014/main" id="{5DCD44CC-E5B4-3ECE-D302-6E3F2BE2528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244" name="Shape 69">
            <a:extLst>
              <a:ext uri="{FF2B5EF4-FFF2-40B4-BE49-F238E27FC236}">
                <a16:creationId xmlns:a16="http://schemas.microsoft.com/office/drawing/2014/main" id="{5BD0B35F-87E2-295F-053D-45582D0D1CD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45" name="Shape 70">
            <a:extLst>
              <a:ext uri="{FF2B5EF4-FFF2-40B4-BE49-F238E27FC236}">
                <a16:creationId xmlns:a16="http://schemas.microsoft.com/office/drawing/2014/main" id="{2B65E57D-5C85-B5C3-B463-F21750CCD27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246" name="Shape 71">
            <a:extLst>
              <a:ext uri="{FF2B5EF4-FFF2-40B4-BE49-F238E27FC236}">
                <a16:creationId xmlns:a16="http://schemas.microsoft.com/office/drawing/2014/main" id="{B8578EF2-CB49-9816-A2F0-82533625B37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47" name="Shape 72">
            <a:extLst>
              <a:ext uri="{FF2B5EF4-FFF2-40B4-BE49-F238E27FC236}">
                <a16:creationId xmlns:a16="http://schemas.microsoft.com/office/drawing/2014/main" id="{82400E8F-DF2B-B312-E092-0F5C9678A2D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248" name="Shape 73">
            <a:extLst>
              <a:ext uri="{FF2B5EF4-FFF2-40B4-BE49-F238E27FC236}">
                <a16:creationId xmlns:a16="http://schemas.microsoft.com/office/drawing/2014/main" id="{6363B9E7-0CF6-0261-EBF5-891593A55C8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49" name="Shape 74">
            <a:extLst>
              <a:ext uri="{FF2B5EF4-FFF2-40B4-BE49-F238E27FC236}">
                <a16:creationId xmlns:a16="http://schemas.microsoft.com/office/drawing/2014/main" id="{62DA92D7-7DD4-9483-200D-C6DF3124C99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250" name="Shape 75">
            <a:extLst>
              <a:ext uri="{FF2B5EF4-FFF2-40B4-BE49-F238E27FC236}">
                <a16:creationId xmlns:a16="http://schemas.microsoft.com/office/drawing/2014/main" id="{A17C5478-D563-A957-D95E-A398F8B816A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251" name="Shape 76">
            <a:extLst>
              <a:ext uri="{FF2B5EF4-FFF2-40B4-BE49-F238E27FC236}">
                <a16:creationId xmlns:a16="http://schemas.microsoft.com/office/drawing/2014/main" id="{E6877768-6E71-F041-4ADD-47D35047F67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103</xdr:row>
      <xdr:rowOff>2978</xdr:rowOff>
    </xdr:from>
    <xdr:ext cx="33655" cy="33655"/>
    <xdr:grpSp>
      <xdr:nvGrpSpPr>
        <xdr:cNvPr id="2252" name="Group 2">
          <a:extLst>
            <a:ext uri="{FF2B5EF4-FFF2-40B4-BE49-F238E27FC236}">
              <a16:creationId xmlns:a16="http://schemas.microsoft.com/office/drawing/2014/main" id="{E2D95CFE-21F3-4079-A999-5B83FCD031E5}"/>
            </a:ext>
          </a:extLst>
        </xdr:cNvPr>
        <xdr:cNvGrpSpPr/>
      </xdr:nvGrpSpPr>
      <xdr:grpSpPr>
        <a:xfrm>
          <a:off x="4603072" y="19377765"/>
          <a:ext cx="33655" cy="33655"/>
          <a:chOff x="0" y="0"/>
          <a:chExt cx="33655" cy="33655"/>
        </a:xfrm>
      </xdr:grpSpPr>
      <xdr:sp macro="" textlink="">
        <xdr:nvSpPr>
          <xdr:cNvPr id="2253" name="Shape 3">
            <a:extLst>
              <a:ext uri="{FF2B5EF4-FFF2-40B4-BE49-F238E27FC236}">
                <a16:creationId xmlns:a16="http://schemas.microsoft.com/office/drawing/2014/main" id="{D4330B08-B751-DABC-4D22-6210506F87E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54" name="Shape 4">
            <a:extLst>
              <a:ext uri="{FF2B5EF4-FFF2-40B4-BE49-F238E27FC236}">
                <a16:creationId xmlns:a16="http://schemas.microsoft.com/office/drawing/2014/main" id="{10EB8059-219B-61E3-5AA9-9F546ED69EB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55" name="Shape 5">
            <a:extLst>
              <a:ext uri="{FF2B5EF4-FFF2-40B4-BE49-F238E27FC236}">
                <a16:creationId xmlns:a16="http://schemas.microsoft.com/office/drawing/2014/main" id="{7C051F48-3096-2118-46D8-27D95A72175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56" name="Shape 6">
            <a:extLst>
              <a:ext uri="{FF2B5EF4-FFF2-40B4-BE49-F238E27FC236}">
                <a16:creationId xmlns:a16="http://schemas.microsoft.com/office/drawing/2014/main" id="{39F790A5-E7C3-22B3-CF42-E6FCD269104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57" name="Shape 7">
            <a:extLst>
              <a:ext uri="{FF2B5EF4-FFF2-40B4-BE49-F238E27FC236}">
                <a16:creationId xmlns:a16="http://schemas.microsoft.com/office/drawing/2014/main" id="{810C9D92-913A-5152-2A6D-EAF160C4DB7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58" name="Shape 8">
            <a:extLst>
              <a:ext uri="{FF2B5EF4-FFF2-40B4-BE49-F238E27FC236}">
                <a16:creationId xmlns:a16="http://schemas.microsoft.com/office/drawing/2014/main" id="{40B07A77-48A2-A075-4512-11E244F7E4F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59" name="Shape 9">
            <a:extLst>
              <a:ext uri="{FF2B5EF4-FFF2-40B4-BE49-F238E27FC236}">
                <a16:creationId xmlns:a16="http://schemas.microsoft.com/office/drawing/2014/main" id="{B7A0BE2A-4D29-2A4F-4447-75D0598DFA5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60" name="Shape 10">
            <a:extLst>
              <a:ext uri="{FF2B5EF4-FFF2-40B4-BE49-F238E27FC236}">
                <a16:creationId xmlns:a16="http://schemas.microsoft.com/office/drawing/2014/main" id="{557DB58D-778F-E24D-AF93-1971C8E0DA9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61" name="Shape 11">
            <a:extLst>
              <a:ext uri="{FF2B5EF4-FFF2-40B4-BE49-F238E27FC236}">
                <a16:creationId xmlns:a16="http://schemas.microsoft.com/office/drawing/2014/main" id="{428846F9-03D4-B4EA-C0F0-0C0B2015BAA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62" name="Shape 12">
            <a:extLst>
              <a:ext uri="{FF2B5EF4-FFF2-40B4-BE49-F238E27FC236}">
                <a16:creationId xmlns:a16="http://schemas.microsoft.com/office/drawing/2014/main" id="{9368F712-76B6-0659-8377-B7277CC71EF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63" name="Shape 13">
            <a:extLst>
              <a:ext uri="{FF2B5EF4-FFF2-40B4-BE49-F238E27FC236}">
                <a16:creationId xmlns:a16="http://schemas.microsoft.com/office/drawing/2014/main" id="{806261F4-D7AA-33F3-222E-661D51257B6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64" name="Shape 14">
            <a:extLst>
              <a:ext uri="{FF2B5EF4-FFF2-40B4-BE49-F238E27FC236}">
                <a16:creationId xmlns:a16="http://schemas.microsoft.com/office/drawing/2014/main" id="{27ADA006-B62B-C734-C86A-B9D626F7A9A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65" name="Shape 15">
            <a:extLst>
              <a:ext uri="{FF2B5EF4-FFF2-40B4-BE49-F238E27FC236}">
                <a16:creationId xmlns:a16="http://schemas.microsoft.com/office/drawing/2014/main" id="{86F05BB9-D491-A512-C5DF-A9D1F01ABC8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66" name="Shape 16">
            <a:extLst>
              <a:ext uri="{FF2B5EF4-FFF2-40B4-BE49-F238E27FC236}">
                <a16:creationId xmlns:a16="http://schemas.microsoft.com/office/drawing/2014/main" id="{E4F0A237-6FDE-D13B-840A-E0C37913913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103</xdr:row>
      <xdr:rowOff>3246</xdr:rowOff>
    </xdr:from>
    <xdr:ext cx="33655" cy="33655"/>
    <xdr:grpSp>
      <xdr:nvGrpSpPr>
        <xdr:cNvPr id="2267" name="Group 17">
          <a:extLst>
            <a:ext uri="{FF2B5EF4-FFF2-40B4-BE49-F238E27FC236}">
              <a16:creationId xmlns:a16="http://schemas.microsoft.com/office/drawing/2014/main" id="{ECF42158-7590-40B9-8EAB-A8064AF8AE57}"/>
            </a:ext>
          </a:extLst>
        </xdr:cNvPr>
        <xdr:cNvGrpSpPr/>
      </xdr:nvGrpSpPr>
      <xdr:grpSpPr>
        <a:xfrm>
          <a:off x="4603072" y="19378033"/>
          <a:ext cx="33655" cy="33655"/>
          <a:chOff x="0" y="0"/>
          <a:chExt cx="33655" cy="33655"/>
        </a:xfrm>
      </xdr:grpSpPr>
      <xdr:sp macro="" textlink="">
        <xdr:nvSpPr>
          <xdr:cNvPr id="2268" name="Shape 18">
            <a:extLst>
              <a:ext uri="{FF2B5EF4-FFF2-40B4-BE49-F238E27FC236}">
                <a16:creationId xmlns:a16="http://schemas.microsoft.com/office/drawing/2014/main" id="{B2B17B91-3B28-C44B-5AB3-9C965260154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69" name="Shape 19">
            <a:extLst>
              <a:ext uri="{FF2B5EF4-FFF2-40B4-BE49-F238E27FC236}">
                <a16:creationId xmlns:a16="http://schemas.microsoft.com/office/drawing/2014/main" id="{36AFF7A9-0BB3-3E5D-CF11-7B7F7BA2C78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70" name="Shape 20">
            <a:extLst>
              <a:ext uri="{FF2B5EF4-FFF2-40B4-BE49-F238E27FC236}">
                <a16:creationId xmlns:a16="http://schemas.microsoft.com/office/drawing/2014/main" id="{4C6D800A-131D-144E-D197-D6525B33FFD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71" name="Shape 21">
            <a:extLst>
              <a:ext uri="{FF2B5EF4-FFF2-40B4-BE49-F238E27FC236}">
                <a16:creationId xmlns:a16="http://schemas.microsoft.com/office/drawing/2014/main" id="{AC6AFFA8-01F7-938E-871D-968A81CA926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72" name="Shape 22">
            <a:extLst>
              <a:ext uri="{FF2B5EF4-FFF2-40B4-BE49-F238E27FC236}">
                <a16:creationId xmlns:a16="http://schemas.microsoft.com/office/drawing/2014/main" id="{44D6DFBF-1EE5-D4AD-9B21-A6C11757FB7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73" name="Shape 23">
            <a:extLst>
              <a:ext uri="{FF2B5EF4-FFF2-40B4-BE49-F238E27FC236}">
                <a16:creationId xmlns:a16="http://schemas.microsoft.com/office/drawing/2014/main" id="{2FA4BCC9-50A4-BF4A-64FD-CAADBC4053C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74" name="Shape 24">
            <a:extLst>
              <a:ext uri="{FF2B5EF4-FFF2-40B4-BE49-F238E27FC236}">
                <a16:creationId xmlns:a16="http://schemas.microsoft.com/office/drawing/2014/main" id="{58ED1CA8-A155-EA64-CB03-AD43FCD3F56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75" name="Shape 25">
            <a:extLst>
              <a:ext uri="{FF2B5EF4-FFF2-40B4-BE49-F238E27FC236}">
                <a16:creationId xmlns:a16="http://schemas.microsoft.com/office/drawing/2014/main" id="{2AA35C41-8100-24FD-F313-B03663A9BE0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76" name="Shape 26">
            <a:extLst>
              <a:ext uri="{FF2B5EF4-FFF2-40B4-BE49-F238E27FC236}">
                <a16:creationId xmlns:a16="http://schemas.microsoft.com/office/drawing/2014/main" id="{80922118-B23A-E242-A462-4A8E6ABE608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77" name="Shape 27">
            <a:extLst>
              <a:ext uri="{FF2B5EF4-FFF2-40B4-BE49-F238E27FC236}">
                <a16:creationId xmlns:a16="http://schemas.microsoft.com/office/drawing/2014/main" id="{96F728C1-809E-1143-F9C3-E9CFDA544A9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78" name="Shape 28">
            <a:extLst>
              <a:ext uri="{FF2B5EF4-FFF2-40B4-BE49-F238E27FC236}">
                <a16:creationId xmlns:a16="http://schemas.microsoft.com/office/drawing/2014/main" id="{310B4BD1-00AB-3366-8716-DBD60B3BD26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79" name="Shape 29">
            <a:extLst>
              <a:ext uri="{FF2B5EF4-FFF2-40B4-BE49-F238E27FC236}">
                <a16:creationId xmlns:a16="http://schemas.microsoft.com/office/drawing/2014/main" id="{7E9EC738-3479-5163-D8D8-7E3E430A251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80" name="Shape 30">
            <a:extLst>
              <a:ext uri="{FF2B5EF4-FFF2-40B4-BE49-F238E27FC236}">
                <a16:creationId xmlns:a16="http://schemas.microsoft.com/office/drawing/2014/main" id="{83FFE25F-D9AE-B9F7-94AB-9B1C558303B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81" name="Shape 31">
            <a:extLst>
              <a:ext uri="{FF2B5EF4-FFF2-40B4-BE49-F238E27FC236}">
                <a16:creationId xmlns:a16="http://schemas.microsoft.com/office/drawing/2014/main" id="{993DF40C-EE53-5A16-B8BD-20C6A51481F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102</xdr:row>
      <xdr:rowOff>160585</xdr:rowOff>
    </xdr:from>
    <xdr:ext cx="33655" cy="33655"/>
    <xdr:grpSp>
      <xdr:nvGrpSpPr>
        <xdr:cNvPr id="2282" name="Group 32">
          <a:extLst>
            <a:ext uri="{FF2B5EF4-FFF2-40B4-BE49-F238E27FC236}">
              <a16:creationId xmlns:a16="http://schemas.microsoft.com/office/drawing/2014/main" id="{440D9AB4-2E82-4B98-B8FE-919B74352785}"/>
            </a:ext>
          </a:extLst>
        </xdr:cNvPr>
        <xdr:cNvGrpSpPr/>
      </xdr:nvGrpSpPr>
      <xdr:grpSpPr>
        <a:xfrm>
          <a:off x="4603072" y="19366733"/>
          <a:ext cx="33655" cy="33655"/>
          <a:chOff x="0" y="0"/>
          <a:chExt cx="33655" cy="33655"/>
        </a:xfrm>
      </xdr:grpSpPr>
      <xdr:sp macro="" textlink="">
        <xdr:nvSpPr>
          <xdr:cNvPr id="2283" name="Shape 33">
            <a:extLst>
              <a:ext uri="{FF2B5EF4-FFF2-40B4-BE49-F238E27FC236}">
                <a16:creationId xmlns:a16="http://schemas.microsoft.com/office/drawing/2014/main" id="{E4157EAD-0CFE-F22D-3976-C0F6AF9C0ED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84" name="Shape 34">
            <a:extLst>
              <a:ext uri="{FF2B5EF4-FFF2-40B4-BE49-F238E27FC236}">
                <a16:creationId xmlns:a16="http://schemas.microsoft.com/office/drawing/2014/main" id="{B4B40FF0-81FD-AFA2-BB53-C5BD54EB023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85" name="Shape 35">
            <a:extLst>
              <a:ext uri="{FF2B5EF4-FFF2-40B4-BE49-F238E27FC236}">
                <a16:creationId xmlns:a16="http://schemas.microsoft.com/office/drawing/2014/main" id="{21DBE68C-5CE4-58EC-622E-6458B35C2F7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86" name="Shape 36">
            <a:extLst>
              <a:ext uri="{FF2B5EF4-FFF2-40B4-BE49-F238E27FC236}">
                <a16:creationId xmlns:a16="http://schemas.microsoft.com/office/drawing/2014/main" id="{EF2C0BB2-AC46-24C1-9840-D96D429F8CB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87" name="Shape 37">
            <a:extLst>
              <a:ext uri="{FF2B5EF4-FFF2-40B4-BE49-F238E27FC236}">
                <a16:creationId xmlns:a16="http://schemas.microsoft.com/office/drawing/2014/main" id="{93C411EB-8CC1-D57E-E7AB-A68B6E1EA95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88" name="Shape 38">
            <a:extLst>
              <a:ext uri="{FF2B5EF4-FFF2-40B4-BE49-F238E27FC236}">
                <a16:creationId xmlns:a16="http://schemas.microsoft.com/office/drawing/2014/main" id="{050B9A6C-FC7A-5061-A479-9E82A01A91C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89" name="Shape 39">
            <a:extLst>
              <a:ext uri="{FF2B5EF4-FFF2-40B4-BE49-F238E27FC236}">
                <a16:creationId xmlns:a16="http://schemas.microsoft.com/office/drawing/2014/main" id="{E4AA5E67-B3CC-FC66-9445-15CBEF74E6E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90" name="Shape 40">
            <a:extLst>
              <a:ext uri="{FF2B5EF4-FFF2-40B4-BE49-F238E27FC236}">
                <a16:creationId xmlns:a16="http://schemas.microsoft.com/office/drawing/2014/main" id="{19001890-73FD-DBEC-86EB-883A62D2ECC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91" name="Shape 41">
            <a:extLst>
              <a:ext uri="{FF2B5EF4-FFF2-40B4-BE49-F238E27FC236}">
                <a16:creationId xmlns:a16="http://schemas.microsoft.com/office/drawing/2014/main" id="{13DA5866-3B30-EF58-636D-771ABB5EC83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92" name="Shape 42">
            <a:extLst>
              <a:ext uri="{FF2B5EF4-FFF2-40B4-BE49-F238E27FC236}">
                <a16:creationId xmlns:a16="http://schemas.microsoft.com/office/drawing/2014/main" id="{28FA0DDE-B77A-9982-016A-9DA9E5E76D4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93" name="Shape 43">
            <a:extLst>
              <a:ext uri="{FF2B5EF4-FFF2-40B4-BE49-F238E27FC236}">
                <a16:creationId xmlns:a16="http://schemas.microsoft.com/office/drawing/2014/main" id="{7EA6698C-50EC-489C-4960-451428BD0F3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94" name="Shape 44">
            <a:extLst>
              <a:ext uri="{FF2B5EF4-FFF2-40B4-BE49-F238E27FC236}">
                <a16:creationId xmlns:a16="http://schemas.microsoft.com/office/drawing/2014/main" id="{11846E78-9650-C59D-2BD3-9A2DF030A06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95" name="Shape 45">
            <a:extLst>
              <a:ext uri="{FF2B5EF4-FFF2-40B4-BE49-F238E27FC236}">
                <a16:creationId xmlns:a16="http://schemas.microsoft.com/office/drawing/2014/main" id="{690F09D7-2A33-9BAC-B868-66A30F93C80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296" name="Shape 46">
            <a:extLst>
              <a:ext uri="{FF2B5EF4-FFF2-40B4-BE49-F238E27FC236}">
                <a16:creationId xmlns:a16="http://schemas.microsoft.com/office/drawing/2014/main" id="{7473BD16-B5D6-9A41-9DDF-7557222E7A8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103</xdr:row>
      <xdr:rowOff>3409</xdr:rowOff>
    </xdr:from>
    <xdr:ext cx="33655" cy="33655"/>
    <xdr:grpSp>
      <xdr:nvGrpSpPr>
        <xdr:cNvPr id="2297" name="Group 47">
          <a:extLst>
            <a:ext uri="{FF2B5EF4-FFF2-40B4-BE49-F238E27FC236}">
              <a16:creationId xmlns:a16="http://schemas.microsoft.com/office/drawing/2014/main" id="{859B2AB6-0999-4F99-8339-EDCD1EECDB0B}"/>
            </a:ext>
          </a:extLst>
        </xdr:cNvPr>
        <xdr:cNvGrpSpPr/>
      </xdr:nvGrpSpPr>
      <xdr:grpSpPr>
        <a:xfrm>
          <a:off x="4603072" y="19378196"/>
          <a:ext cx="33655" cy="33655"/>
          <a:chOff x="0" y="0"/>
          <a:chExt cx="33655" cy="33655"/>
        </a:xfrm>
      </xdr:grpSpPr>
      <xdr:sp macro="" textlink="">
        <xdr:nvSpPr>
          <xdr:cNvPr id="2298" name="Shape 48">
            <a:extLst>
              <a:ext uri="{FF2B5EF4-FFF2-40B4-BE49-F238E27FC236}">
                <a16:creationId xmlns:a16="http://schemas.microsoft.com/office/drawing/2014/main" id="{A1D6E7AF-C2A4-614C-BED4-65C8C7695F3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299" name="Shape 49">
            <a:extLst>
              <a:ext uri="{FF2B5EF4-FFF2-40B4-BE49-F238E27FC236}">
                <a16:creationId xmlns:a16="http://schemas.microsoft.com/office/drawing/2014/main" id="{A30DF99D-7D62-5A01-6347-9BD8B8FFAAF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00" name="Shape 50">
            <a:extLst>
              <a:ext uri="{FF2B5EF4-FFF2-40B4-BE49-F238E27FC236}">
                <a16:creationId xmlns:a16="http://schemas.microsoft.com/office/drawing/2014/main" id="{4E6C9182-A097-949D-29EE-F9B05150BDD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01" name="Shape 51">
            <a:extLst>
              <a:ext uri="{FF2B5EF4-FFF2-40B4-BE49-F238E27FC236}">
                <a16:creationId xmlns:a16="http://schemas.microsoft.com/office/drawing/2014/main" id="{657835F7-238E-0CC8-626D-DE74375182C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02" name="Shape 52">
            <a:extLst>
              <a:ext uri="{FF2B5EF4-FFF2-40B4-BE49-F238E27FC236}">
                <a16:creationId xmlns:a16="http://schemas.microsoft.com/office/drawing/2014/main" id="{E42CC0B9-CFBC-1A46-0861-90ACD9FF706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03" name="Shape 53">
            <a:extLst>
              <a:ext uri="{FF2B5EF4-FFF2-40B4-BE49-F238E27FC236}">
                <a16:creationId xmlns:a16="http://schemas.microsoft.com/office/drawing/2014/main" id="{AD19F821-0825-F1C8-1661-550107E0EE0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04" name="Shape 54">
            <a:extLst>
              <a:ext uri="{FF2B5EF4-FFF2-40B4-BE49-F238E27FC236}">
                <a16:creationId xmlns:a16="http://schemas.microsoft.com/office/drawing/2014/main" id="{A8629AB3-4BC7-95C7-9509-C72D9797616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05" name="Shape 55">
            <a:extLst>
              <a:ext uri="{FF2B5EF4-FFF2-40B4-BE49-F238E27FC236}">
                <a16:creationId xmlns:a16="http://schemas.microsoft.com/office/drawing/2014/main" id="{88D33024-FF7C-9E42-3CF3-ECB7363D773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06" name="Shape 56">
            <a:extLst>
              <a:ext uri="{FF2B5EF4-FFF2-40B4-BE49-F238E27FC236}">
                <a16:creationId xmlns:a16="http://schemas.microsoft.com/office/drawing/2014/main" id="{A919DF4A-2665-01F5-9AA4-CF9ACC7BE5B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07" name="Shape 57">
            <a:extLst>
              <a:ext uri="{FF2B5EF4-FFF2-40B4-BE49-F238E27FC236}">
                <a16:creationId xmlns:a16="http://schemas.microsoft.com/office/drawing/2014/main" id="{DF0334C0-1E7D-3290-E8AE-5D8703914D9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08" name="Shape 58">
            <a:extLst>
              <a:ext uri="{FF2B5EF4-FFF2-40B4-BE49-F238E27FC236}">
                <a16:creationId xmlns:a16="http://schemas.microsoft.com/office/drawing/2014/main" id="{9D55544D-F557-AE5C-7F9C-189D0D287EF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09" name="Shape 59">
            <a:extLst>
              <a:ext uri="{FF2B5EF4-FFF2-40B4-BE49-F238E27FC236}">
                <a16:creationId xmlns:a16="http://schemas.microsoft.com/office/drawing/2014/main" id="{C9CD855D-BF4C-38F7-E875-64D489D417E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10" name="Shape 60">
            <a:extLst>
              <a:ext uri="{FF2B5EF4-FFF2-40B4-BE49-F238E27FC236}">
                <a16:creationId xmlns:a16="http://schemas.microsoft.com/office/drawing/2014/main" id="{8DD0BF3C-DDA1-57AA-D7A6-F8CFDCD8C0D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11" name="Shape 61">
            <a:extLst>
              <a:ext uri="{FF2B5EF4-FFF2-40B4-BE49-F238E27FC236}">
                <a16:creationId xmlns:a16="http://schemas.microsoft.com/office/drawing/2014/main" id="{6B4CE694-40C1-4226-62B4-A840236197C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102</xdr:row>
      <xdr:rowOff>160844</xdr:rowOff>
    </xdr:from>
    <xdr:ext cx="33655" cy="33655"/>
    <xdr:grpSp>
      <xdr:nvGrpSpPr>
        <xdr:cNvPr id="2312" name="Group 62">
          <a:extLst>
            <a:ext uri="{FF2B5EF4-FFF2-40B4-BE49-F238E27FC236}">
              <a16:creationId xmlns:a16="http://schemas.microsoft.com/office/drawing/2014/main" id="{BA3202A4-1E33-4CF0-8CBD-A7F97D3BB67D}"/>
            </a:ext>
          </a:extLst>
        </xdr:cNvPr>
        <xdr:cNvGrpSpPr/>
      </xdr:nvGrpSpPr>
      <xdr:grpSpPr>
        <a:xfrm>
          <a:off x="4603072" y="19366992"/>
          <a:ext cx="33655" cy="33655"/>
          <a:chOff x="0" y="0"/>
          <a:chExt cx="33655" cy="33655"/>
        </a:xfrm>
      </xdr:grpSpPr>
      <xdr:sp macro="" textlink="">
        <xdr:nvSpPr>
          <xdr:cNvPr id="2313" name="Shape 63">
            <a:extLst>
              <a:ext uri="{FF2B5EF4-FFF2-40B4-BE49-F238E27FC236}">
                <a16:creationId xmlns:a16="http://schemas.microsoft.com/office/drawing/2014/main" id="{CD2548DF-FCD2-CBCD-2094-04D3E1CC395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14" name="Shape 64">
            <a:extLst>
              <a:ext uri="{FF2B5EF4-FFF2-40B4-BE49-F238E27FC236}">
                <a16:creationId xmlns:a16="http://schemas.microsoft.com/office/drawing/2014/main" id="{57793A90-B51A-08ED-DAAD-1679B4B3AFF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15" name="Shape 65">
            <a:extLst>
              <a:ext uri="{FF2B5EF4-FFF2-40B4-BE49-F238E27FC236}">
                <a16:creationId xmlns:a16="http://schemas.microsoft.com/office/drawing/2014/main" id="{1B5ACA03-D707-BB69-3442-417BE6BE079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16" name="Shape 66">
            <a:extLst>
              <a:ext uri="{FF2B5EF4-FFF2-40B4-BE49-F238E27FC236}">
                <a16:creationId xmlns:a16="http://schemas.microsoft.com/office/drawing/2014/main" id="{99B0CEBF-71ED-7741-AD53-01BA99D5FD0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17" name="Shape 67">
            <a:extLst>
              <a:ext uri="{FF2B5EF4-FFF2-40B4-BE49-F238E27FC236}">
                <a16:creationId xmlns:a16="http://schemas.microsoft.com/office/drawing/2014/main" id="{BC39AE90-B09F-F375-45EC-ADA553B89B2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18" name="Shape 68">
            <a:extLst>
              <a:ext uri="{FF2B5EF4-FFF2-40B4-BE49-F238E27FC236}">
                <a16:creationId xmlns:a16="http://schemas.microsoft.com/office/drawing/2014/main" id="{759CA004-B1BF-C40C-612C-22AED3D3FC6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19" name="Shape 69">
            <a:extLst>
              <a:ext uri="{FF2B5EF4-FFF2-40B4-BE49-F238E27FC236}">
                <a16:creationId xmlns:a16="http://schemas.microsoft.com/office/drawing/2014/main" id="{A4FCB8A3-7F93-A025-4EAB-AD0B01C391E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20" name="Shape 70">
            <a:extLst>
              <a:ext uri="{FF2B5EF4-FFF2-40B4-BE49-F238E27FC236}">
                <a16:creationId xmlns:a16="http://schemas.microsoft.com/office/drawing/2014/main" id="{896FB5CD-24D5-1B96-0184-2C2B30F697F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21" name="Shape 71">
            <a:extLst>
              <a:ext uri="{FF2B5EF4-FFF2-40B4-BE49-F238E27FC236}">
                <a16:creationId xmlns:a16="http://schemas.microsoft.com/office/drawing/2014/main" id="{8F042B78-1AFD-42A0-9A5D-0D4EB706B62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22" name="Shape 72">
            <a:extLst>
              <a:ext uri="{FF2B5EF4-FFF2-40B4-BE49-F238E27FC236}">
                <a16:creationId xmlns:a16="http://schemas.microsoft.com/office/drawing/2014/main" id="{CBE5D96A-6347-1E29-3FB2-ACEA6E6B736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23" name="Shape 73">
            <a:extLst>
              <a:ext uri="{FF2B5EF4-FFF2-40B4-BE49-F238E27FC236}">
                <a16:creationId xmlns:a16="http://schemas.microsoft.com/office/drawing/2014/main" id="{B4CD660F-D0D0-86C2-DFB9-4AD5EAB5F06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24" name="Shape 74">
            <a:extLst>
              <a:ext uri="{FF2B5EF4-FFF2-40B4-BE49-F238E27FC236}">
                <a16:creationId xmlns:a16="http://schemas.microsoft.com/office/drawing/2014/main" id="{368394F3-A4C0-2552-0206-35316294CD6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25" name="Shape 75">
            <a:extLst>
              <a:ext uri="{FF2B5EF4-FFF2-40B4-BE49-F238E27FC236}">
                <a16:creationId xmlns:a16="http://schemas.microsoft.com/office/drawing/2014/main" id="{100F78D7-8927-2D8A-1D6E-93D4091FEF1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26" name="Shape 76">
            <a:extLst>
              <a:ext uri="{FF2B5EF4-FFF2-40B4-BE49-F238E27FC236}">
                <a16:creationId xmlns:a16="http://schemas.microsoft.com/office/drawing/2014/main" id="{0C7529C9-61C6-BBED-C7DF-21F9AED8063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114</xdr:row>
      <xdr:rowOff>2978</xdr:rowOff>
    </xdr:from>
    <xdr:ext cx="33655" cy="33655"/>
    <xdr:grpSp>
      <xdr:nvGrpSpPr>
        <xdr:cNvPr id="2327" name="Group 2">
          <a:extLst>
            <a:ext uri="{FF2B5EF4-FFF2-40B4-BE49-F238E27FC236}">
              <a16:creationId xmlns:a16="http://schemas.microsoft.com/office/drawing/2014/main" id="{1C7BF259-B74D-4961-A5EF-BF8680829C39}"/>
            </a:ext>
          </a:extLst>
        </xdr:cNvPr>
        <xdr:cNvGrpSpPr/>
      </xdr:nvGrpSpPr>
      <xdr:grpSpPr>
        <a:xfrm>
          <a:off x="4603072" y="21538847"/>
          <a:ext cx="33655" cy="33655"/>
          <a:chOff x="0" y="0"/>
          <a:chExt cx="33655" cy="33655"/>
        </a:xfrm>
      </xdr:grpSpPr>
      <xdr:sp macro="" textlink="">
        <xdr:nvSpPr>
          <xdr:cNvPr id="2328" name="Shape 3">
            <a:extLst>
              <a:ext uri="{FF2B5EF4-FFF2-40B4-BE49-F238E27FC236}">
                <a16:creationId xmlns:a16="http://schemas.microsoft.com/office/drawing/2014/main" id="{D37412D0-4FEC-B021-A529-BB5A636618F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29" name="Shape 4">
            <a:extLst>
              <a:ext uri="{FF2B5EF4-FFF2-40B4-BE49-F238E27FC236}">
                <a16:creationId xmlns:a16="http://schemas.microsoft.com/office/drawing/2014/main" id="{9089E9E9-F8E4-1AF8-96C5-79C22A1B07C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30" name="Shape 5">
            <a:extLst>
              <a:ext uri="{FF2B5EF4-FFF2-40B4-BE49-F238E27FC236}">
                <a16:creationId xmlns:a16="http://schemas.microsoft.com/office/drawing/2014/main" id="{646858B3-A217-3F25-6B33-C52FD62E144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31" name="Shape 6">
            <a:extLst>
              <a:ext uri="{FF2B5EF4-FFF2-40B4-BE49-F238E27FC236}">
                <a16:creationId xmlns:a16="http://schemas.microsoft.com/office/drawing/2014/main" id="{DAB1DC53-A36A-EACD-4472-0A050D9FD53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32" name="Shape 7">
            <a:extLst>
              <a:ext uri="{FF2B5EF4-FFF2-40B4-BE49-F238E27FC236}">
                <a16:creationId xmlns:a16="http://schemas.microsoft.com/office/drawing/2014/main" id="{90E97314-01DF-D1F7-2457-251D7A4F9BF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33" name="Shape 8">
            <a:extLst>
              <a:ext uri="{FF2B5EF4-FFF2-40B4-BE49-F238E27FC236}">
                <a16:creationId xmlns:a16="http://schemas.microsoft.com/office/drawing/2014/main" id="{59B7109B-E84D-7333-645E-6E78F9C36A5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34" name="Shape 9">
            <a:extLst>
              <a:ext uri="{FF2B5EF4-FFF2-40B4-BE49-F238E27FC236}">
                <a16:creationId xmlns:a16="http://schemas.microsoft.com/office/drawing/2014/main" id="{B41CFB81-04E7-9317-47A0-EA27E508E50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35" name="Shape 10">
            <a:extLst>
              <a:ext uri="{FF2B5EF4-FFF2-40B4-BE49-F238E27FC236}">
                <a16:creationId xmlns:a16="http://schemas.microsoft.com/office/drawing/2014/main" id="{B215F6BD-A662-5FBF-38EF-4171FCDDFDF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36" name="Shape 11">
            <a:extLst>
              <a:ext uri="{FF2B5EF4-FFF2-40B4-BE49-F238E27FC236}">
                <a16:creationId xmlns:a16="http://schemas.microsoft.com/office/drawing/2014/main" id="{F2DAF691-96E9-235E-3713-AE19EBB65F0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37" name="Shape 12">
            <a:extLst>
              <a:ext uri="{FF2B5EF4-FFF2-40B4-BE49-F238E27FC236}">
                <a16:creationId xmlns:a16="http://schemas.microsoft.com/office/drawing/2014/main" id="{6ECCA05A-5FB1-60D4-C155-F740B03667D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38" name="Shape 13">
            <a:extLst>
              <a:ext uri="{FF2B5EF4-FFF2-40B4-BE49-F238E27FC236}">
                <a16:creationId xmlns:a16="http://schemas.microsoft.com/office/drawing/2014/main" id="{F8CFABD5-A389-4CE2-C2B1-0E773763E59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39" name="Shape 14">
            <a:extLst>
              <a:ext uri="{FF2B5EF4-FFF2-40B4-BE49-F238E27FC236}">
                <a16:creationId xmlns:a16="http://schemas.microsoft.com/office/drawing/2014/main" id="{134E72E3-9A52-1C3B-8DB5-BA8D7646338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40" name="Shape 15">
            <a:extLst>
              <a:ext uri="{FF2B5EF4-FFF2-40B4-BE49-F238E27FC236}">
                <a16:creationId xmlns:a16="http://schemas.microsoft.com/office/drawing/2014/main" id="{1E6518BB-3C0C-4F2D-272A-6844BF5692E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41" name="Shape 16">
            <a:extLst>
              <a:ext uri="{FF2B5EF4-FFF2-40B4-BE49-F238E27FC236}">
                <a16:creationId xmlns:a16="http://schemas.microsoft.com/office/drawing/2014/main" id="{C7F15CDD-AC9F-5ACD-7B07-E2C46292CA0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114</xdr:row>
      <xdr:rowOff>3246</xdr:rowOff>
    </xdr:from>
    <xdr:ext cx="33655" cy="33655"/>
    <xdr:grpSp>
      <xdr:nvGrpSpPr>
        <xdr:cNvPr id="2342" name="Group 17">
          <a:extLst>
            <a:ext uri="{FF2B5EF4-FFF2-40B4-BE49-F238E27FC236}">
              <a16:creationId xmlns:a16="http://schemas.microsoft.com/office/drawing/2014/main" id="{E37FE0CB-B8E6-49F3-8AE8-87B8DD98EF58}"/>
            </a:ext>
          </a:extLst>
        </xdr:cNvPr>
        <xdr:cNvGrpSpPr/>
      </xdr:nvGrpSpPr>
      <xdr:grpSpPr>
        <a:xfrm>
          <a:off x="4603072" y="21539115"/>
          <a:ext cx="33655" cy="33655"/>
          <a:chOff x="0" y="0"/>
          <a:chExt cx="33655" cy="33655"/>
        </a:xfrm>
      </xdr:grpSpPr>
      <xdr:sp macro="" textlink="">
        <xdr:nvSpPr>
          <xdr:cNvPr id="2343" name="Shape 18">
            <a:extLst>
              <a:ext uri="{FF2B5EF4-FFF2-40B4-BE49-F238E27FC236}">
                <a16:creationId xmlns:a16="http://schemas.microsoft.com/office/drawing/2014/main" id="{A8F77CE2-455B-8028-10D8-197F399493D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44" name="Shape 19">
            <a:extLst>
              <a:ext uri="{FF2B5EF4-FFF2-40B4-BE49-F238E27FC236}">
                <a16:creationId xmlns:a16="http://schemas.microsoft.com/office/drawing/2014/main" id="{C6150A8D-2630-6130-29EF-C9F3AD512F2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45" name="Shape 20">
            <a:extLst>
              <a:ext uri="{FF2B5EF4-FFF2-40B4-BE49-F238E27FC236}">
                <a16:creationId xmlns:a16="http://schemas.microsoft.com/office/drawing/2014/main" id="{40CBCCA9-2905-CBE1-342C-B73E6EA8EDD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46" name="Shape 21">
            <a:extLst>
              <a:ext uri="{FF2B5EF4-FFF2-40B4-BE49-F238E27FC236}">
                <a16:creationId xmlns:a16="http://schemas.microsoft.com/office/drawing/2014/main" id="{E238B066-A14E-718A-A85C-B63AC337A02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47" name="Shape 22">
            <a:extLst>
              <a:ext uri="{FF2B5EF4-FFF2-40B4-BE49-F238E27FC236}">
                <a16:creationId xmlns:a16="http://schemas.microsoft.com/office/drawing/2014/main" id="{8D22713B-854A-0BA5-94F1-C7319F81A7E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48" name="Shape 23">
            <a:extLst>
              <a:ext uri="{FF2B5EF4-FFF2-40B4-BE49-F238E27FC236}">
                <a16:creationId xmlns:a16="http://schemas.microsoft.com/office/drawing/2014/main" id="{F9848154-389F-093F-AE1A-FA19AAE338D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49" name="Shape 24">
            <a:extLst>
              <a:ext uri="{FF2B5EF4-FFF2-40B4-BE49-F238E27FC236}">
                <a16:creationId xmlns:a16="http://schemas.microsoft.com/office/drawing/2014/main" id="{A338C393-E201-1154-D7DB-65F9C503A4A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50" name="Shape 25">
            <a:extLst>
              <a:ext uri="{FF2B5EF4-FFF2-40B4-BE49-F238E27FC236}">
                <a16:creationId xmlns:a16="http://schemas.microsoft.com/office/drawing/2014/main" id="{99383701-0947-5352-DDA2-38DF3B85C87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51" name="Shape 26">
            <a:extLst>
              <a:ext uri="{FF2B5EF4-FFF2-40B4-BE49-F238E27FC236}">
                <a16:creationId xmlns:a16="http://schemas.microsoft.com/office/drawing/2014/main" id="{2E855F7E-2974-62BE-B1E9-11B946142D7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52" name="Shape 27">
            <a:extLst>
              <a:ext uri="{FF2B5EF4-FFF2-40B4-BE49-F238E27FC236}">
                <a16:creationId xmlns:a16="http://schemas.microsoft.com/office/drawing/2014/main" id="{A3C07F8E-85D3-2AE4-E6CE-7A25210758C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53" name="Shape 28">
            <a:extLst>
              <a:ext uri="{FF2B5EF4-FFF2-40B4-BE49-F238E27FC236}">
                <a16:creationId xmlns:a16="http://schemas.microsoft.com/office/drawing/2014/main" id="{08A94FAD-6DDD-F00D-A55C-E6F49B1DD36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54" name="Shape 29">
            <a:extLst>
              <a:ext uri="{FF2B5EF4-FFF2-40B4-BE49-F238E27FC236}">
                <a16:creationId xmlns:a16="http://schemas.microsoft.com/office/drawing/2014/main" id="{A388A156-87DC-9C1C-7BCC-03046674BB4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55" name="Shape 30">
            <a:extLst>
              <a:ext uri="{FF2B5EF4-FFF2-40B4-BE49-F238E27FC236}">
                <a16:creationId xmlns:a16="http://schemas.microsoft.com/office/drawing/2014/main" id="{4C07093A-4258-77CD-B343-7EC4470B0A4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56" name="Shape 31">
            <a:extLst>
              <a:ext uri="{FF2B5EF4-FFF2-40B4-BE49-F238E27FC236}">
                <a16:creationId xmlns:a16="http://schemas.microsoft.com/office/drawing/2014/main" id="{9DAA3F59-D964-D53A-ACF6-4BF65F0DDA4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113</xdr:row>
      <xdr:rowOff>160585</xdr:rowOff>
    </xdr:from>
    <xdr:ext cx="33655" cy="33655"/>
    <xdr:grpSp>
      <xdr:nvGrpSpPr>
        <xdr:cNvPr id="2357" name="Group 32">
          <a:extLst>
            <a:ext uri="{FF2B5EF4-FFF2-40B4-BE49-F238E27FC236}">
              <a16:creationId xmlns:a16="http://schemas.microsoft.com/office/drawing/2014/main" id="{2EAEA767-23EA-49C1-868A-62B46D247375}"/>
            </a:ext>
          </a:extLst>
        </xdr:cNvPr>
        <xdr:cNvGrpSpPr/>
      </xdr:nvGrpSpPr>
      <xdr:grpSpPr>
        <a:xfrm>
          <a:off x="4603072" y="21527815"/>
          <a:ext cx="33655" cy="33655"/>
          <a:chOff x="0" y="0"/>
          <a:chExt cx="33655" cy="33655"/>
        </a:xfrm>
      </xdr:grpSpPr>
      <xdr:sp macro="" textlink="">
        <xdr:nvSpPr>
          <xdr:cNvPr id="2358" name="Shape 33">
            <a:extLst>
              <a:ext uri="{FF2B5EF4-FFF2-40B4-BE49-F238E27FC236}">
                <a16:creationId xmlns:a16="http://schemas.microsoft.com/office/drawing/2014/main" id="{563D5672-E154-0F53-29BE-E70DFEBFA3F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59" name="Shape 34">
            <a:extLst>
              <a:ext uri="{FF2B5EF4-FFF2-40B4-BE49-F238E27FC236}">
                <a16:creationId xmlns:a16="http://schemas.microsoft.com/office/drawing/2014/main" id="{658BF278-D19A-BB18-D2B3-9040A9A59E5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60" name="Shape 35">
            <a:extLst>
              <a:ext uri="{FF2B5EF4-FFF2-40B4-BE49-F238E27FC236}">
                <a16:creationId xmlns:a16="http://schemas.microsoft.com/office/drawing/2014/main" id="{A348EE89-3A35-2543-5B9F-FE4F477D4EA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61" name="Shape 36">
            <a:extLst>
              <a:ext uri="{FF2B5EF4-FFF2-40B4-BE49-F238E27FC236}">
                <a16:creationId xmlns:a16="http://schemas.microsoft.com/office/drawing/2014/main" id="{DE77E876-F176-CCB5-2BB6-8E446A5A379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62" name="Shape 37">
            <a:extLst>
              <a:ext uri="{FF2B5EF4-FFF2-40B4-BE49-F238E27FC236}">
                <a16:creationId xmlns:a16="http://schemas.microsoft.com/office/drawing/2014/main" id="{373D2F08-8F5B-C5CD-0F18-2F6DB5F4A33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63" name="Shape 38">
            <a:extLst>
              <a:ext uri="{FF2B5EF4-FFF2-40B4-BE49-F238E27FC236}">
                <a16:creationId xmlns:a16="http://schemas.microsoft.com/office/drawing/2014/main" id="{2EEE2A32-3D8D-C1E8-750A-5EB108C4A9C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64" name="Shape 39">
            <a:extLst>
              <a:ext uri="{FF2B5EF4-FFF2-40B4-BE49-F238E27FC236}">
                <a16:creationId xmlns:a16="http://schemas.microsoft.com/office/drawing/2014/main" id="{2A7162A9-5409-7C66-096D-2ACC41CC3BB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65" name="Shape 40">
            <a:extLst>
              <a:ext uri="{FF2B5EF4-FFF2-40B4-BE49-F238E27FC236}">
                <a16:creationId xmlns:a16="http://schemas.microsoft.com/office/drawing/2014/main" id="{14B272B5-85C5-C4EC-EF21-0845F02785E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66" name="Shape 41">
            <a:extLst>
              <a:ext uri="{FF2B5EF4-FFF2-40B4-BE49-F238E27FC236}">
                <a16:creationId xmlns:a16="http://schemas.microsoft.com/office/drawing/2014/main" id="{AEACF52E-C0DA-6FE9-229F-0C87E5190FE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67" name="Shape 42">
            <a:extLst>
              <a:ext uri="{FF2B5EF4-FFF2-40B4-BE49-F238E27FC236}">
                <a16:creationId xmlns:a16="http://schemas.microsoft.com/office/drawing/2014/main" id="{26DF26CC-D85E-3D49-29B7-39186530959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68" name="Shape 43">
            <a:extLst>
              <a:ext uri="{FF2B5EF4-FFF2-40B4-BE49-F238E27FC236}">
                <a16:creationId xmlns:a16="http://schemas.microsoft.com/office/drawing/2014/main" id="{FA6DC63A-CDF3-A689-7C22-F3F07D3C03C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69" name="Shape 44">
            <a:extLst>
              <a:ext uri="{FF2B5EF4-FFF2-40B4-BE49-F238E27FC236}">
                <a16:creationId xmlns:a16="http://schemas.microsoft.com/office/drawing/2014/main" id="{F589A148-33F8-55F7-4192-15F6761359B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70" name="Shape 45">
            <a:extLst>
              <a:ext uri="{FF2B5EF4-FFF2-40B4-BE49-F238E27FC236}">
                <a16:creationId xmlns:a16="http://schemas.microsoft.com/office/drawing/2014/main" id="{931A2FCA-B6B5-C75C-DDB9-5010C4DC74D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71" name="Shape 46">
            <a:extLst>
              <a:ext uri="{FF2B5EF4-FFF2-40B4-BE49-F238E27FC236}">
                <a16:creationId xmlns:a16="http://schemas.microsoft.com/office/drawing/2014/main" id="{DA0A7B1A-931C-6BA1-A8A4-69C64D9CC89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114</xdr:row>
      <xdr:rowOff>3409</xdr:rowOff>
    </xdr:from>
    <xdr:ext cx="33655" cy="33655"/>
    <xdr:grpSp>
      <xdr:nvGrpSpPr>
        <xdr:cNvPr id="2372" name="Group 47">
          <a:extLst>
            <a:ext uri="{FF2B5EF4-FFF2-40B4-BE49-F238E27FC236}">
              <a16:creationId xmlns:a16="http://schemas.microsoft.com/office/drawing/2014/main" id="{0470A9CE-9183-4609-82E1-B30595310D81}"/>
            </a:ext>
          </a:extLst>
        </xdr:cNvPr>
        <xdr:cNvGrpSpPr/>
      </xdr:nvGrpSpPr>
      <xdr:grpSpPr>
        <a:xfrm>
          <a:off x="4603072" y="21539278"/>
          <a:ext cx="33655" cy="33655"/>
          <a:chOff x="0" y="0"/>
          <a:chExt cx="33655" cy="33655"/>
        </a:xfrm>
      </xdr:grpSpPr>
      <xdr:sp macro="" textlink="">
        <xdr:nvSpPr>
          <xdr:cNvPr id="2373" name="Shape 48">
            <a:extLst>
              <a:ext uri="{FF2B5EF4-FFF2-40B4-BE49-F238E27FC236}">
                <a16:creationId xmlns:a16="http://schemas.microsoft.com/office/drawing/2014/main" id="{826400E0-EAD2-9845-FAF9-CEC82F7BB03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74" name="Shape 49">
            <a:extLst>
              <a:ext uri="{FF2B5EF4-FFF2-40B4-BE49-F238E27FC236}">
                <a16:creationId xmlns:a16="http://schemas.microsoft.com/office/drawing/2014/main" id="{5910E3BE-E609-11AC-E877-A659646EEEA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75" name="Shape 50">
            <a:extLst>
              <a:ext uri="{FF2B5EF4-FFF2-40B4-BE49-F238E27FC236}">
                <a16:creationId xmlns:a16="http://schemas.microsoft.com/office/drawing/2014/main" id="{3661A02A-3F73-D4E9-59FF-CE6B17E67D1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76" name="Shape 51">
            <a:extLst>
              <a:ext uri="{FF2B5EF4-FFF2-40B4-BE49-F238E27FC236}">
                <a16:creationId xmlns:a16="http://schemas.microsoft.com/office/drawing/2014/main" id="{61F15A77-E738-E88F-F1B9-CA584598040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77" name="Shape 52">
            <a:extLst>
              <a:ext uri="{FF2B5EF4-FFF2-40B4-BE49-F238E27FC236}">
                <a16:creationId xmlns:a16="http://schemas.microsoft.com/office/drawing/2014/main" id="{61F9DAD5-C809-13FA-C36A-D4F8B7F94F9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78" name="Shape 53">
            <a:extLst>
              <a:ext uri="{FF2B5EF4-FFF2-40B4-BE49-F238E27FC236}">
                <a16:creationId xmlns:a16="http://schemas.microsoft.com/office/drawing/2014/main" id="{EF2D0E73-6099-4548-EE3E-B4E74102DBA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79" name="Shape 54">
            <a:extLst>
              <a:ext uri="{FF2B5EF4-FFF2-40B4-BE49-F238E27FC236}">
                <a16:creationId xmlns:a16="http://schemas.microsoft.com/office/drawing/2014/main" id="{4A960713-D07E-279A-4C85-DC9044B8201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80" name="Shape 55">
            <a:extLst>
              <a:ext uri="{FF2B5EF4-FFF2-40B4-BE49-F238E27FC236}">
                <a16:creationId xmlns:a16="http://schemas.microsoft.com/office/drawing/2014/main" id="{76689CD1-D88B-07B7-7941-8935984C56E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81" name="Shape 56">
            <a:extLst>
              <a:ext uri="{FF2B5EF4-FFF2-40B4-BE49-F238E27FC236}">
                <a16:creationId xmlns:a16="http://schemas.microsoft.com/office/drawing/2014/main" id="{C867B887-89BF-DC7F-AC99-AE3C824C229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82" name="Shape 57">
            <a:extLst>
              <a:ext uri="{FF2B5EF4-FFF2-40B4-BE49-F238E27FC236}">
                <a16:creationId xmlns:a16="http://schemas.microsoft.com/office/drawing/2014/main" id="{76639660-5505-5EFB-8497-91921DFD3ED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83" name="Shape 58">
            <a:extLst>
              <a:ext uri="{FF2B5EF4-FFF2-40B4-BE49-F238E27FC236}">
                <a16:creationId xmlns:a16="http://schemas.microsoft.com/office/drawing/2014/main" id="{D16D1B6F-19B9-BA25-DD2D-02CF799E584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84" name="Shape 59">
            <a:extLst>
              <a:ext uri="{FF2B5EF4-FFF2-40B4-BE49-F238E27FC236}">
                <a16:creationId xmlns:a16="http://schemas.microsoft.com/office/drawing/2014/main" id="{2C7E78B6-864F-1E19-C4B9-BADAF26E21B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85" name="Shape 60">
            <a:extLst>
              <a:ext uri="{FF2B5EF4-FFF2-40B4-BE49-F238E27FC236}">
                <a16:creationId xmlns:a16="http://schemas.microsoft.com/office/drawing/2014/main" id="{C7B56CD9-79A3-619C-1C05-60005FCCAE6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386" name="Shape 61">
            <a:extLst>
              <a:ext uri="{FF2B5EF4-FFF2-40B4-BE49-F238E27FC236}">
                <a16:creationId xmlns:a16="http://schemas.microsoft.com/office/drawing/2014/main" id="{8A99E3FB-150E-D6FD-2DB1-88BD92507F1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113</xdr:row>
      <xdr:rowOff>160844</xdr:rowOff>
    </xdr:from>
    <xdr:ext cx="33655" cy="33655"/>
    <xdr:grpSp>
      <xdr:nvGrpSpPr>
        <xdr:cNvPr id="2387" name="Group 62">
          <a:extLst>
            <a:ext uri="{FF2B5EF4-FFF2-40B4-BE49-F238E27FC236}">
              <a16:creationId xmlns:a16="http://schemas.microsoft.com/office/drawing/2014/main" id="{E206CC07-3F57-4502-B6D7-8F73B139F888}"/>
            </a:ext>
          </a:extLst>
        </xdr:cNvPr>
        <xdr:cNvGrpSpPr/>
      </xdr:nvGrpSpPr>
      <xdr:grpSpPr>
        <a:xfrm>
          <a:off x="4603072" y="21528074"/>
          <a:ext cx="33655" cy="33655"/>
          <a:chOff x="0" y="0"/>
          <a:chExt cx="33655" cy="33655"/>
        </a:xfrm>
      </xdr:grpSpPr>
      <xdr:sp macro="" textlink="">
        <xdr:nvSpPr>
          <xdr:cNvPr id="2388" name="Shape 63">
            <a:extLst>
              <a:ext uri="{FF2B5EF4-FFF2-40B4-BE49-F238E27FC236}">
                <a16:creationId xmlns:a16="http://schemas.microsoft.com/office/drawing/2014/main" id="{7017C2C6-D7CE-A9FC-3210-F054789AEA5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89" name="Shape 64">
            <a:extLst>
              <a:ext uri="{FF2B5EF4-FFF2-40B4-BE49-F238E27FC236}">
                <a16:creationId xmlns:a16="http://schemas.microsoft.com/office/drawing/2014/main" id="{8F7D4E1B-B635-EB42-509A-7F691C6DAE7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90" name="Shape 65">
            <a:extLst>
              <a:ext uri="{FF2B5EF4-FFF2-40B4-BE49-F238E27FC236}">
                <a16:creationId xmlns:a16="http://schemas.microsoft.com/office/drawing/2014/main" id="{5BEA5E0F-9142-7117-9255-367A4320BB1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91" name="Shape 66">
            <a:extLst>
              <a:ext uri="{FF2B5EF4-FFF2-40B4-BE49-F238E27FC236}">
                <a16:creationId xmlns:a16="http://schemas.microsoft.com/office/drawing/2014/main" id="{07B83E23-BB99-6E8D-717B-AADFB4CBC9C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92" name="Shape 67">
            <a:extLst>
              <a:ext uri="{FF2B5EF4-FFF2-40B4-BE49-F238E27FC236}">
                <a16:creationId xmlns:a16="http://schemas.microsoft.com/office/drawing/2014/main" id="{868E8401-ECC0-B3BD-3609-02D681EE472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93" name="Shape 68">
            <a:extLst>
              <a:ext uri="{FF2B5EF4-FFF2-40B4-BE49-F238E27FC236}">
                <a16:creationId xmlns:a16="http://schemas.microsoft.com/office/drawing/2014/main" id="{EC60F57A-D164-81E6-10B9-103E1BF330E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94" name="Shape 69">
            <a:extLst>
              <a:ext uri="{FF2B5EF4-FFF2-40B4-BE49-F238E27FC236}">
                <a16:creationId xmlns:a16="http://schemas.microsoft.com/office/drawing/2014/main" id="{F7F9654D-798B-9BA1-1C69-A7A3B4F444F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95" name="Shape 70">
            <a:extLst>
              <a:ext uri="{FF2B5EF4-FFF2-40B4-BE49-F238E27FC236}">
                <a16:creationId xmlns:a16="http://schemas.microsoft.com/office/drawing/2014/main" id="{80575277-CE47-0814-F2EF-8F9C71DEA64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96" name="Shape 71">
            <a:extLst>
              <a:ext uri="{FF2B5EF4-FFF2-40B4-BE49-F238E27FC236}">
                <a16:creationId xmlns:a16="http://schemas.microsoft.com/office/drawing/2014/main" id="{392A294A-FFF2-AC08-3C80-7FA649AAB9F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97" name="Shape 72">
            <a:extLst>
              <a:ext uri="{FF2B5EF4-FFF2-40B4-BE49-F238E27FC236}">
                <a16:creationId xmlns:a16="http://schemas.microsoft.com/office/drawing/2014/main" id="{D4A5B718-6035-AABC-93DF-A0A1BDA58AF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398" name="Shape 73">
            <a:extLst>
              <a:ext uri="{FF2B5EF4-FFF2-40B4-BE49-F238E27FC236}">
                <a16:creationId xmlns:a16="http://schemas.microsoft.com/office/drawing/2014/main" id="{8110060D-52F8-98FB-18F0-800A2F80933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399" name="Shape 74">
            <a:extLst>
              <a:ext uri="{FF2B5EF4-FFF2-40B4-BE49-F238E27FC236}">
                <a16:creationId xmlns:a16="http://schemas.microsoft.com/office/drawing/2014/main" id="{CB3C8364-AD04-8FB0-4248-AB624253997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00" name="Shape 75">
            <a:extLst>
              <a:ext uri="{FF2B5EF4-FFF2-40B4-BE49-F238E27FC236}">
                <a16:creationId xmlns:a16="http://schemas.microsoft.com/office/drawing/2014/main" id="{37EC88D0-462B-1CEA-FA05-BCF58E191EC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01" name="Shape 76">
            <a:extLst>
              <a:ext uri="{FF2B5EF4-FFF2-40B4-BE49-F238E27FC236}">
                <a16:creationId xmlns:a16="http://schemas.microsoft.com/office/drawing/2014/main" id="{E8F9A0E4-7F14-EE27-8EFB-C317295030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125</xdr:row>
      <xdr:rowOff>2978</xdr:rowOff>
    </xdr:from>
    <xdr:ext cx="33655" cy="33655"/>
    <xdr:grpSp>
      <xdr:nvGrpSpPr>
        <xdr:cNvPr id="2402" name="Group 2">
          <a:extLst>
            <a:ext uri="{FF2B5EF4-FFF2-40B4-BE49-F238E27FC236}">
              <a16:creationId xmlns:a16="http://schemas.microsoft.com/office/drawing/2014/main" id="{DFAE773F-C8BB-4CFD-BB22-9819CA4E68D2}"/>
            </a:ext>
          </a:extLst>
        </xdr:cNvPr>
        <xdr:cNvGrpSpPr/>
      </xdr:nvGrpSpPr>
      <xdr:grpSpPr>
        <a:xfrm>
          <a:off x="4603072" y="23699929"/>
          <a:ext cx="33655" cy="33655"/>
          <a:chOff x="0" y="0"/>
          <a:chExt cx="33655" cy="33655"/>
        </a:xfrm>
      </xdr:grpSpPr>
      <xdr:sp macro="" textlink="">
        <xdr:nvSpPr>
          <xdr:cNvPr id="2403" name="Shape 3">
            <a:extLst>
              <a:ext uri="{FF2B5EF4-FFF2-40B4-BE49-F238E27FC236}">
                <a16:creationId xmlns:a16="http://schemas.microsoft.com/office/drawing/2014/main" id="{F6396BBF-E7C5-8BC6-9438-8A12E30D961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04" name="Shape 4">
            <a:extLst>
              <a:ext uri="{FF2B5EF4-FFF2-40B4-BE49-F238E27FC236}">
                <a16:creationId xmlns:a16="http://schemas.microsoft.com/office/drawing/2014/main" id="{B2F3DF5E-22F1-AECD-4535-44932412D77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05" name="Shape 5">
            <a:extLst>
              <a:ext uri="{FF2B5EF4-FFF2-40B4-BE49-F238E27FC236}">
                <a16:creationId xmlns:a16="http://schemas.microsoft.com/office/drawing/2014/main" id="{13411F6B-3202-7718-5455-0DACA47CD1A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06" name="Shape 6">
            <a:extLst>
              <a:ext uri="{FF2B5EF4-FFF2-40B4-BE49-F238E27FC236}">
                <a16:creationId xmlns:a16="http://schemas.microsoft.com/office/drawing/2014/main" id="{5FF78BA1-5B8A-FC4F-3BA1-FD1EAD7960A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07" name="Shape 7">
            <a:extLst>
              <a:ext uri="{FF2B5EF4-FFF2-40B4-BE49-F238E27FC236}">
                <a16:creationId xmlns:a16="http://schemas.microsoft.com/office/drawing/2014/main" id="{D7A0A1A0-DC93-570F-4C69-80E64134362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08" name="Shape 8">
            <a:extLst>
              <a:ext uri="{FF2B5EF4-FFF2-40B4-BE49-F238E27FC236}">
                <a16:creationId xmlns:a16="http://schemas.microsoft.com/office/drawing/2014/main" id="{D7518CA5-4839-19C7-5A08-9CA078C8EF7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09" name="Shape 9">
            <a:extLst>
              <a:ext uri="{FF2B5EF4-FFF2-40B4-BE49-F238E27FC236}">
                <a16:creationId xmlns:a16="http://schemas.microsoft.com/office/drawing/2014/main" id="{EA1F2AD3-B2A9-D468-4DF1-E9863489CDC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10" name="Shape 10">
            <a:extLst>
              <a:ext uri="{FF2B5EF4-FFF2-40B4-BE49-F238E27FC236}">
                <a16:creationId xmlns:a16="http://schemas.microsoft.com/office/drawing/2014/main" id="{E73289A9-94D1-A618-60FB-F3D8DFC3182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11" name="Shape 11">
            <a:extLst>
              <a:ext uri="{FF2B5EF4-FFF2-40B4-BE49-F238E27FC236}">
                <a16:creationId xmlns:a16="http://schemas.microsoft.com/office/drawing/2014/main" id="{7424D47F-4E95-549B-1026-8F9C986A872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12" name="Shape 12">
            <a:extLst>
              <a:ext uri="{FF2B5EF4-FFF2-40B4-BE49-F238E27FC236}">
                <a16:creationId xmlns:a16="http://schemas.microsoft.com/office/drawing/2014/main" id="{E92A5A1F-2D7E-85D2-5B44-C5E7D2593CD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13" name="Shape 13">
            <a:extLst>
              <a:ext uri="{FF2B5EF4-FFF2-40B4-BE49-F238E27FC236}">
                <a16:creationId xmlns:a16="http://schemas.microsoft.com/office/drawing/2014/main" id="{D4F5BC6B-9EBF-F95F-4EF5-6F65CC8CDF4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14" name="Shape 14">
            <a:extLst>
              <a:ext uri="{FF2B5EF4-FFF2-40B4-BE49-F238E27FC236}">
                <a16:creationId xmlns:a16="http://schemas.microsoft.com/office/drawing/2014/main" id="{B542653E-A30B-F5BC-BB24-6145578C2DC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15" name="Shape 15">
            <a:extLst>
              <a:ext uri="{FF2B5EF4-FFF2-40B4-BE49-F238E27FC236}">
                <a16:creationId xmlns:a16="http://schemas.microsoft.com/office/drawing/2014/main" id="{D901EB31-B9AA-65A4-F248-B408B5C7F5D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16" name="Shape 16">
            <a:extLst>
              <a:ext uri="{FF2B5EF4-FFF2-40B4-BE49-F238E27FC236}">
                <a16:creationId xmlns:a16="http://schemas.microsoft.com/office/drawing/2014/main" id="{A31A82A4-E37B-9DE5-22FD-D9E8CED9C59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125</xdr:row>
      <xdr:rowOff>3246</xdr:rowOff>
    </xdr:from>
    <xdr:ext cx="33655" cy="33655"/>
    <xdr:grpSp>
      <xdr:nvGrpSpPr>
        <xdr:cNvPr id="2417" name="Group 17">
          <a:extLst>
            <a:ext uri="{FF2B5EF4-FFF2-40B4-BE49-F238E27FC236}">
              <a16:creationId xmlns:a16="http://schemas.microsoft.com/office/drawing/2014/main" id="{726B6A3B-306D-480A-980F-5D37BF1D83F2}"/>
            </a:ext>
          </a:extLst>
        </xdr:cNvPr>
        <xdr:cNvGrpSpPr/>
      </xdr:nvGrpSpPr>
      <xdr:grpSpPr>
        <a:xfrm>
          <a:off x="4603072" y="23700197"/>
          <a:ext cx="33655" cy="33655"/>
          <a:chOff x="0" y="0"/>
          <a:chExt cx="33655" cy="33655"/>
        </a:xfrm>
      </xdr:grpSpPr>
      <xdr:sp macro="" textlink="">
        <xdr:nvSpPr>
          <xdr:cNvPr id="2418" name="Shape 18">
            <a:extLst>
              <a:ext uri="{FF2B5EF4-FFF2-40B4-BE49-F238E27FC236}">
                <a16:creationId xmlns:a16="http://schemas.microsoft.com/office/drawing/2014/main" id="{2255C442-6946-F3B1-9200-354599EEEE1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19" name="Shape 19">
            <a:extLst>
              <a:ext uri="{FF2B5EF4-FFF2-40B4-BE49-F238E27FC236}">
                <a16:creationId xmlns:a16="http://schemas.microsoft.com/office/drawing/2014/main" id="{6AB0D20F-6C5C-89E3-6AC1-CDBDAB84104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20" name="Shape 20">
            <a:extLst>
              <a:ext uri="{FF2B5EF4-FFF2-40B4-BE49-F238E27FC236}">
                <a16:creationId xmlns:a16="http://schemas.microsoft.com/office/drawing/2014/main" id="{D97BD27E-95A8-995D-A5ED-0906325D6D1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21" name="Shape 21">
            <a:extLst>
              <a:ext uri="{FF2B5EF4-FFF2-40B4-BE49-F238E27FC236}">
                <a16:creationId xmlns:a16="http://schemas.microsoft.com/office/drawing/2014/main" id="{A797FE99-5E02-2C72-C21F-9B73789DB7C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22" name="Shape 22">
            <a:extLst>
              <a:ext uri="{FF2B5EF4-FFF2-40B4-BE49-F238E27FC236}">
                <a16:creationId xmlns:a16="http://schemas.microsoft.com/office/drawing/2014/main" id="{3493E1F8-0812-60F1-E554-23C3C44A507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23" name="Shape 23">
            <a:extLst>
              <a:ext uri="{FF2B5EF4-FFF2-40B4-BE49-F238E27FC236}">
                <a16:creationId xmlns:a16="http://schemas.microsoft.com/office/drawing/2014/main" id="{A2A761E1-BDCE-CD1C-0FE0-BE4B5A10745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24" name="Shape 24">
            <a:extLst>
              <a:ext uri="{FF2B5EF4-FFF2-40B4-BE49-F238E27FC236}">
                <a16:creationId xmlns:a16="http://schemas.microsoft.com/office/drawing/2014/main" id="{A9E75A0E-A218-1451-8E3E-E950434E027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25" name="Shape 25">
            <a:extLst>
              <a:ext uri="{FF2B5EF4-FFF2-40B4-BE49-F238E27FC236}">
                <a16:creationId xmlns:a16="http://schemas.microsoft.com/office/drawing/2014/main" id="{943CC114-4B03-8D67-0E14-BC04CDDD7AF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26" name="Shape 26">
            <a:extLst>
              <a:ext uri="{FF2B5EF4-FFF2-40B4-BE49-F238E27FC236}">
                <a16:creationId xmlns:a16="http://schemas.microsoft.com/office/drawing/2014/main" id="{5FCBC6FF-BE90-DA08-3423-44342ECD935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27" name="Shape 27">
            <a:extLst>
              <a:ext uri="{FF2B5EF4-FFF2-40B4-BE49-F238E27FC236}">
                <a16:creationId xmlns:a16="http://schemas.microsoft.com/office/drawing/2014/main" id="{ACE8ED43-CDD6-25DE-4E8A-D0544D5C397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28" name="Shape 28">
            <a:extLst>
              <a:ext uri="{FF2B5EF4-FFF2-40B4-BE49-F238E27FC236}">
                <a16:creationId xmlns:a16="http://schemas.microsoft.com/office/drawing/2014/main" id="{463DB071-7216-11B6-016A-252415E8698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29" name="Shape 29">
            <a:extLst>
              <a:ext uri="{FF2B5EF4-FFF2-40B4-BE49-F238E27FC236}">
                <a16:creationId xmlns:a16="http://schemas.microsoft.com/office/drawing/2014/main" id="{47F6BD66-BE18-8478-73C9-902FA77D2CD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30" name="Shape 30">
            <a:extLst>
              <a:ext uri="{FF2B5EF4-FFF2-40B4-BE49-F238E27FC236}">
                <a16:creationId xmlns:a16="http://schemas.microsoft.com/office/drawing/2014/main" id="{F81D7239-C83D-F4FB-DA6E-95BE9A5D8AC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31" name="Shape 31">
            <a:extLst>
              <a:ext uri="{FF2B5EF4-FFF2-40B4-BE49-F238E27FC236}">
                <a16:creationId xmlns:a16="http://schemas.microsoft.com/office/drawing/2014/main" id="{983D7934-F360-3106-0FD7-ECBDDF75D48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124</xdr:row>
      <xdr:rowOff>160585</xdr:rowOff>
    </xdr:from>
    <xdr:ext cx="33655" cy="33655"/>
    <xdr:grpSp>
      <xdr:nvGrpSpPr>
        <xdr:cNvPr id="2432" name="Group 32">
          <a:extLst>
            <a:ext uri="{FF2B5EF4-FFF2-40B4-BE49-F238E27FC236}">
              <a16:creationId xmlns:a16="http://schemas.microsoft.com/office/drawing/2014/main" id="{11604B63-EC36-4C85-9E9D-2741F2F575FB}"/>
            </a:ext>
          </a:extLst>
        </xdr:cNvPr>
        <xdr:cNvGrpSpPr/>
      </xdr:nvGrpSpPr>
      <xdr:grpSpPr>
        <a:xfrm>
          <a:off x="4603072" y="23688896"/>
          <a:ext cx="33655" cy="33655"/>
          <a:chOff x="0" y="0"/>
          <a:chExt cx="33655" cy="33655"/>
        </a:xfrm>
      </xdr:grpSpPr>
      <xdr:sp macro="" textlink="">
        <xdr:nvSpPr>
          <xdr:cNvPr id="2433" name="Shape 33">
            <a:extLst>
              <a:ext uri="{FF2B5EF4-FFF2-40B4-BE49-F238E27FC236}">
                <a16:creationId xmlns:a16="http://schemas.microsoft.com/office/drawing/2014/main" id="{B2943BDD-4800-C6F8-705C-0F88225887A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34" name="Shape 34">
            <a:extLst>
              <a:ext uri="{FF2B5EF4-FFF2-40B4-BE49-F238E27FC236}">
                <a16:creationId xmlns:a16="http://schemas.microsoft.com/office/drawing/2014/main" id="{EE283533-9B17-8820-2C03-79068234402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35" name="Shape 35">
            <a:extLst>
              <a:ext uri="{FF2B5EF4-FFF2-40B4-BE49-F238E27FC236}">
                <a16:creationId xmlns:a16="http://schemas.microsoft.com/office/drawing/2014/main" id="{F3B0A942-D05A-C8DE-2EC0-7496EAD3929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36" name="Shape 36">
            <a:extLst>
              <a:ext uri="{FF2B5EF4-FFF2-40B4-BE49-F238E27FC236}">
                <a16:creationId xmlns:a16="http://schemas.microsoft.com/office/drawing/2014/main" id="{5966F4C0-D2D7-4A55-F067-AB9D3173508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37" name="Shape 37">
            <a:extLst>
              <a:ext uri="{FF2B5EF4-FFF2-40B4-BE49-F238E27FC236}">
                <a16:creationId xmlns:a16="http://schemas.microsoft.com/office/drawing/2014/main" id="{708B2184-FAC0-26D8-1FDB-ABF14DE3549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38" name="Shape 38">
            <a:extLst>
              <a:ext uri="{FF2B5EF4-FFF2-40B4-BE49-F238E27FC236}">
                <a16:creationId xmlns:a16="http://schemas.microsoft.com/office/drawing/2014/main" id="{FA576F57-9801-4F00-E223-6AD7C181A6D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39" name="Shape 39">
            <a:extLst>
              <a:ext uri="{FF2B5EF4-FFF2-40B4-BE49-F238E27FC236}">
                <a16:creationId xmlns:a16="http://schemas.microsoft.com/office/drawing/2014/main" id="{6E482BFD-2845-87B6-36E0-458094CBE00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40" name="Shape 40">
            <a:extLst>
              <a:ext uri="{FF2B5EF4-FFF2-40B4-BE49-F238E27FC236}">
                <a16:creationId xmlns:a16="http://schemas.microsoft.com/office/drawing/2014/main" id="{22078E96-C3E8-6506-3759-A8F722AC191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41" name="Shape 41">
            <a:extLst>
              <a:ext uri="{FF2B5EF4-FFF2-40B4-BE49-F238E27FC236}">
                <a16:creationId xmlns:a16="http://schemas.microsoft.com/office/drawing/2014/main" id="{F58344E0-830C-D888-4491-3A241C1CCE2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42" name="Shape 42">
            <a:extLst>
              <a:ext uri="{FF2B5EF4-FFF2-40B4-BE49-F238E27FC236}">
                <a16:creationId xmlns:a16="http://schemas.microsoft.com/office/drawing/2014/main" id="{382B0A80-F961-6C70-36A9-C6498F59716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43" name="Shape 43">
            <a:extLst>
              <a:ext uri="{FF2B5EF4-FFF2-40B4-BE49-F238E27FC236}">
                <a16:creationId xmlns:a16="http://schemas.microsoft.com/office/drawing/2014/main" id="{F8DA18EF-361E-ADE2-589E-8D284A63AC3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44" name="Shape 44">
            <a:extLst>
              <a:ext uri="{FF2B5EF4-FFF2-40B4-BE49-F238E27FC236}">
                <a16:creationId xmlns:a16="http://schemas.microsoft.com/office/drawing/2014/main" id="{C6AD63FD-E9C3-F229-A32D-741BB181FA6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45" name="Shape 45">
            <a:extLst>
              <a:ext uri="{FF2B5EF4-FFF2-40B4-BE49-F238E27FC236}">
                <a16:creationId xmlns:a16="http://schemas.microsoft.com/office/drawing/2014/main" id="{A75D5526-CA3D-9B91-973E-7ADE32D1C6B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46" name="Shape 46">
            <a:extLst>
              <a:ext uri="{FF2B5EF4-FFF2-40B4-BE49-F238E27FC236}">
                <a16:creationId xmlns:a16="http://schemas.microsoft.com/office/drawing/2014/main" id="{C2150F02-0438-6A1E-1D7A-103ED7545A7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125</xdr:row>
      <xdr:rowOff>3409</xdr:rowOff>
    </xdr:from>
    <xdr:ext cx="33655" cy="33655"/>
    <xdr:grpSp>
      <xdr:nvGrpSpPr>
        <xdr:cNvPr id="2447" name="Group 47">
          <a:extLst>
            <a:ext uri="{FF2B5EF4-FFF2-40B4-BE49-F238E27FC236}">
              <a16:creationId xmlns:a16="http://schemas.microsoft.com/office/drawing/2014/main" id="{56F6B782-1973-4F63-9D87-566588EC812A}"/>
            </a:ext>
          </a:extLst>
        </xdr:cNvPr>
        <xdr:cNvGrpSpPr/>
      </xdr:nvGrpSpPr>
      <xdr:grpSpPr>
        <a:xfrm>
          <a:off x="4603072" y="23700360"/>
          <a:ext cx="33655" cy="33655"/>
          <a:chOff x="0" y="0"/>
          <a:chExt cx="33655" cy="33655"/>
        </a:xfrm>
      </xdr:grpSpPr>
      <xdr:sp macro="" textlink="">
        <xdr:nvSpPr>
          <xdr:cNvPr id="2448" name="Shape 48">
            <a:extLst>
              <a:ext uri="{FF2B5EF4-FFF2-40B4-BE49-F238E27FC236}">
                <a16:creationId xmlns:a16="http://schemas.microsoft.com/office/drawing/2014/main" id="{B9ADBC94-A07F-DF0D-639D-B0C177CD013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49" name="Shape 49">
            <a:extLst>
              <a:ext uri="{FF2B5EF4-FFF2-40B4-BE49-F238E27FC236}">
                <a16:creationId xmlns:a16="http://schemas.microsoft.com/office/drawing/2014/main" id="{D9C32010-4728-272C-CA22-7C59BED92F4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50" name="Shape 50">
            <a:extLst>
              <a:ext uri="{FF2B5EF4-FFF2-40B4-BE49-F238E27FC236}">
                <a16:creationId xmlns:a16="http://schemas.microsoft.com/office/drawing/2014/main" id="{C03DAA51-16C8-5579-9D21-882361C8972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51" name="Shape 51">
            <a:extLst>
              <a:ext uri="{FF2B5EF4-FFF2-40B4-BE49-F238E27FC236}">
                <a16:creationId xmlns:a16="http://schemas.microsoft.com/office/drawing/2014/main" id="{302155B6-1C24-2786-DE0B-0156E3AA0DE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52" name="Shape 52">
            <a:extLst>
              <a:ext uri="{FF2B5EF4-FFF2-40B4-BE49-F238E27FC236}">
                <a16:creationId xmlns:a16="http://schemas.microsoft.com/office/drawing/2014/main" id="{CF76C20F-F787-F633-F546-4C6C4AB4146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53" name="Shape 53">
            <a:extLst>
              <a:ext uri="{FF2B5EF4-FFF2-40B4-BE49-F238E27FC236}">
                <a16:creationId xmlns:a16="http://schemas.microsoft.com/office/drawing/2014/main" id="{4D02377A-DF28-8249-D786-A13648C05C0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54" name="Shape 54">
            <a:extLst>
              <a:ext uri="{FF2B5EF4-FFF2-40B4-BE49-F238E27FC236}">
                <a16:creationId xmlns:a16="http://schemas.microsoft.com/office/drawing/2014/main" id="{E68ED5CF-D0DE-3FFE-57DD-A5537EDE0D8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55" name="Shape 55">
            <a:extLst>
              <a:ext uri="{FF2B5EF4-FFF2-40B4-BE49-F238E27FC236}">
                <a16:creationId xmlns:a16="http://schemas.microsoft.com/office/drawing/2014/main" id="{6FFBE77E-1683-9790-7BF1-5A5C2ED5A50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56" name="Shape 56">
            <a:extLst>
              <a:ext uri="{FF2B5EF4-FFF2-40B4-BE49-F238E27FC236}">
                <a16:creationId xmlns:a16="http://schemas.microsoft.com/office/drawing/2014/main" id="{CB04BE74-BB15-D07F-131F-308FB969264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57" name="Shape 57">
            <a:extLst>
              <a:ext uri="{FF2B5EF4-FFF2-40B4-BE49-F238E27FC236}">
                <a16:creationId xmlns:a16="http://schemas.microsoft.com/office/drawing/2014/main" id="{942C48C9-6276-522A-FE07-2E4E2EB67C4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58" name="Shape 58">
            <a:extLst>
              <a:ext uri="{FF2B5EF4-FFF2-40B4-BE49-F238E27FC236}">
                <a16:creationId xmlns:a16="http://schemas.microsoft.com/office/drawing/2014/main" id="{14EA83B8-97B7-BCCA-874A-A49460C43B1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59" name="Shape 59">
            <a:extLst>
              <a:ext uri="{FF2B5EF4-FFF2-40B4-BE49-F238E27FC236}">
                <a16:creationId xmlns:a16="http://schemas.microsoft.com/office/drawing/2014/main" id="{9B2889FC-6982-1D70-E68C-EE9948AAAF6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60" name="Shape 60">
            <a:extLst>
              <a:ext uri="{FF2B5EF4-FFF2-40B4-BE49-F238E27FC236}">
                <a16:creationId xmlns:a16="http://schemas.microsoft.com/office/drawing/2014/main" id="{ABBEB70F-54D0-E92D-106F-37539EDED39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61" name="Shape 61">
            <a:extLst>
              <a:ext uri="{FF2B5EF4-FFF2-40B4-BE49-F238E27FC236}">
                <a16:creationId xmlns:a16="http://schemas.microsoft.com/office/drawing/2014/main" id="{454E20FD-E687-67E9-1729-987A9C753ED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124</xdr:row>
      <xdr:rowOff>160844</xdr:rowOff>
    </xdr:from>
    <xdr:ext cx="33655" cy="33655"/>
    <xdr:grpSp>
      <xdr:nvGrpSpPr>
        <xdr:cNvPr id="2462" name="Group 62">
          <a:extLst>
            <a:ext uri="{FF2B5EF4-FFF2-40B4-BE49-F238E27FC236}">
              <a16:creationId xmlns:a16="http://schemas.microsoft.com/office/drawing/2014/main" id="{E355B41F-649B-4158-81C2-7406E44EB680}"/>
            </a:ext>
          </a:extLst>
        </xdr:cNvPr>
        <xdr:cNvGrpSpPr/>
      </xdr:nvGrpSpPr>
      <xdr:grpSpPr>
        <a:xfrm>
          <a:off x="4603072" y="23689155"/>
          <a:ext cx="33655" cy="33655"/>
          <a:chOff x="0" y="0"/>
          <a:chExt cx="33655" cy="33655"/>
        </a:xfrm>
      </xdr:grpSpPr>
      <xdr:sp macro="" textlink="">
        <xdr:nvSpPr>
          <xdr:cNvPr id="2463" name="Shape 63">
            <a:extLst>
              <a:ext uri="{FF2B5EF4-FFF2-40B4-BE49-F238E27FC236}">
                <a16:creationId xmlns:a16="http://schemas.microsoft.com/office/drawing/2014/main" id="{E21FA159-5F71-0241-0618-814A43DDEA7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64" name="Shape 64">
            <a:extLst>
              <a:ext uri="{FF2B5EF4-FFF2-40B4-BE49-F238E27FC236}">
                <a16:creationId xmlns:a16="http://schemas.microsoft.com/office/drawing/2014/main" id="{750ABF0B-9BC4-B24D-BAED-5C6A824CC0D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65" name="Shape 65">
            <a:extLst>
              <a:ext uri="{FF2B5EF4-FFF2-40B4-BE49-F238E27FC236}">
                <a16:creationId xmlns:a16="http://schemas.microsoft.com/office/drawing/2014/main" id="{DED99016-B10D-CA94-C50D-84DB9D52F6C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66" name="Shape 66">
            <a:extLst>
              <a:ext uri="{FF2B5EF4-FFF2-40B4-BE49-F238E27FC236}">
                <a16:creationId xmlns:a16="http://schemas.microsoft.com/office/drawing/2014/main" id="{4C2394EF-41EE-728C-0974-2FE15712037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67" name="Shape 67">
            <a:extLst>
              <a:ext uri="{FF2B5EF4-FFF2-40B4-BE49-F238E27FC236}">
                <a16:creationId xmlns:a16="http://schemas.microsoft.com/office/drawing/2014/main" id="{21D4AD6C-CA70-2147-07BC-EC4AF8005C1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68" name="Shape 68">
            <a:extLst>
              <a:ext uri="{FF2B5EF4-FFF2-40B4-BE49-F238E27FC236}">
                <a16:creationId xmlns:a16="http://schemas.microsoft.com/office/drawing/2014/main" id="{B52A6412-576F-A898-0A34-15E4E178B82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69" name="Shape 69">
            <a:extLst>
              <a:ext uri="{FF2B5EF4-FFF2-40B4-BE49-F238E27FC236}">
                <a16:creationId xmlns:a16="http://schemas.microsoft.com/office/drawing/2014/main" id="{B887B5E6-CEED-04C0-7251-5E505CCA4CE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70" name="Shape 70">
            <a:extLst>
              <a:ext uri="{FF2B5EF4-FFF2-40B4-BE49-F238E27FC236}">
                <a16:creationId xmlns:a16="http://schemas.microsoft.com/office/drawing/2014/main" id="{2DF49E74-7118-FCE5-8725-330CAEB10AC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71" name="Shape 71">
            <a:extLst>
              <a:ext uri="{FF2B5EF4-FFF2-40B4-BE49-F238E27FC236}">
                <a16:creationId xmlns:a16="http://schemas.microsoft.com/office/drawing/2014/main" id="{287E97BA-C049-CC18-3709-4A324C03971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72" name="Shape 72">
            <a:extLst>
              <a:ext uri="{FF2B5EF4-FFF2-40B4-BE49-F238E27FC236}">
                <a16:creationId xmlns:a16="http://schemas.microsoft.com/office/drawing/2014/main" id="{F1265896-6FCB-4804-2B01-3C8BEE79DC8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73" name="Shape 73">
            <a:extLst>
              <a:ext uri="{FF2B5EF4-FFF2-40B4-BE49-F238E27FC236}">
                <a16:creationId xmlns:a16="http://schemas.microsoft.com/office/drawing/2014/main" id="{6D288EF2-74BF-1F7F-BB5E-FE92BFAC4A9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74" name="Shape 74">
            <a:extLst>
              <a:ext uri="{FF2B5EF4-FFF2-40B4-BE49-F238E27FC236}">
                <a16:creationId xmlns:a16="http://schemas.microsoft.com/office/drawing/2014/main" id="{E0199045-247F-96AE-D8AF-8D915FC3CAB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75" name="Shape 75">
            <a:extLst>
              <a:ext uri="{FF2B5EF4-FFF2-40B4-BE49-F238E27FC236}">
                <a16:creationId xmlns:a16="http://schemas.microsoft.com/office/drawing/2014/main" id="{45C09441-68F7-E518-3B87-C4175C31D0E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76" name="Shape 76">
            <a:extLst>
              <a:ext uri="{FF2B5EF4-FFF2-40B4-BE49-F238E27FC236}">
                <a16:creationId xmlns:a16="http://schemas.microsoft.com/office/drawing/2014/main" id="{DFE69A63-25D1-939C-A50F-E91439C4656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136</xdr:row>
      <xdr:rowOff>2978</xdr:rowOff>
    </xdr:from>
    <xdr:ext cx="33655" cy="33655"/>
    <xdr:grpSp>
      <xdr:nvGrpSpPr>
        <xdr:cNvPr id="2552" name="Group 2">
          <a:extLst>
            <a:ext uri="{FF2B5EF4-FFF2-40B4-BE49-F238E27FC236}">
              <a16:creationId xmlns:a16="http://schemas.microsoft.com/office/drawing/2014/main" id="{FBE5B8B6-C6D1-4194-824A-FCAF49DFE2FC}"/>
            </a:ext>
          </a:extLst>
        </xdr:cNvPr>
        <xdr:cNvGrpSpPr/>
      </xdr:nvGrpSpPr>
      <xdr:grpSpPr>
        <a:xfrm>
          <a:off x="4603072" y="25861011"/>
          <a:ext cx="33655" cy="33655"/>
          <a:chOff x="0" y="0"/>
          <a:chExt cx="33655" cy="33655"/>
        </a:xfrm>
      </xdr:grpSpPr>
      <xdr:sp macro="" textlink="">
        <xdr:nvSpPr>
          <xdr:cNvPr id="2553" name="Shape 3">
            <a:extLst>
              <a:ext uri="{FF2B5EF4-FFF2-40B4-BE49-F238E27FC236}">
                <a16:creationId xmlns:a16="http://schemas.microsoft.com/office/drawing/2014/main" id="{C6CACA54-D8D1-417C-3119-73F2CF55F5E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54" name="Shape 4">
            <a:extLst>
              <a:ext uri="{FF2B5EF4-FFF2-40B4-BE49-F238E27FC236}">
                <a16:creationId xmlns:a16="http://schemas.microsoft.com/office/drawing/2014/main" id="{B9D18EAA-C2F7-9B5D-56FB-BDDA3F0FBD3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55" name="Shape 5">
            <a:extLst>
              <a:ext uri="{FF2B5EF4-FFF2-40B4-BE49-F238E27FC236}">
                <a16:creationId xmlns:a16="http://schemas.microsoft.com/office/drawing/2014/main" id="{AF77A4AC-C6D7-C91F-EAD2-4327E0DCAA6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56" name="Shape 6">
            <a:extLst>
              <a:ext uri="{FF2B5EF4-FFF2-40B4-BE49-F238E27FC236}">
                <a16:creationId xmlns:a16="http://schemas.microsoft.com/office/drawing/2014/main" id="{A00FC492-89DA-D280-44F2-CCA72F37D96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57" name="Shape 7">
            <a:extLst>
              <a:ext uri="{FF2B5EF4-FFF2-40B4-BE49-F238E27FC236}">
                <a16:creationId xmlns:a16="http://schemas.microsoft.com/office/drawing/2014/main" id="{F5867050-D496-7E74-A247-9970806BB0C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58" name="Shape 8">
            <a:extLst>
              <a:ext uri="{FF2B5EF4-FFF2-40B4-BE49-F238E27FC236}">
                <a16:creationId xmlns:a16="http://schemas.microsoft.com/office/drawing/2014/main" id="{AC755D68-2B7A-44A6-B385-C44CEFB6A11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59" name="Shape 9">
            <a:extLst>
              <a:ext uri="{FF2B5EF4-FFF2-40B4-BE49-F238E27FC236}">
                <a16:creationId xmlns:a16="http://schemas.microsoft.com/office/drawing/2014/main" id="{F31A3902-C328-FB7C-64EC-E10A18F4868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60" name="Shape 10">
            <a:extLst>
              <a:ext uri="{FF2B5EF4-FFF2-40B4-BE49-F238E27FC236}">
                <a16:creationId xmlns:a16="http://schemas.microsoft.com/office/drawing/2014/main" id="{022D5E65-9ACF-C575-A7A3-036BCC8D887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61" name="Shape 11">
            <a:extLst>
              <a:ext uri="{FF2B5EF4-FFF2-40B4-BE49-F238E27FC236}">
                <a16:creationId xmlns:a16="http://schemas.microsoft.com/office/drawing/2014/main" id="{E98642C0-D107-C748-2404-3E2C63C7AA8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62" name="Shape 12">
            <a:extLst>
              <a:ext uri="{FF2B5EF4-FFF2-40B4-BE49-F238E27FC236}">
                <a16:creationId xmlns:a16="http://schemas.microsoft.com/office/drawing/2014/main" id="{76C36D6F-1C91-B68E-84F1-7255FDB3F69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63" name="Shape 13">
            <a:extLst>
              <a:ext uri="{FF2B5EF4-FFF2-40B4-BE49-F238E27FC236}">
                <a16:creationId xmlns:a16="http://schemas.microsoft.com/office/drawing/2014/main" id="{EE16E504-D6FD-4EA3-517B-1B4C6BBFC77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64" name="Shape 14">
            <a:extLst>
              <a:ext uri="{FF2B5EF4-FFF2-40B4-BE49-F238E27FC236}">
                <a16:creationId xmlns:a16="http://schemas.microsoft.com/office/drawing/2014/main" id="{3986F556-FD7E-3F5E-04E3-2CED3BB7331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65" name="Shape 15">
            <a:extLst>
              <a:ext uri="{FF2B5EF4-FFF2-40B4-BE49-F238E27FC236}">
                <a16:creationId xmlns:a16="http://schemas.microsoft.com/office/drawing/2014/main" id="{DEA206BC-0A5D-17A7-1545-01E5864F54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66" name="Shape 16">
            <a:extLst>
              <a:ext uri="{FF2B5EF4-FFF2-40B4-BE49-F238E27FC236}">
                <a16:creationId xmlns:a16="http://schemas.microsoft.com/office/drawing/2014/main" id="{C571B8D5-0110-C3EA-0275-E12895CF088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136</xdr:row>
      <xdr:rowOff>3246</xdr:rowOff>
    </xdr:from>
    <xdr:ext cx="33655" cy="33655"/>
    <xdr:grpSp>
      <xdr:nvGrpSpPr>
        <xdr:cNvPr id="2567" name="Group 17">
          <a:extLst>
            <a:ext uri="{FF2B5EF4-FFF2-40B4-BE49-F238E27FC236}">
              <a16:creationId xmlns:a16="http://schemas.microsoft.com/office/drawing/2014/main" id="{76517072-B173-4A48-B48D-619D2395F3F4}"/>
            </a:ext>
          </a:extLst>
        </xdr:cNvPr>
        <xdr:cNvGrpSpPr/>
      </xdr:nvGrpSpPr>
      <xdr:grpSpPr>
        <a:xfrm>
          <a:off x="4603072" y="25861279"/>
          <a:ext cx="33655" cy="33655"/>
          <a:chOff x="0" y="0"/>
          <a:chExt cx="33655" cy="33655"/>
        </a:xfrm>
      </xdr:grpSpPr>
      <xdr:sp macro="" textlink="">
        <xdr:nvSpPr>
          <xdr:cNvPr id="2568" name="Shape 18">
            <a:extLst>
              <a:ext uri="{FF2B5EF4-FFF2-40B4-BE49-F238E27FC236}">
                <a16:creationId xmlns:a16="http://schemas.microsoft.com/office/drawing/2014/main" id="{C9BFB789-0447-BE3F-4D83-1FC1DC4219E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69" name="Shape 19">
            <a:extLst>
              <a:ext uri="{FF2B5EF4-FFF2-40B4-BE49-F238E27FC236}">
                <a16:creationId xmlns:a16="http://schemas.microsoft.com/office/drawing/2014/main" id="{81A0E827-99F9-45EE-B9F6-5B8B7CCC239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70" name="Shape 20">
            <a:extLst>
              <a:ext uri="{FF2B5EF4-FFF2-40B4-BE49-F238E27FC236}">
                <a16:creationId xmlns:a16="http://schemas.microsoft.com/office/drawing/2014/main" id="{4166D2B1-7091-B705-2FCA-541003F49EA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71" name="Shape 21">
            <a:extLst>
              <a:ext uri="{FF2B5EF4-FFF2-40B4-BE49-F238E27FC236}">
                <a16:creationId xmlns:a16="http://schemas.microsoft.com/office/drawing/2014/main" id="{F77E3154-36D8-4127-DDF3-DB2573D5963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72" name="Shape 22">
            <a:extLst>
              <a:ext uri="{FF2B5EF4-FFF2-40B4-BE49-F238E27FC236}">
                <a16:creationId xmlns:a16="http://schemas.microsoft.com/office/drawing/2014/main" id="{1A8FCE8B-F47B-DD1B-008D-55DF4532020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73" name="Shape 23">
            <a:extLst>
              <a:ext uri="{FF2B5EF4-FFF2-40B4-BE49-F238E27FC236}">
                <a16:creationId xmlns:a16="http://schemas.microsoft.com/office/drawing/2014/main" id="{FC7FCF93-0209-0674-9F22-34183278DC5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74" name="Shape 24">
            <a:extLst>
              <a:ext uri="{FF2B5EF4-FFF2-40B4-BE49-F238E27FC236}">
                <a16:creationId xmlns:a16="http://schemas.microsoft.com/office/drawing/2014/main" id="{F3F6BFAF-9318-E39D-514B-84AA7A3A942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75" name="Shape 25">
            <a:extLst>
              <a:ext uri="{FF2B5EF4-FFF2-40B4-BE49-F238E27FC236}">
                <a16:creationId xmlns:a16="http://schemas.microsoft.com/office/drawing/2014/main" id="{A85C1FAC-BA7E-624C-3BB2-CC9B2ACE711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76" name="Shape 26">
            <a:extLst>
              <a:ext uri="{FF2B5EF4-FFF2-40B4-BE49-F238E27FC236}">
                <a16:creationId xmlns:a16="http://schemas.microsoft.com/office/drawing/2014/main" id="{F9706E8E-CFB5-DA7B-5738-6C2ADA222E0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77" name="Shape 27">
            <a:extLst>
              <a:ext uri="{FF2B5EF4-FFF2-40B4-BE49-F238E27FC236}">
                <a16:creationId xmlns:a16="http://schemas.microsoft.com/office/drawing/2014/main" id="{A9541139-667C-FF8B-FD37-A3FAB9452ED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78" name="Shape 28">
            <a:extLst>
              <a:ext uri="{FF2B5EF4-FFF2-40B4-BE49-F238E27FC236}">
                <a16:creationId xmlns:a16="http://schemas.microsoft.com/office/drawing/2014/main" id="{8C579910-887D-BBF0-3F91-F5C94D4DC3B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79" name="Shape 29">
            <a:extLst>
              <a:ext uri="{FF2B5EF4-FFF2-40B4-BE49-F238E27FC236}">
                <a16:creationId xmlns:a16="http://schemas.microsoft.com/office/drawing/2014/main" id="{F429E398-25A8-3247-4770-7133B1F4D7C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80" name="Shape 30">
            <a:extLst>
              <a:ext uri="{FF2B5EF4-FFF2-40B4-BE49-F238E27FC236}">
                <a16:creationId xmlns:a16="http://schemas.microsoft.com/office/drawing/2014/main" id="{4F70C222-7EE2-F061-5727-9D953292A44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81" name="Shape 31">
            <a:extLst>
              <a:ext uri="{FF2B5EF4-FFF2-40B4-BE49-F238E27FC236}">
                <a16:creationId xmlns:a16="http://schemas.microsoft.com/office/drawing/2014/main" id="{9E160B7D-34C5-49EA-D589-A6DE279B673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135</xdr:row>
      <xdr:rowOff>160585</xdr:rowOff>
    </xdr:from>
    <xdr:ext cx="33655" cy="33655"/>
    <xdr:grpSp>
      <xdr:nvGrpSpPr>
        <xdr:cNvPr id="2582" name="Group 32">
          <a:extLst>
            <a:ext uri="{FF2B5EF4-FFF2-40B4-BE49-F238E27FC236}">
              <a16:creationId xmlns:a16="http://schemas.microsoft.com/office/drawing/2014/main" id="{82113E0D-182D-465B-9745-B6FA1B17EE04}"/>
            </a:ext>
          </a:extLst>
        </xdr:cNvPr>
        <xdr:cNvGrpSpPr/>
      </xdr:nvGrpSpPr>
      <xdr:grpSpPr>
        <a:xfrm>
          <a:off x="4603072" y="25849978"/>
          <a:ext cx="33655" cy="33655"/>
          <a:chOff x="0" y="0"/>
          <a:chExt cx="33655" cy="33655"/>
        </a:xfrm>
      </xdr:grpSpPr>
      <xdr:sp macro="" textlink="">
        <xdr:nvSpPr>
          <xdr:cNvPr id="2583" name="Shape 33">
            <a:extLst>
              <a:ext uri="{FF2B5EF4-FFF2-40B4-BE49-F238E27FC236}">
                <a16:creationId xmlns:a16="http://schemas.microsoft.com/office/drawing/2014/main" id="{1DDCE22E-A2A3-EE42-F63D-67BCA505781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84" name="Shape 34">
            <a:extLst>
              <a:ext uri="{FF2B5EF4-FFF2-40B4-BE49-F238E27FC236}">
                <a16:creationId xmlns:a16="http://schemas.microsoft.com/office/drawing/2014/main" id="{EA28654D-0B1D-1188-FAE4-44170EA1895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85" name="Shape 35">
            <a:extLst>
              <a:ext uri="{FF2B5EF4-FFF2-40B4-BE49-F238E27FC236}">
                <a16:creationId xmlns:a16="http://schemas.microsoft.com/office/drawing/2014/main" id="{57EB5640-8A95-B989-5D16-5DA06C8596F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86" name="Shape 36">
            <a:extLst>
              <a:ext uri="{FF2B5EF4-FFF2-40B4-BE49-F238E27FC236}">
                <a16:creationId xmlns:a16="http://schemas.microsoft.com/office/drawing/2014/main" id="{4CFCA828-4048-C6E1-714D-DAD20339F8F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87" name="Shape 37">
            <a:extLst>
              <a:ext uri="{FF2B5EF4-FFF2-40B4-BE49-F238E27FC236}">
                <a16:creationId xmlns:a16="http://schemas.microsoft.com/office/drawing/2014/main" id="{7D48DB5F-CDA4-4CCB-E4F4-E69C3EA779E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88" name="Shape 38">
            <a:extLst>
              <a:ext uri="{FF2B5EF4-FFF2-40B4-BE49-F238E27FC236}">
                <a16:creationId xmlns:a16="http://schemas.microsoft.com/office/drawing/2014/main" id="{A3AE7F1E-DD0B-C19F-51DE-63712885BE7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89" name="Shape 39">
            <a:extLst>
              <a:ext uri="{FF2B5EF4-FFF2-40B4-BE49-F238E27FC236}">
                <a16:creationId xmlns:a16="http://schemas.microsoft.com/office/drawing/2014/main" id="{DCE42BBD-2105-E836-001C-90AC977E6DD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90" name="Shape 40">
            <a:extLst>
              <a:ext uri="{FF2B5EF4-FFF2-40B4-BE49-F238E27FC236}">
                <a16:creationId xmlns:a16="http://schemas.microsoft.com/office/drawing/2014/main" id="{D9AB4C81-70A3-1FB8-0E48-FE1F671C864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91" name="Shape 41">
            <a:extLst>
              <a:ext uri="{FF2B5EF4-FFF2-40B4-BE49-F238E27FC236}">
                <a16:creationId xmlns:a16="http://schemas.microsoft.com/office/drawing/2014/main" id="{0EC96360-042F-6841-F621-AA4922F656F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92" name="Shape 42">
            <a:extLst>
              <a:ext uri="{FF2B5EF4-FFF2-40B4-BE49-F238E27FC236}">
                <a16:creationId xmlns:a16="http://schemas.microsoft.com/office/drawing/2014/main" id="{11465FDB-1C6E-E6B1-B29C-C171F275F90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93" name="Shape 43">
            <a:extLst>
              <a:ext uri="{FF2B5EF4-FFF2-40B4-BE49-F238E27FC236}">
                <a16:creationId xmlns:a16="http://schemas.microsoft.com/office/drawing/2014/main" id="{DA7FE15C-473F-F2AA-5581-588CDD2EE02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94" name="Shape 44">
            <a:extLst>
              <a:ext uri="{FF2B5EF4-FFF2-40B4-BE49-F238E27FC236}">
                <a16:creationId xmlns:a16="http://schemas.microsoft.com/office/drawing/2014/main" id="{05E25EB2-A0FE-5AC6-9C02-FD38DD7B048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95" name="Shape 45">
            <a:extLst>
              <a:ext uri="{FF2B5EF4-FFF2-40B4-BE49-F238E27FC236}">
                <a16:creationId xmlns:a16="http://schemas.microsoft.com/office/drawing/2014/main" id="{D1DC12A0-932C-BB89-928D-BD0BDE62BE6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96" name="Shape 46">
            <a:extLst>
              <a:ext uri="{FF2B5EF4-FFF2-40B4-BE49-F238E27FC236}">
                <a16:creationId xmlns:a16="http://schemas.microsoft.com/office/drawing/2014/main" id="{5BDCD7B6-1705-0793-E091-4EAD7A1362B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136</xdr:row>
      <xdr:rowOff>3409</xdr:rowOff>
    </xdr:from>
    <xdr:ext cx="33655" cy="33655"/>
    <xdr:grpSp>
      <xdr:nvGrpSpPr>
        <xdr:cNvPr id="2597" name="Group 47">
          <a:extLst>
            <a:ext uri="{FF2B5EF4-FFF2-40B4-BE49-F238E27FC236}">
              <a16:creationId xmlns:a16="http://schemas.microsoft.com/office/drawing/2014/main" id="{569B48DA-9D69-4F84-ABCD-3D79C9B324C6}"/>
            </a:ext>
          </a:extLst>
        </xdr:cNvPr>
        <xdr:cNvGrpSpPr/>
      </xdr:nvGrpSpPr>
      <xdr:grpSpPr>
        <a:xfrm>
          <a:off x="4603072" y="25861442"/>
          <a:ext cx="33655" cy="33655"/>
          <a:chOff x="0" y="0"/>
          <a:chExt cx="33655" cy="33655"/>
        </a:xfrm>
      </xdr:grpSpPr>
      <xdr:sp macro="" textlink="">
        <xdr:nvSpPr>
          <xdr:cNvPr id="2598" name="Shape 48">
            <a:extLst>
              <a:ext uri="{FF2B5EF4-FFF2-40B4-BE49-F238E27FC236}">
                <a16:creationId xmlns:a16="http://schemas.microsoft.com/office/drawing/2014/main" id="{ABBFB624-3EDB-5D0A-550F-A4D6FF37435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99" name="Shape 49">
            <a:extLst>
              <a:ext uri="{FF2B5EF4-FFF2-40B4-BE49-F238E27FC236}">
                <a16:creationId xmlns:a16="http://schemas.microsoft.com/office/drawing/2014/main" id="{435FB88F-59CC-E526-F2CE-B27828F7C6C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00" name="Shape 50">
            <a:extLst>
              <a:ext uri="{FF2B5EF4-FFF2-40B4-BE49-F238E27FC236}">
                <a16:creationId xmlns:a16="http://schemas.microsoft.com/office/drawing/2014/main" id="{7884258A-0781-7DBD-0D61-2C745676CE2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01" name="Shape 51">
            <a:extLst>
              <a:ext uri="{FF2B5EF4-FFF2-40B4-BE49-F238E27FC236}">
                <a16:creationId xmlns:a16="http://schemas.microsoft.com/office/drawing/2014/main" id="{D4D5572C-E20E-02D1-1264-AEEA6BFFC4A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02" name="Shape 52">
            <a:extLst>
              <a:ext uri="{FF2B5EF4-FFF2-40B4-BE49-F238E27FC236}">
                <a16:creationId xmlns:a16="http://schemas.microsoft.com/office/drawing/2014/main" id="{5581F133-4173-CC91-BB30-9D431799CBD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03" name="Shape 53">
            <a:extLst>
              <a:ext uri="{FF2B5EF4-FFF2-40B4-BE49-F238E27FC236}">
                <a16:creationId xmlns:a16="http://schemas.microsoft.com/office/drawing/2014/main" id="{C40EB172-FD32-11E7-6437-A472B0ADEE4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04" name="Shape 54">
            <a:extLst>
              <a:ext uri="{FF2B5EF4-FFF2-40B4-BE49-F238E27FC236}">
                <a16:creationId xmlns:a16="http://schemas.microsoft.com/office/drawing/2014/main" id="{510373BF-2F11-F9B4-AD05-8A1917871E6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05" name="Shape 55">
            <a:extLst>
              <a:ext uri="{FF2B5EF4-FFF2-40B4-BE49-F238E27FC236}">
                <a16:creationId xmlns:a16="http://schemas.microsoft.com/office/drawing/2014/main" id="{9F3E7193-27A0-9906-796D-738C4CF2DC6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06" name="Shape 56">
            <a:extLst>
              <a:ext uri="{FF2B5EF4-FFF2-40B4-BE49-F238E27FC236}">
                <a16:creationId xmlns:a16="http://schemas.microsoft.com/office/drawing/2014/main" id="{5FD59F4B-BEA2-B5AA-9E5A-7362DA23C5B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07" name="Shape 57">
            <a:extLst>
              <a:ext uri="{FF2B5EF4-FFF2-40B4-BE49-F238E27FC236}">
                <a16:creationId xmlns:a16="http://schemas.microsoft.com/office/drawing/2014/main" id="{46E3623F-EC87-1ED7-C6D0-2F3B07B74E0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08" name="Shape 58">
            <a:extLst>
              <a:ext uri="{FF2B5EF4-FFF2-40B4-BE49-F238E27FC236}">
                <a16:creationId xmlns:a16="http://schemas.microsoft.com/office/drawing/2014/main" id="{0D2732BE-B9FA-A025-6CF8-E7486D6C50F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09" name="Shape 59">
            <a:extLst>
              <a:ext uri="{FF2B5EF4-FFF2-40B4-BE49-F238E27FC236}">
                <a16:creationId xmlns:a16="http://schemas.microsoft.com/office/drawing/2014/main" id="{0237C612-2D43-9088-0C54-DCED347D835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10" name="Shape 60">
            <a:extLst>
              <a:ext uri="{FF2B5EF4-FFF2-40B4-BE49-F238E27FC236}">
                <a16:creationId xmlns:a16="http://schemas.microsoft.com/office/drawing/2014/main" id="{7B864367-5618-E786-D4DD-B296AA4DA3D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11" name="Shape 61">
            <a:extLst>
              <a:ext uri="{FF2B5EF4-FFF2-40B4-BE49-F238E27FC236}">
                <a16:creationId xmlns:a16="http://schemas.microsoft.com/office/drawing/2014/main" id="{5A0D0A33-FF57-F102-E13D-4632938114B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135</xdr:row>
      <xdr:rowOff>160844</xdr:rowOff>
    </xdr:from>
    <xdr:ext cx="33655" cy="33655"/>
    <xdr:grpSp>
      <xdr:nvGrpSpPr>
        <xdr:cNvPr id="2612" name="Group 62">
          <a:extLst>
            <a:ext uri="{FF2B5EF4-FFF2-40B4-BE49-F238E27FC236}">
              <a16:creationId xmlns:a16="http://schemas.microsoft.com/office/drawing/2014/main" id="{1430CE2D-709A-43AF-B91F-CDC8F2064F22}"/>
            </a:ext>
          </a:extLst>
        </xdr:cNvPr>
        <xdr:cNvGrpSpPr/>
      </xdr:nvGrpSpPr>
      <xdr:grpSpPr>
        <a:xfrm>
          <a:off x="4603072" y="25850237"/>
          <a:ext cx="33655" cy="33655"/>
          <a:chOff x="0" y="0"/>
          <a:chExt cx="33655" cy="33655"/>
        </a:xfrm>
      </xdr:grpSpPr>
      <xdr:sp macro="" textlink="">
        <xdr:nvSpPr>
          <xdr:cNvPr id="2613" name="Shape 63">
            <a:extLst>
              <a:ext uri="{FF2B5EF4-FFF2-40B4-BE49-F238E27FC236}">
                <a16:creationId xmlns:a16="http://schemas.microsoft.com/office/drawing/2014/main" id="{348D1EFC-C72E-48DB-E39D-728523A3855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14" name="Shape 64">
            <a:extLst>
              <a:ext uri="{FF2B5EF4-FFF2-40B4-BE49-F238E27FC236}">
                <a16:creationId xmlns:a16="http://schemas.microsoft.com/office/drawing/2014/main" id="{8F1DC607-1B76-B1DB-1F98-8A1374C3AB7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15" name="Shape 65">
            <a:extLst>
              <a:ext uri="{FF2B5EF4-FFF2-40B4-BE49-F238E27FC236}">
                <a16:creationId xmlns:a16="http://schemas.microsoft.com/office/drawing/2014/main" id="{B1FA8D5D-EF03-9AEC-577E-BE86479B3A6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16" name="Shape 66">
            <a:extLst>
              <a:ext uri="{FF2B5EF4-FFF2-40B4-BE49-F238E27FC236}">
                <a16:creationId xmlns:a16="http://schemas.microsoft.com/office/drawing/2014/main" id="{0BD75497-2166-D2F1-81ED-931C1D84546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17" name="Shape 67">
            <a:extLst>
              <a:ext uri="{FF2B5EF4-FFF2-40B4-BE49-F238E27FC236}">
                <a16:creationId xmlns:a16="http://schemas.microsoft.com/office/drawing/2014/main" id="{58CBCEBF-A281-ADCF-F347-85DB4413DF8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18" name="Shape 68">
            <a:extLst>
              <a:ext uri="{FF2B5EF4-FFF2-40B4-BE49-F238E27FC236}">
                <a16:creationId xmlns:a16="http://schemas.microsoft.com/office/drawing/2014/main" id="{2D249E4F-5E2D-CDDF-C75C-6E01E383B4B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19" name="Shape 69">
            <a:extLst>
              <a:ext uri="{FF2B5EF4-FFF2-40B4-BE49-F238E27FC236}">
                <a16:creationId xmlns:a16="http://schemas.microsoft.com/office/drawing/2014/main" id="{CF44A0B9-5F98-3974-491D-CED16AD02AC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20" name="Shape 70">
            <a:extLst>
              <a:ext uri="{FF2B5EF4-FFF2-40B4-BE49-F238E27FC236}">
                <a16:creationId xmlns:a16="http://schemas.microsoft.com/office/drawing/2014/main" id="{AADDFD51-7263-665F-A4F7-FB28D2DD7C7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21" name="Shape 71">
            <a:extLst>
              <a:ext uri="{FF2B5EF4-FFF2-40B4-BE49-F238E27FC236}">
                <a16:creationId xmlns:a16="http://schemas.microsoft.com/office/drawing/2014/main" id="{B79BA612-D4AE-5815-6F24-F756ADAC22D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22" name="Shape 72">
            <a:extLst>
              <a:ext uri="{FF2B5EF4-FFF2-40B4-BE49-F238E27FC236}">
                <a16:creationId xmlns:a16="http://schemas.microsoft.com/office/drawing/2014/main" id="{484F29F7-BE22-65D7-C654-BA4E0459326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23" name="Shape 73">
            <a:extLst>
              <a:ext uri="{FF2B5EF4-FFF2-40B4-BE49-F238E27FC236}">
                <a16:creationId xmlns:a16="http://schemas.microsoft.com/office/drawing/2014/main" id="{40975536-8737-C4D0-1C74-959B4C7CAC0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24" name="Shape 74">
            <a:extLst>
              <a:ext uri="{FF2B5EF4-FFF2-40B4-BE49-F238E27FC236}">
                <a16:creationId xmlns:a16="http://schemas.microsoft.com/office/drawing/2014/main" id="{E638179E-561B-F0AC-264A-EDDF7713D9E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25" name="Shape 75">
            <a:extLst>
              <a:ext uri="{FF2B5EF4-FFF2-40B4-BE49-F238E27FC236}">
                <a16:creationId xmlns:a16="http://schemas.microsoft.com/office/drawing/2014/main" id="{76E91E2A-3BA5-705F-DB9D-A91907B8BE7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26" name="Shape 76">
            <a:extLst>
              <a:ext uri="{FF2B5EF4-FFF2-40B4-BE49-F238E27FC236}">
                <a16:creationId xmlns:a16="http://schemas.microsoft.com/office/drawing/2014/main" id="{F50F3178-A7D9-3ED7-4B10-F1C69422E48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147</xdr:row>
      <xdr:rowOff>2978</xdr:rowOff>
    </xdr:from>
    <xdr:ext cx="33655" cy="33655"/>
    <xdr:grpSp>
      <xdr:nvGrpSpPr>
        <xdr:cNvPr id="2627" name="Group 2">
          <a:extLst>
            <a:ext uri="{FF2B5EF4-FFF2-40B4-BE49-F238E27FC236}">
              <a16:creationId xmlns:a16="http://schemas.microsoft.com/office/drawing/2014/main" id="{7EA32A1A-D5DD-45B4-A538-16C77408B170}"/>
            </a:ext>
          </a:extLst>
        </xdr:cNvPr>
        <xdr:cNvGrpSpPr/>
      </xdr:nvGrpSpPr>
      <xdr:grpSpPr>
        <a:xfrm>
          <a:off x="4603072" y="28022093"/>
          <a:ext cx="33655" cy="33655"/>
          <a:chOff x="0" y="0"/>
          <a:chExt cx="33655" cy="33655"/>
        </a:xfrm>
      </xdr:grpSpPr>
      <xdr:sp macro="" textlink="">
        <xdr:nvSpPr>
          <xdr:cNvPr id="2628" name="Shape 3">
            <a:extLst>
              <a:ext uri="{FF2B5EF4-FFF2-40B4-BE49-F238E27FC236}">
                <a16:creationId xmlns:a16="http://schemas.microsoft.com/office/drawing/2014/main" id="{8FA88EE6-2CCC-90CC-6FD9-66F695EC4E6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29" name="Shape 4">
            <a:extLst>
              <a:ext uri="{FF2B5EF4-FFF2-40B4-BE49-F238E27FC236}">
                <a16:creationId xmlns:a16="http://schemas.microsoft.com/office/drawing/2014/main" id="{164DE74D-2583-36F5-6B74-60AC27A944D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30" name="Shape 5">
            <a:extLst>
              <a:ext uri="{FF2B5EF4-FFF2-40B4-BE49-F238E27FC236}">
                <a16:creationId xmlns:a16="http://schemas.microsoft.com/office/drawing/2014/main" id="{8107F180-C764-8263-695E-35BC751579B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31" name="Shape 6">
            <a:extLst>
              <a:ext uri="{FF2B5EF4-FFF2-40B4-BE49-F238E27FC236}">
                <a16:creationId xmlns:a16="http://schemas.microsoft.com/office/drawing/2014/main" id="{CB1B0C55-A64B-2C68-0740-A5685A8D791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32" name="Shape 7">
            <a:extLst>
              <a:ext uri="{FF2B5EF4-FFF2-40B4-BE49-F238E27FC236}">
                <a16:creationId xmlns:a16="http://schemas.microsoft.com/office/drawing/2014/main" id="{2B504E2D-9AB8-AEAA-B089-262088B4AFC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33" name="Shape 8">
            <a:extLst>
              <a:ext uri="{FF2B5EF4-FFF2-40B4-BE49-F238E27FC236}">
                <a16:creationId xmlns:a16="http://schemas.microsoft.com/office/drawing/2014/main" id="{0E63BBCE-AB48-F7C2-71A1-F10147A51A4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34" name="Shape 9">
            <a:extLst>
              <a:ext uri="{FF2B5EF4-FFF2-40B4-BE49-F238E27FC236}">
                <a16:creationId xmlns:a16="http://schemas.microsoft.com/office/drawing/2014/main" id="{2CC9763C-B742-1EEF-D622-332F01288D2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35" name="Shape 10">
            <a:extLst>
              <a:ext uri="{FF2B5EF4-FFF2-40B4-BE49-F238E27FC236}">
                <a16:creationId xmlns:a16="http://schemas.microsoft.com/office/drawing/2014/main" id="{144AB9C3-17EE-AC8C-5C2D-1C2E5434AB9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36" name="Shape 11">
            <a:extLst>
              <a:ext uri="{FF2B5EF4-FFF2-40B4-BE49-F238E27FC236}">
                <a16:creationId xmlns:a16="http://schemas.microsoft.com/office/drawing/2014/main" id="{FF4D3A5B-E23F-7C95-29FB-7ED42626F9B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37" name="Shape 12">
            <a:extLst>
              <a:ext uri="{FF2B5EF4-FFF2-40B4-BE49-F238E27FC236}">
                <a16:creationId xmlns:a16="http://schemas.microsoft.com/office/drawing/2014/main" id="{77981BCF-5632-C952-C88F-76CA5D8DE50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38" name="Shape 13">
            <a:extLst>
              <a:ext uri="{FF2B5EF4-FFF2-40B4-BE49-F238E27FC236}">
                <a16:creationId xmlns:a16="http://schemas.microsoft.com/office/drawing/2014/main" id="{59D02F60-9B61-9A77-01A1-05D2EEE6913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39" name="Shape 14">
            <a:extLst>
              <a:ext uri="{FF2B5EF4-FFF2-40B4-BE49-F238E27FC236}">
                <a16:creationId xmlns:a16="http://schemas.microsoft.com/office/drawing/2014/main" id="{E92C8C71-808E-DEC5-9CBC-FF3D5F93048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40" name="Shape 15">
            <a:extLst>
              <a:ext uri="{FF2B5EF4-FFF2-40B4-BE49-F238E27FC236}">
                <a16:creationId xmlns:a16="http://schemas.microsoft.com/office/drawing/2014/main" id="{54F123AE-738E-1584-4F36-E80D277F818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41" name="Shape 16">
            <a:extLst>
              <a:ext uri="{FF2B5EF4-FFF2-40B4-BE49-F238E27FC236}">
                <a16:creationId xmlns:a16="http://schemas.microsoft.com/office/drawing/2014/main" id="{B7AF861F-5C00-0437-254F-37653E25CEE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147</xdr:row>
      <xdr:rowOff>3246</xdr:rowOff>
    </xdr:from>
    <xdr:ext cx="33655" cy="33655"/>
    <xdr:grpSp>
      <xdr:nvGrpSpPr>
        <xdr:cNvPr id="2642" name="Group 17">
          <a:extLst>
            <a:ext uri="{FF2B5EF4-FFF2-40B4-BE49-F238E27FC236}">
              <a16:creationId xmlns:a16="http://schemas.microsoft.com/office/drawing/2014/main" id="{709DC588-7221-4DEB-82EF-53C9FF4B6697}"/>
            </a:ext>
          </a:extLst>
        </xdr:cNvPr>
        <xdr:cNvGrpSpPr/>
      </xdr:nvGrpSpPr>
      <xdr:grpSpPr>
        <a:xfrm>
          <a:off x="4603072" y="28022361"/>
          <a:ext cx="33655" cy="33655"/>
          <a:chOff x="0" y="0"/>
          <a:chExt cx="33655" cy="33655"/>
        </a:xfrm>
      </xdr:grpSpPr>
      <xdr:sp macro="" textlink="">
        <xdr:nvSpPr>
          <xdr:cNvPr id="2643" name="Shape 18">
            <a:extLst>
              <a:ext uri="{FF2B5EF4-FFF2-40B4-BE49-F238E27FC236}">
                <a16:creationId xmlns:a16="http://schemas.microsoft.com/office/drawing/2014/main" id="{352EB8C3-0ABD-E07E-E97A-C09652A367A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44" name="Shape 19">
            <a:extLst>
              <a:ext uri="{FF2B5EF4-FFF2-40B4-BE49-F238E27FC236}">
                <a16:creationId xmlns:a16="http://schemas.microsoft.com/office/drawing/2014/main" id="{21F74503-F93B-23D1-AA8A-7D966BB2C77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45" name="Shape 20">
            <a:extLst>
              <a:ext uri="{FF2B5EF4-FFF2-40B4-BE49-F238E27FC236}">
                <a16:creationId xmlns:a16="http://schemas.microsoft.com/office/drawing/2014/main" id="{43DF485C-B503-CF05-0746-3F9C895FFC8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46" name="Shape 21">
            <a:extLst>
              <a:ext uri="{FF2B5EF4-FFF2-40B4-BE49-F238E27FC236}">
                <a16:creationId xmlns:a16="http://schemas.microsoft.com/office/drawing/2014/main" id="{6E79B224-1CF0-DE5D-3150-D23ADB8CB5C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47" name="Shape 22">
            <a:extLst>
              <a:ext uri="{FF2B5EF4-FFF2-40B4-BE49-F238E27FC236}">
                <a16:creationId xmlns:a16="http://schemas.microsoft.com/office/drawing/2014/main" id="{CE0B58D2-5856-5333-249A-102E8DCBA5A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48" name="Shape 23">
            <a:extLst>
              <a:ext uri="{FF2B5EF4-FFF2-40B4-BE49-F238E27FC236}">
                <a16:creationId xmlns:a16="http://schemas.microsoft.com/office/drawing/2014/main" id="{4CA0A18B-ACF0-3085-455D-6D7CFC88205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49" name="Shape 24">
            <a:extLst>
              <a:ext uri="{FF2B5EF4-FFF2-40B4-BE49-F238E27FC236}">
                <a16:creationId xmlns:a16="http://schemas.microsoft.com/office/drawing/2014/main" id="{2FFFE168-9801-9940-C1EE-A389D33A6B1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50" name="Shape 25">
            <a:extLst>
              <a:ext uri="{FF2B5EF4-FFF2-40B4-BE49-F238E27FC236}">
                <a16:creationId xmlns:a16="http://schemas.microsoft.com/office/drawing/2014/main" id="{332AEA51-0D2F-B2EA-AC9A-9E6DF3D5BC3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51" name="Shape 26">
            <a:extLst>
              <a:ext uri="{FF2B5EF4-FFF2-40B4-BE49-F238E27FC236}">
                <a16:creationId xmlns:a16="http://schemas.microsoft.com/office/drawing/2014/main" id="{A998638A-60CC-45D7-5B79-15891FDB7B7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52" name="Shape 27">
            <a:extLst>
              <a:ext uri="{FF2B5EF4-FFF2-40B4-BE49-F238E27FC236}">
                <a16:creationId xmlns:a16="http://schemas.microsoft.com/office/drawing/2014/main" id="{3A1D609B-7254-0284-F18C-2A02743F793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53" name="Shape 28">
            <a:extLst>
              <a:ext uri="{FF2B5EF4-FFF2-40B4-BE49-F238E27FC236}">
                <a16:creationId xmlns:a16="http://schemas.microsoft.com/office/drawing/2014/main" id="{8E47DFEF-B424-E728-F8BD-CA8EC6BF69B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54" name="Shape 29">
            <a:extLst>
              <a:ext uri="{FF2B5EF4-FFF2-40B4-BE49-F238E27FC236}">
                <a16:creationId xmlns:a16="http://schemas.microsoft.com/office/drawing/2014/main" id="{767383DC-9DF9-E0B3-3D58-A0B7500040B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55" name="Shape 30">
            <a:extLst>
              <a:ext uri="{FF2B5EF4-FFF2-40B4-BE49-F238E27FC236}">
                <a16:creationId xmlns:a16="http://schemas.microsoft.com/office/drawing/2014/main" id="{0C05880E-65BF-4F17-D51A-8BC80E398C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56" name="Shape 31">
            <a:extLst>
              <a:ext uri="{FF2B5EF4-FFF2-40B4-BE49-F238E27FC236}">
                <a16:creationId xmlns:a16="http://schemas.microsoft.com/office/drawing/2014/main" id="{861F403B-0505-771F-3FE0-AAF0CC5B062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146</xdr:row>
      <xdr:rowOff>160585</xdr:rowOff>
    </xdr:from>
    <xdr:ext cx="33655" cy="33655"/>
    <xdr:grpSp>
      <xdr:nvGrpSpPr>
        <xdr:cNvPr id="2657" name="Group 32">
          <a:extLst>
            <a:ext uri="{FF2B5EF4-FFF2-40B4-BE49-F238E27FC236}">
              <a16:creationId xmlns:a16="http://schemas.microsoft.com/office/drawing/2014/main" id="{29154C1B-0122-4A6E-8353-F2C2833BDB93}"/>
            </a:ext>
          </a:extLst>
        </xdr:cNvPr>
        <xdr:cNvGrpSpPr/>
      </xdr:nvGrpSpPr>
      <xdr:grpSpPr>
        <a:xfrm>
          <a:off x="4603072" y="28011060"/>
          <a:ext cx="33655" cy="33655"/>
          <a:chOff x="0" y="0"/>
          <a:chExt cx="33655" cy="33655"/>
        </a:xfrm>
      </xdr:grpSpPr>
      <xdr:sp macro="" textlink="">
        <xdr:nvSpPr>
          <xdr:cNvPr id="2658" name="Shape 33">
            <a:extLst>
              <a:ext uri="{FF2B5EF4-FFF2-40B4-BE49-F238E27FC236}">
                <a16:creationId xmlns:a16="http://schemas.microsoft.com/office/drawing/2014/main" id="{5782CCA5-B592-1624-387D-56972095AC3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59" name="Shape 34">
            <a:extLst>
              <a:ext uri="{FF2B5EF4-FFF2-40B4-BE49-F238E27FC236}">
                <a16:creationId xmlns:a16="http://schemas.microsoft.com/office/drawing/2014/main" id="{C9EA59E1-E118-061A-C97D-E1C534B77A0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60" name="Shape 35">
            <a:extLst>
              <a:ext uri="{FF2B5EF4-FFF2-40B4-BE49-F238E27FC236}">
                <a16:creationId xmlns:a16="http://schemas.microsoft.com/office/drawing/2014/main" id="{6AC8F246-B141-EBB1-C76B-D33CD3D8CB7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61" name="Shape 36">
            <a:extLst>
              <a:ext uri="{FF2B5EF4-FFF2-40B4-BE49-F238E27FC236}">
                <a16:creationId xmlns:a16="http://schemas.microsoft.com/office/drawing/2014/main" id="{D2197CC8-A782-E2E9-204E-4AF9E69A9E7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62" name="Shape 37">
            <a:extLst>
              <a:ext uri="{FF2B5EF4-FFF2-40B4-BE49-F238E27FC236}">
                <a16:creationId xmlns:a16="http://schemas.microsoft.com/office/drawing/2014/main" id="{F3B8F2F2-73DE-BBBA-D019-800503E36F1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63" name="Shape 38">
            <a:extLst>
              <a:ext uri="{FF2B5EF4-FFF2-40B4-BE49-F238E27FC236}">
                <a16:creationId xmlns:a16="http://schemas.microsoft.com/office/drawing/2014/main" id="{AD17C70B-6A51-C59B-7D25-E40FCCB7469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64" name="Shape 39">
            <a:extLst>
              <a:ext uri="{FF2B5EF4-FFF2-40B4-BE49-F238E27FC236}">
                <a16:creationId xmlns:a16="http://schemas.microsoft.com/office/drawing/2014/main" id="{B42C795C-BEAB-70A1-58FD-0B9B61CB183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65" name="Shape 40">
            <a:extLst>
              <a:ext uri="{FF2B5EF4-FFF2-40B4-BE49-F238E27FC236}">
                <a16:creationId xmlns:a16="http://schemas.microsoft.com/office/drawing/2014/main" id="{F9C9FF1A-9691-D2D4-8FFE-85173D6A043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66" name="Shape 41">
            <a:extLst>
              <a:ext uri="{FF2B5EF4-FFF2-40B4-BE49-F238E27FC236}">
                <a16:creationId xmlns:a16="http://schemas.microsoft.com/office/drawing/2014/main" id="{8A555586-0EEE-375C-97CB-D2A3DC92972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67" name="Shape 42">
            <a:extLst>
              <a:ext uri="{FF2B5EF4-FFF2-40B4-BE49-F238E27FC236}">
                <a16:creationId xmlns:a16="http://schemas.microsoft.com/office/drawing/2014/main" id="{15DAE563-A498-EB51-0A1D-970D402988D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68" name="Shape 43">
            <a:extLst>
              <a:ext uri="{FF2B5EF4-FFF2-40B4-BE49-F238E27FC236}">
                <a16:creationId xmlns:a16="http://schemas.microsoft.com/office/drawing/2014/main" id="{D665C2E3-1123-5108-0ED8-9FA0C81858A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69" name="Shape 44">
            <a:extLst>
              <a:ext uri="{FF2B5EF4-FFF2-40B4-BE49-F238E27FC236}">
                <a16:creationId xmlns:a16="http://schemas.microsoft.com/office/drawing/2014/main" id="{9F7C03D5-2F78-3C1D-F884-3F2784C8DCA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70" name="Shape 45">
            <a:extLst>
              <a:ext uri="{FF2B5EF4-FFF2-40B4-BE49-F238E27FC236}">
                <a16:creationId xmlns:a16="http://schemas.microsoft.com/office/drawing/2014/main" id="{3DF574D0-228A-09E8-4280-78C5117697E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71" name="Shape 46">
            <a:extLst>
              <a:ext uri="{FF2B5EF4-FFF2-40B4-BE49-F238E27FC236}">
                <a16:creationId xmlns:a16="http://schemas.microsoft.com/office/drawing/2014/main" id="{0EF09E59-04AB-1D1A-644F-69F7F0E58BB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147</xdr:row>
      <xdr:rowOff>3409</xdr:rowOff>
    </xdr:from>
    <xdr:ext cx="33655" cy="33655"/>
    <xdr:grpSp>
      <xdr:nvGrpSpPr>
        <xdr:cNvPr id="2672" name="Group 47">
          <a:extLst>
            <a:ext uri="{FF2B5EF4-FFF2-40B4-BE49-F238E27FC236}">
              <a16:creationId xmlns:a16="http://schemas.microsoft.com/office/drawing/2014/main" id="{C15E86A3-783A-4926-B54C-893B72D83267}"/>
            </a:ext>
          </a:extLst>
        </xdr:cNvPr>
        <xdr:cNvGrpSpPr/>
      </xdr:nvGrpSpPr>
      <xdr:grpSpPr>
        <a:xfrm>
          <a:off x="4603072" y="28022524"/>
          <a:ext cx="33655" cy="33655"/>
          <a:chOff x="0" y="0"/>
          <a:chExt cx="33655" cy="33655"/>
        </a:xfrm>
      </xdr:grpSpPr>
      <xdr:sp macro="" textlink="">
        <xdr:nvSpPr>
          <xdr:cNvPr id="2673" name="Shape 48">
            <a:extLst>
              <a:ext uri="{FF2B5EF4-FFF2-40B4-BE49-F238E27FC236}">
                <a16:creationId xmlns:a16="http://schemas.microsoft.com/office/drawing/2014/main" id="{2C1C7217-EE50-6905-C803-406AD4A7F73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74" name="Shape 49">
            <a:extLst>
              <a:ext uri="{FF2B5EF4-FFF2-40B4-BE49-F238E27FC236}">
                <a16:creationId xmlns:a16="http://schemas.microsoft.com/office/drawing/2014/main" id="{797E4396-F494-711E-9266-CB3660DF925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75" name="Shape 50">
            <a:extLst>
              <a:ext uri="{FF2B5EF4-FFF2-40B4-BE49-F238E27FC236}">
                <a16:creationId xmlns:a16="http://schemas.microsoft.com/office/drawing/2014/main" id="{C12FC8B5-6F89-C177-2999-A8C5C9CA2D4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76" name="Shape 51">
            <a:extLst>
              <a:ext uri="{FF2B5EF4-FFF2-40B4-BE49-F238E27FC236}">
                <a16:creationId xmlns:a16="http://schemas.microsoft.com/office/drawing/2014/main" id="{B3CA13A4-F9C6-6AA8-8E67-D4456A6E814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77" name="Shape 52">
            <a:extLst>
              <a:ext uri="{FF2B5EF4-FFF2-40B4-BE49-F238E27FC236}">
                <a16:creationId xmlns:a16="http://schemas.microsoft.com/office/drawing/2014/main" id="{FCA27B6A-D335-0DDD-12CD-D7C4E641D21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78" name="Shape 53">
            <a:extLst>
              <a:ext uri="{FF2B5EF4-FFF2-40B4-BE49-F238E27FC236}">
                <a16:creationId xmlns:a16="http://schemas.microsoft.com/office/drawing/2014/main" id="{79974F54-B65E-150E-91C9-878F686679B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79" name="Shape 54">
            <a:extLst>
              <a:ext uri="{FF2B5EF4-FFF2-40B4-BE49-F238E27FC236}">
                <a16:creationId xmlns:a16="http://schemas.microsoft.com/office/drawing/2014/main" id="{DF1CE4B5-C6DF-5FFA-11EE-B1C97C6F92C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80" name="Shape 55">
            <a:extLst>
              <a:ext uri="{FF2B5EF4-FFF2-40B4-BE49-F238E27FC236}">
                <a16:creationId xmlns:a16="http://schemas.microsoft.com/office/drawing/2014/main" id="{CAEEFC4D-2E52-DE52-F012-9427E6F03A2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81" name="Shape 56">
            <a:extLst>
              <a:ext uri="{FF2B5EF4-FFF2-40B4-BE49-F238E27FC236}">
                <a16:creationId xmlns:a16="http://schemas.microsoft.com/office/drawing/2014/main" id="{FD3CAEEE-19D2-25CD-DD51-1D273B60958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82" name="Shape 57">
            <a:extLst>
              <a:ext uri="{FF2B5EF4-FFF2-40B4-BE49-F238E27FC236}">
                <a16:creationId xmlns:a16="http://schemas.microsoft.com/office/drawing/2014/main" id="{9637845A-7954-BCC2-78E2-91E6BEB4FEA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83" name="Shape 58">
            <a:extLst>
              <a:ext uri="{FF2B5EF4-FFF2-40B4-BE49-F238E27FC236}">
                <a16:creationId xmlns:a16="http://schemas.microsoft.com/office/drawing/2014/main" id="{A0D9B109-0B58-B104-637A-4384F0812BE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84" name="Shape 59">
            <a:extLst>
              <a:ext uri="{FF2B5EF4-FFF2-40B4-BE49-F238E27FC236}">
                <a16:creationId xmlns:a16="http://schemas.microsoft.com/office/drawing/2014/main" id="{AAC7A14D-D7FF-47CC-20FB-D3D3EDF5682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85" name="Shape 60">
            <a:extLst>
              <a:ext uri="{FF2B5EF4-FFF2-40B4-BE49-F238E27FC236}">
                <a16:creationId xmlns:a16="http://schemas.microsoft.com/office/drawing/2014/main" id="{D38BB5EB-6F47-DD60-858B-F631AFF30C1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686" name="Shape 61">
            <a:extLst>
              <a:ext uri="{FF2B5EF4-FFF2-40B4-BE49-F238E27FC236}">
                <a16:creationId xmlns:a16="http://schemas.microsoft.com/office/drawing/2014/main" id="{B8127C50-FD68-3FFA-A9A0-BBAEA08594B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146</xdr:row>
      <xdr:rowOff>160844</xdr:rowOff>
    </xdr:from>
    <xdr:ext cx="33655" cy="33655"/>
    <xdr:grpSp>
      <xdr:nvGrpSpPr>
        <xdr:cNvPr id="2687" name="Group 62">
          <a:extLst>
            <a:ext uri="{FF2B5EF4-FFF2-40B4-BE49-F238E27FC236}">
              <a16:creationId xmlns:a16="http://schemas.microsoft.com/office/drawing/2014/main" id="{67B79E8F-F98F-4CBC-B6C3-ADECC09BB8FF}"/>
            </a:ext>
          </a:extLst>
        </xdr:cNvPr>
        <xdr:cNvGrpSpPr/>
      </xdr:nvGrpSpPr>
      <xdr:grpSpPr>
        <a:xfrm>
          <a:off x="4603072" y="28011319"/>
          <a:ext cx="33655" cy="33655"/>
          <a:chOff x="0" y="0"/>
          <a:chExt cx="33655" cy="33655"/>
        </a:xfrm>
      </xdr:grpSpPr>
      <xdr:sp macro="" textlink="">
        <xdr:nvSpPr>
          <xdr:cNvPr id="2688" name="Shape 63">
            <a:extLst>
              <a:ext uri="{FF2B5EF4-FFF2-40B4-BE49-F238E27FC236}">
                <a16:creationId xmlns:a16="http://schemas.microsoft.com/office/drawing/2014/main" id="{B9994A08-F340-4176-2AC0-B81A1965435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89" name="Shape 64">
            <a:extLst>
              <a:ext uri="{FF2B5EF4-FFF2-40B4-BE49-F238E27FC236}">
                <a16:creationId xmlns:a16="http://schemas.microsoft.com/office/drawing/2014/main" id="{DB8C7D8D-5411-5840-63A6-598FAF4FC38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90" name="Shape 65">
            <a:extLst>
              <a:ext uri="{FF2B5EF4-FFF2-40B4-BE49-F238E27FC236}">
                <a16:creationId xmlns:a16="http://schemas.microsoft.com/office/drawing/2014/main" id="{5AE83BC5-559A-9DBD-7987-BDF4C584CFF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91" name="Shape 66">
            <a:extLst>
              <a:ext uri="{FF2B5EF4-FFF2-40B4-BE49-F238E27FC236}">
                <a16:creationId xmlns:a16="http://schemas.microsoft.com/office/drawing/2014/main" id="{C5058FD8-6A67-AEE4-B23F-280D8DD3D69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92" name="Shape 67">
            <a:extLst>
              <a:ext uri="{FF2B5EF4-FFF2-40B4-BE49-F238E27FC236}">
                <a16:creationId xmlns:a16="http://schemas.microsoft.com/office/drawing/2014/main" id="{A2498900-EDEC-AA38-EE98-9DEA9BD822B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93" name="Shape 68">
            <a:extLst>
              <a:ext uri="{FF2B5EF4-FFF2-40B4-BE49-F238E27FC236}">
                <a16:creationId xmlns:a16="http://schemas.microsoft.com/office/drawing/2014/main" id="{39629033-49F1-D7DC-1210-9D1CB115F09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94" name="Shape 69">
            <a:extLst>
              <a:ext uri="{FF2B5EF4-FFF2-40B4-BE49-F238E27FC236}">
                <a16:creationId xmlns:a16="http://schemas.microsoft.com/office/drawing/2014/main" id="{610B8127-BE45-A1BA-5E5C-46479254C97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95" name="Shape 70">
            <a:extLst>
              <a:ext uri="{FF2B5EF4-FFF2-40B4-BE49-F238E27FC236}">
                <a16:creationId xmlns:a16="http://schemas.microsoft.com/office/drawing/2014/main" id="{15C39AB5-66D0-FB1C-E2C4-A5CF8CDF151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96" name="Shape 71">
            <a:extLst>
              <a:ext uri="{FF2B5EF4-FFF2-40B4-BE49-F238E27FC236}">
                <a16:creationId xmlns:a16="http://schemas.microsoft.com/office/drawing/2014/main" id="{5FCC68A5-07FA-21C7-24F8-15F5DFC1DB6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97" name="Shape 72">
            <a:extLst>
              <a:ext uri="{FF2B5EF4-FFF2-40B4-BE49-F238E27FC236}">
                <a16:creationId xmlns:a16="http://schemas.microsoft.com/office/drawing/2014/main" id="{C13C6959-6706-F9CB-5A58-5A16E91ED7B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698" name="Shape 73">
            <a:extLst>
              <a:ext uri="{FF2B5EF4-FFF2-40B4-BE49-F238E27FC236}">
                <a16:creationId xmlns:a16="http://schemas.microsoft.com/office/drawing/2014/main" id="{E2E6BC7B-CD4C-13BA-CF6E-FA60EB992EE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699" name="Shape 74">
            <a:extLst>
              <a:ext uri="{FF2B5EF4-FFF2-40B4-BE49-F238E27FC236}">
                <a16:creationId xmlns:a16="http://schemas.microsoft.com/office/drawing/2014/main" id="{5A5BDE4E-EF2F-A865-0E12-C93DB32B58D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00" name="Shape 75">
            <a:extLst>
              <a:ext uri="{FF2B5EF4-FFF2-40B4-BE49-F238E27FC236}">
                <a16:creationId xmlns:a16="http://schemas.microsoft.com/office/drawing/2014/main" id="{B392747D-8233-75E2-F458-150EC158195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01" name="Shape 76">
            <a:extLst>
              <a:ext uri="{FF2B5EF4-FFF2-40B4-BE49-F238E27FC236}">
                <a16:creationId xmlns:a16="http://schemas.microsoft.com/office/drawing/2014/main" id="{B2F8AE3E-C79B-9794-3612-BC21C64575E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158</xdr:row>
      <xdr:rowOff>2978</xdr:rowOff>
    </xdr:from>
    <xdr:ext cx="33655" cy="33655"/>
    <xdr:grpSp>
      <xdr:nvGrpSpPr>
        <xdr:cNvPr id="2702" name="Group 2">
          <a:extLst>
            <a:ext uri="{FF2B5EF4-FFF2-40B4-BE49-F238E27FC236}">
              <a16:creationId xmlns:a16="http://schemas.microsoft.com/office/drawing/2014/main" id="{8F1A3471-F6F1-487C-9A16-F5A81D9C87EC}"/>
            </a:ext>
          </a:extLst>
        </xdr:cNvPr>
        <xdr:cNvGrpSpPr/>
      </xdr:nvGrpSpPr>
      <xdr:grpSpPr>
        <a:xfrm>
          <a:off x="4603072" y="30183175"/>
          <a:ext cx="33655" cy="33655"/>
          <a:chOff x="0" y="0"/>
          <a:chExt cx="33655" cy="33655"/>
        </a:xfrm>
      </xdr:grpSpPr>
      <xdr:sp macro="" textlink="">
        <xdr:nvSpPr>
          <xdr:cNvPr id="2703" name="Shape 3">
            <a:extLst>
              <a:ext uri="{FF2B5EF4-FFF2-40B4-BE49-F238E27FC236}">
                <a16:creationId xmlns:a16="http://schemas.microsoft.com/office/drawing/2014/main" id="{7091F888-792D-1C4A-DBFF-F30C175CD75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04" name="Shape 4">
            <a:extLst>
              <a:ext uri="{FF2B5EF4-FFF2-40B4-BE49-F238E27FC236}">
                <a16:creationId xmlns:a16="http://schemas.microsoft.com/office/drawing/2014/main" id="{0A5A152C-9919-C8D9-2710-92491E4A7E9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05" name="Shape 5">
            <a:extLst>
              <a:ext uri="{FF2B5EF4-FFF2-40B4-BE49-F238E27FC236}">
                <a16:creationId xmlns:a16="http://schemas.microsoft.com/office/drawing/2014/main" id="{A3761263-C4D9-E452-3958-5DABF90210E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06" name="Shape 6">
            <a:extLst>
              <a:ext uri="{FF2B5EF4-FFF2-40B4-BE49-F238E27FC236}">
                <a16:creationId xmlns:a16="http://schemas.microsoft.com/office/drawing/2014/main" id="{917AB536-17D3-D80C-BCBB-60D1817B266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07" name="Shape 7">
            <a:extLst>
              <a:ext uri="{FF2B5EF4-FFF2-40B4-BE49-F238E27FC236}">
                <a16:creationId xmlns:a16="http://schemas.microsoft.com/office/drawing/2014/main" id="{EC5C19D8-9F33-449C-F127-98D3B0B827F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08" name="Shape 8">
            <a:extLst>
              <a:ext uri="{FF2B5EF4-FFF2-40B4-BE49-F238E27FC236}">
                <a16:creationId xmlns:a16="http://schemas.microsoft.com/office/drawing/2014/main" id="{588856D4-666F-36ED-6841-6A778DFAD04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09" name="Shape 9">
            <a:extLst>
              <a:ext uri="{FF2B5EF4-FFF2-40B4-BE49-F238E27FC236}">
                <a16:creationId xmlns:a16="http://schemas.microsoft.com/office/drawing/2014/main" id="{5FE34463-4B3C-A48F-23E3-A6C596B8D47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10" name="Shape 10">
            <a:extLst>
              <a:ext uri="{FF2B5EF4-FFF2-40B4-BE49-F238E27FC236}">
                <a16:creationId xmlns:a16="http://schemas.microsoft.com/office/drawing/2014/main" id="{F20C6FB3-BA41-A01C-74AC-5BF998C95F2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11" name="Shape 11">
            <a:extLst>
              <a:ext uri="{FF2B5EF4-FFF2-40B4-BE49-F238E27FC236}">
                <a16:creationId xmlns:a16="http://schemas.microsoft.com/office/drawing/2014/main" id="{DEBB7851-D8CB-B5BA-15C3-3F178525968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12" name="Shape 12">
            <a:extLst>
              <a:ext uri="{FF2B5EF4-FFF2-40B4-BE49-F238E27FC236}">
                <a16:creationId xmlns:a16="http://schemas.microsoft.com/office/drawing/2014/main" id="{3956EBA3-E466-C61E-30CB-C7BF0DE2345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13" name="Shape 13">
            <a:extLst>
              <a:ext uri="{FF2B5EF4-FFF2-40B4-BE49-F238E27FC236}">
                <a16:creationId xmlns:a16="http://schemas.microsoft.com/office/drawing/2014/main" id="{EBE8A712-E7DB-C713-3EB8-25307B6ADB0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14" name="Shape 14">
            <a:extLst>
              <a:ext uri="{FF2B5EF4-FFF2-40B4-BE49-F238E27FC236}">
                <a16:creationId xmlns:a16="http://schemas.microsoft.com/office/drawing/2014/main" id="{9AADFBF8-AC1B-EDE7-2500-E901B3FCCE9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15" name="Shape 15">
            <a:extLst>
              <a:ext uri="{FF2B5EF4-FFF2-40B4-BE49-F238E27FC236}">
                <a16:creationId xmlns:a16="http://schemas.microsoft.com/office/drawing/2014/main" id="{30DA0430-BBD6-5970-950C-71778C0E2CC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16" name="Shape 16">
            <a:extLst>
              <a:ext uri="{FF2B5EF4-FFF2-40B4-BE49-F238E27FC236}">
                <a16:creationId xmlns:a16="http://schemas.microsoft.com/office/drawing/2014/main" id="{664FE51F-A922-E5AB-70F3-87B2DCCA2E7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158</xdr:row>
      <xdr:rowOff>3246</xdr:rowOff>
    </xdr:from>
    <xdr:ext cx="33655" cy="33655"/>
    <xdr:grpSp>
      <xdr:nvGrpSpPr>
        <xdr:cNvPr id="2717" name="Group 17">
          <a:extLst>
            <a:ext uri="{FF2B5EF4-FFF2-40B4-BE49-F238E27FC236}">
              <a16:creationId xmlns:a16="http://schemas.microsoft.com/office/drawing/2014/main" id="{A5B06303-1698-4A4C-88C6-49E59AC976FF}"/>
            </a:ext>
          </a:extLst>
        </xdr:cNvPr>
        <xdr:cNvGrpSpPr/>
      </xdr:nvGrpSpPr>
      <xdr:grpSpPr>
        <a:xfrm>
          <a:off x="4603072" y="30183443"/>
          <a:ext cx="33655" cy="33655"/>
          <a:chOff x="0" y="0"/>
          <a:chExt cx="33655" cy="33655"/>
        </a:xfrm>
      </xdr:grpSpPr>
      <xdr:sp macro="" textlink="">
        <xdr:nvSpPr>
          <xdr:cNvPr id="2718" name="Shape 18">
            <a:extLst>
              <a:ext uri="{FF2B5EF4-FFF2-40B4-BE49-F238E27FC236}">
                <a16:creationId xmlns:a16="http://schemas.microsoft.com/office/drawing/2014/main" id="{E3D96285-337D-6D97-0717-C47280BFC15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19" name="Shape 19">
            <a:extLst>
              <a:ext uri="{FF2B5EF4-FFF2-40B4-BE49-F238E27FC236}">
                <a16:creationId xmlns:a16="http://schemas.microsoft.com/office/drawing/2014/main" id="{A37C9809-3429-B22C-6588-7A90D314218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20" name="Shape 20">
            <a:extLst>
              <a:ext uri="{FF2B5EF4-FFF2-40B4-BE49-F238E27FC236}">
                <a16:creationId xmlns:a16="http://schemas.microsoft.com/office/drawing/2014/main" id="{64E4455F-6FC6-7923-4085-37C14425224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21" name="Shape 21">
            <a:extLst>
              <a:ext uri="{FF2B5EF4-FFF2-40B4-BE49-F238E27FC236}">
                <a16:creationId xmlns:a16="http://schemas.microsoft.com/office/drawing/2014/main" id="{3A1C7F6C-3F12-46D4-AAB0-209D3066929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22" name="Shape 22">
            <a:extLst>
              <a:ext uri="{FF2B5EF4-FFF2-40B4-BE49-F238E27FC236}">
                <a16:creationId xmlns:a16="http://schemas.microsoft.com/office/drawing/2014/main" id="{641E75C9-B781-D347-7D80-30F2BFB8B4B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23" name="Shape 23">
            <a:extLst>
              <a:ext uri="{FF2B5EF4-FFF2-40B4-BE49-F238E27FC236}">
                <a16:creationId xmlns:a16="http://schemas.microsoft.com/office/drawing/2014/main" id="{40C02D07-8FE3-F5B8-9786-606425C33F2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24" name="Shape 24">
            <a:extLst>
              <a:ext uri="{FF2B5EF4-FFF2-40B4-BE49-F238E27FC236}">
                <a16:creationId xmlns:a16="http://schemas.microsoft.com/office/drawing/2014/main" id="{45B8FF95-D2CE-374C-2853-32989363944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25" name="Shape 25">
            <a:extLst>
              <a:ext uri="{FF2B5EF4-FFF2-40B4-BE49-F238E27FC236}">
                <a16:creationId xmlns:a16="http://schemas.microsoft.com/office/drawing/2014/main" id="{D375DD80-A944-97EA-94D5-EEFD8ACE8DE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26" name="Shape 26">
            <a:extLst>
              <a:ext uri="{FF2B5EF4-FFF2-40B4-BE49-F238E27FC236}">
                <a16:creationId xmlns:a16="http://schemas.microsoft.com/office/drawing/2014/main" id="{93A4C329-1F27-761B-4097-5F4DF00D71E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27" name="Shape 27">
            <a:extLst>
              <a:ext uri="{FF2B5EF4-FFF2-40B4-BE49-F238E27FC236}">
                <a16:creationId xmlns:a16="http://schemas.microsoft.com/office/drawing/2014/main" id="{C545CAFA-A0EA-5EE9-56A5-7006C3D8EA8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28" name="Shape 28">
            <a:extLst>
              <a:ext uri="{FF2B5EF4-FFF2-40B4-BE49-F238E27FC236}">
                <a16:creationId xmlns:a16="http://schemas.microsoft.com/office/drawing/2014/main" id="{A130956E-883B-54A3-24F0-D7759256F61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29" name="Shape 29">
            <a:extLst>
              <a:ext uri="{FF2B5EF4-FFF2-40B4-BE49-F238E27FC236}">
                <a16:creationId xmlns:a16="http://schemas.microsoft.com/office/drawing/2014/main" id="{70506C4B-BE80-54B0-6686-CF8F2862051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30" name="Shape 30">
            <a:extLst>
              <a:ext uri="{FF2B5EF4-FFF2-40B4-BE49-F238E27FC236}">
                <a16:creationId xmlns:a16="http://schemas.microsoft.com/office/drawing/2014/main" id="{6ACE7F1F-364E-089C-F7C9-94A6D2F2D4F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31" name="Shape 31">
            <a:extLst>
              <a:ext uri="{FF2B5EF4-FFF2-40B4-BE49-F238E27FC236}">
                <a16:creationId xmlns:a16="http://schemas.microsoft.com/office/drawing/2014/main" id="{5F08E461-EEA0-5210-ED7D-F07B944E94E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157</xdr:row>
      <xdr:rowOff>160585</xdr:rowOff>
    </xdr:from>
    <xdr:ext cx="33655" cy="33655"/>
    <xdr:grpSp>
      <xdr:nvGrpSpPr>
        <xdr:cNvPr id="2732" name="Group 32">
          <a:extLst>
            <a:ext uri="{FF2B5EF4-FFF2-40B4-BE49-F238E27FC236}">
              <a16:creationId xmlns:a16="http://schemas.microsoft.com/office/drawing/2014/main" id="{0C4C6991-F3F3-4581-AB08-6B0E1557213C}"/>
            </a:ext>
          </a:extLst>
        </xdr:cNvPr>
        <xdr:cNvGrpSpPr/>
      </xdr:nvGrpSpPr>
      <xdr:grpSpPr>
        <a:xfrm>
          <a:off x="4603072" y="30172142"/>
          <a:ext cx="33655" cy="33655"/>
          <a:chOff x="0" y="0"/>
          <a:chExt cx="33655" cy="33655"/>
        </a:xfrm>
      </xdr:grpSpPr>
      <xdr:sp macro="" textlink="">
        <xdr:nvSpPr>
          <xdr:cNvPr id="2733" name="Shape 33">
            <a:extLst>
              <a:ext uri="{FF2B5EF4-FFF2-40B4-BE49-F238E27FC236}">
                <a16:creationId xmlns:a16="http://schemas.microsoft.com/office/drawing/2014/main" id="{3CE26EAF-FFFF-95C7-1193-5B05DA8B1F9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34" name="Shape 34">
            <a:extLst>
              <a:ext uri="{FF2B5EF4-FFF2-40B4-BE49-F238E27FC236}">
                <a16:creationId xmlns:a16="http://schemas.microsoft.com/office/drawing/2014/main" id="{A6A263FB-599C-805F-62B7-3564581EE57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35" name="Shape 35">
            <a:extLst>
              <a:ext uri="{FF2B5EF4-FFF2-40B4-BE49-F238E27FC236}">
                <a16:creationId xmlns:a16="http://schemas.microsoft.com/office/drawing/2014/main" id="{A0EBF9D7-8E6D-4374-98EC-BBD0BA7C3D2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36" name="Shape 36">
            <a:extLst>
              <a:ext uri="{FF2B5EF4-FFF2-40B4-BE49-F238E27FC236}">
                <a16:creationId xmlns:a16="http://schemas.microsoft.com/office/drawing/2014/main" id="{7D5AB5B4-1930-68D2-FAE6-76CFF07811B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37" name="Shape 37">
            <a:extLst>
              <a:ext uri="{FF2B5EF4-FFF2-40B4-BE49-F238E27FC236}">
                <a16:creationId xmlns:a16="http://schemas.microsoft.com/office/drawing/2014/main" id="{B486EA98-FA8A-58EB-1EF2-ED0CDBDBDEA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38" name="Shape 38">
            <a:extLst>
              <a:ext uri="{FF2B5EF4-FFF2-40B4-BE49-F238E27FC236}">
                <a16:creationId xmlns:a16="http://schemas.microsoft.com/office/drawing/2014/main" id="{0BE0B1B3-02D3-9BA6-A62B-7F303E6861B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39" name="Shape 39">
            <a:extLst>
              <a:ext uri="{FF2B5EF4-FFF2-40B4-BE49-F238E27FC236}">
                <a16:creationId xmlns:a16="http://schemas.microsoft.com/office/drawing/2014/main" id="{1FCD0E4E-EDA6-B0B2-4AB1-24229975B11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40" name="Shape 40">
            <a:extLst>
              <a:ext uri="{FF2B5EF4-FFF2-40B4-BE49-F238E27FC236}">
                <a16:creationId xmlns:a16="http://schemas.microsoft.com/office/drawing/2014/main" id="{F2BF548A-94C9-599A-624D-23001D1E63B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41" name="Shape 41">
            <a:extLst>
              <a:ext uri="{FF2B5EF4-FFF2-40B4-BE49-F238E27FC236}">
                <a16:creationId xmlns:a16="http://schemas.microsoft.com/office/drawing/2014/main" id="{32D8E44C-0C29-22EA-2173-6A85146ABAF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42" name="Shape 42">
            <a:extLst>
              <a:ext uri="{FF2B5EF4-FFF2-40B4-BE49-F238E27FC236}">
                <a16:creationId xmlns:a16="http://schemas.microsoft.com/office/drawing/2014/main" id="{0CFB8B97-B04C-08E4-C87D-5987CD061AA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43" name="Shape 43">
            <a:extLst>
              <a:ext uri="{FF2B5EF4-FFF2-40B4-BE49-F238E27FC236}">
                <a16:creationId xmlns:a16="http://schemas.microsoft.com/office/drawing/2014/main" id="{395FA091-D6EF-03D5-04E3-DB1FC872511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44" name="Shape 44">
            <a:extLst>
              <a:ext uri="{FF2B5EF4-FFF2-40B4-BE49-F238E27FC236}">
                <a16:creationId xmlns:a16="http://schemas.microsoft.com/office/drawing/2014/main" id="{13AC3486-C7E0-D358-2717-D724E40A1A4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45" name="Shape 45">
            <a:extLst>
              <a:ext uri="{FF2B5EF4-FFF2-40B4-BE49-F238E27FC236}">
                <a16:creationId xmlns:a16="http://schemas.microsoft.com/office/drawing/2014/main" id="{3C5D7F43-D283-31AA-CC5D-F0F132E05C1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46" name="Shape 46">
            <a:extLst>
              <a:ext uri="{FF2B5EF4-FFF2-40B4-BE49-F238E27FC236}">
                <a16:creationId xmlns:a16="http://schemas.microsoft.com/office/drawing/2014/main" id="{75ED75EE-B628-CA44-473A-CA0ADFEA094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158</xdr:row>
      <xdr:rowOff>3409</xdr:rowOff>
    </xdr:from>
    <xdr:ext cx="33655" cy="33655"/>
    <xdr:grpSp>
      <xdr:nvGrpSpPr>
        <xdr:cNvPr id="2747" name="Group 47">
          <a:extLst>
            <a:ext uri="{FF2B5EF4-FFF2-40B4-BE49-F238E27FC236}">
              <a16:creationId xmlns:a16="http://schemas.microsoft.com/office/drawing/2014/main" id="{9D4A1691-1D96-4C5D-AD55-06E984F29D40}"/>
            </a:ext>
          </a:extLst>
        </xdr:cNvPr>
        <xdr:cNvGrpSpPr/>
      </xdr:nvGrpSpPr>
      <xdr:grpSpPr>
        <a:xfrm>
          <a:off x="4603072" y="30183606"/>
          <a:ext cx="33655" cy="33655"/>
          <a:chOff x="0" y="0"/>
          <a:chExt cx="33655" cy="33655"/>
        </a:xfrm>
      </xdr:grpSpPr>
      <xdr:sp macro="" textlink="">
        <xdr:nvSpPr>
          <xdr:cNvPr id="2748" name="Shape 48">
            <a:extLst>
              <a:ext uri="{FF2B5EF4-FFF2-40B4-BE49-F238E27FC236}">
                <a16:creationId xmlns:a16="http://schemas.microsoft.com/office/drawing/2014/main" id="{331941AF-06D6-DA43-77B0-2F2D26B4264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49" name="Shape 49">
            <a:extLst>
              <a:ext uri="{FF2B5EF4-FFF2-40B4-BE49-F238E27FC236}">
                <a16:creationId xmlns:a16="http://schemas.microsoft.com/office/drawing/2014/main" id="{061A9499-B303-8AC7-60B1-4BE8D904F0A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50" name="Shape 50">
            <a:extLst>
              <a:ext uri="{FF2B5EF4-FFF2-40B4-BE49-F238E27FC236}">
                <a16:creationId xmlns:a16="http://schemas.microsoft.com/office/drawing/2014/main" id="{A9C1F518-F4A0-EA5C-51FD-829E50F28D6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51" name="Shape 51">
            <a:extLst>
              <a:ext uri="{FF2B5EF4-FFF2-40B4-BE49-F238E27FC236}">
                <a16:creationId xmlns:a16="http://schemas.microsoft.com/office/drawing/2014/main" id="{910EAF2B-C755-3A36-609B-BF0CD4803E8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52" name="Shape 52">
            <a:extLst>
              <a:ext uri="{FF2B5EF4-FFF2-40B4-BE49-F238E27FC236}">
                <a16:creationId xmlns:a16="http://schemas.microsoft.com/office/drawing/2014/main" id="{7395C580-4247-6764-273C-D09E11865BD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53" name="Shape 53">
            <a:extLst>
              <a:ext uri="{FF2B5EF4-FFF2-40B4-BE49-F238E27FC236}">
                <a16:creationId xmlns:a16="http://schemas.microsoft.com/office/drawing/2014/main" id="{1EFAEEE2-AAC6-7017-C242-C2E92C7A1AE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54" name="Shape 54">
            <a:extLst>
              <a:ext uri="{FF2B5EF4-FFF2-40B4-BE49-F238E27FC236}">
                <a16:creationId xmlns:a16="http://schemas.microsoft.com/office/drawing/2014/main" id="{98F5C8AA-95F8-AA55-49D0-3098360BDA5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55" name="Shape 55">
            <a:extLst>
              <a:ext uri="{FF2B5EF4-FFF2-40B4-BE49-F238E27FC236}">
                <a16:creationId xmlns:a16="http://schemas.microsoft.com/office/drawing/2014/main" id="{56867991-0298-6946-68EA-A3906E5332D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56" name="Shape 56">
            <a:extLst>
              <a:ext uri="{FF2B5EF4-FFF2-40B4-BE49-F238E27FC236}">
                <a16:creationId xmlns:a16="http://schemas.microsoft.com/office/drawing/2014/main" id="{131677F8-C89A-EE9B-DCFF-119E9038DDE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57" name="Shape 57">
            <a:extLst>
              <a:ext uri="{FF2B5EF4-FFF2-40B4-BE49-F238E27FC236}">
                <a16:creationId xmlns:a16="http://schemas.microsoft.com/office/drawing/2014/main" id="{732567F1-CEB1-A390-06FA-BC141121433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58" name="Shape 58">
            <a:extLst>
              <a:ext uri="{FF2B5EF4-FFF2-40B4-BE49-F238E27FC236}">
                <a16:creationId xmlns:a16="http://schemas.microsoft.com/office/drawing/2014/main" id="{1E00E2B0-86C5-50D7-C904-C8F0F1CD3B5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59" name="Shape 59">
            <a:extLst>
              <a:ext uri="{FF2B5EF4-FFF2-40B4-BE49-F238E27FC236}">
                <a16:creationId xmlns:a16="http://schemas.microsoft.com/office/drawing/2014/main" id="{8D84CEEC-E7DF-2F9C-71FB-46E571FCAF8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60" name="Shape 60">
            <a:extLst>
              <a:ext uri="{FF2B5EF4-FFF2-40B4-BE49-F238E27FC236}">
                <a16:creationId xmlns:a16="http://schemas.microsoft.com/office/drawing/2014/main" id="{D2112EA9-8BDA-FAE3-6654-FEEB4B0E07B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61" name="Shape 61">
            <a:extLst>
              <a:ext uri="{FF2B5EF4-FFF2-40B4-BE49-F238E27FC236}">
                <a16:creationId xmlns:a16="http://schemas.microsoft.com/office/drawing/2014/main" id="{781C5330-59BE-CF48-2D3E-A030E602BBD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157</xdr:row>
      <xdr:rowOff>160844</xdr:rowOff>
    </xdr:from>
    <xdr:ext cx="33655" cy="33655"/>
    <xdr:grpSp>
      <xdr:nvGrpSpPr>
        <xdr:cNvPr id="2762" name="Group 62">
          <a:extLst>
            <a:ext uri="{FF2B5EF4-FFF2-40B4-BE49-F238E27FC236}">
              <a16:creationId xmlns:a16="http://schemas.microsoft.com/office/drawing/2014/main" id="{CB938ADC-9F34-44FA-AB41-B8F1CD716EF8}"/>
            </a:ext>
          </a:extLst>
        </xdr:cNvPr>
        <xdr:cNvGrpSpPr/>
      </xdr:nvGrpSpPr>
      <xdr:grpSpPr>
        <a:xfrm>
          <a:off x="4603072" y="30172401"/>
          <a:ext cx="33655" cy="33655"/>
          <a:chOff x="0" y="0"/>
          <a:chExt cx="33655" cy="33655"/>
        </a:xfrm>
      </xdr:grpSpPr>
      <xdr:sp macro="" textlink="">
        <xdr:nvSpPr>
          <xdr:cNvPr id="2763" name="Shape 63">
            <a:extLst>
              <a:ext uri="{FF2B5EF4-FFF2-40B4-BE49-F238E27FC236}">
                <a16:creationId xmlns:a16="http://schemas.microsoft.com/office/drawing/2014/main" id="{EB516459-79CD-E0CD-564F-4B86109374A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64" name="Shape 64">
            <a:extLst>
              <a:ext uri="{FF2B5EF4-FFF2-40B4-BE49-F238E27FC236}">
                <a16:creationId xmlns:a16="http://schemas.microsoft.com/office/drawing/2014/main" id="{346F1B66-F515-737C-AF5E-7707D5E14BC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65" name="Shape 65">
            <a:extLst>
              <a:ext uri="{FF2B5EF4-FFF2-40B4-BE49-F238E27FC236}">
                <a16:creationId xmlns:a16="http://schemas.microsoft.com/office/drawing/2014/main" id="{6DBB6A83-C3C6-A446-42B6-1FEA4CC9E92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66" name="Shape 66">
            <a:extLst>
              <a:ext uri="{FF2B5EF4-FFF2-40B4-BE49-F238E27FC236}">
                <a16:creationId xmlns:a16="http://schemas.microsoft.com/office/drawing/2014/main" id="{450CC139-5C1C-F7C8-7D84-E0BD6FC2A56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67" name="Shape 67">
            <a:extLst>
              <a:ext uri="{FF2B5EF4-FFF2-40B4-BE49-F238E27FC236}">
                <a16:creationId xmlns:a16="http://schemas.microsoft.com/office/drawing/2014/main" id="{4C5FC9EF-4D90-ED00-1B0F-EAD6C9CB8E8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68" name="Shape 68">
            <a:extLst>
              <a:ext uri="{FF2B5EF4-FFF2-40B4-BE49-F238E27FC236}">
                <a16:creationId xmlns:a16="http://schemas.microsoft.com/office/drawing/2014/main" id="{800CAAFC-22D3-60FE-A36F-718B1A31E63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69" name="Shape 69">
            <a:extLst>
              <a:ext uri="{FF2B5EF4-FFF2-40B4-BE49-F238E27FC236}">
                <a16:creationId xmlns:a16="http://schemas.microsoft.com/office/drawing/2014/main" id="{C8EE37FA-C3C6-6EBE-370D-ECE60A1688D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70" name="Shape 70">
            <a:extLst>
              <a:ext uri="{FF2B5EF4-FFF2-40B4-BE49-F238E27FC236}">
                <a16:creationId xmlns:a16="http://schemas.microsoft.com/office/drawing/2014/main" id="{DC1E8FCA-30BB-09A6-1DAE-AE8CBBB8044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71" name="Shape 71">
            <a:extLst>
              <a:ext uri="{FF2B5EF4-FFF2-40B4-BE49-F238E27FC236}">
                <a16:creationId xmlns:a16="http://schemas.microsoft.com/office/drawing/2014/main" id="{C832716A-CD16-6744-9AF4-1E76A29D678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72" name="Shape 72">
            <a:extLst>
              <a:ext uri="{FF2B5EF4-FFF2-40B4-BE49-F238E27FC236}">
                <a16:creationId xmlns:a16="http://schemas.microsoft.com/office/drawing/2014/main" id="{D80D3328-874E-CE9D-AC1B-D4FB7EF222C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73" name="Shape 73">
            <a:extLst>
              <a:ext uri="{FF2B5EF4-FFF2-40B4-BE49-F238E27FC236}">
                <a16:creationId xmlns:a16="http://schemas.microsoft.com/office/drawing/2014/main" id="{B4442D3C-34BA-2EAC-DC7E-FD3C5932292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74" name="Shape 74">
            <a:extLst>
              <a:ext uri="{FF2B5EF4-FFF2-40B4-BE49-F238E27FC236}">
                <a16:creationId xmlns:a16="http://schemas.microsoft.com/office/drawing/2014/main" id="{DCD2350B-F253-49B4-3510-0A550F6C3F1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75" name="Shape 75">
            <a:extLst>
              <a:ext uri="{FF2B5EF4-FFF2-40B4-BE49-F238E27FC236}">
                <a16:creationId xmlns:a16="http://schemas.microsoft.com/office/drawing/2014/main" id="{0B13F1E0-BB79-CA97-D134-2F64F643EE7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776" name="Shape 76">
            <a:extLst>
              <a:ext uri="{FF2B5EF4-FFF2-40B4-BE49-F238E27FC236}">
                <a16:creationId xmlns:a16="http://schemas.microsoft.com/office/drawing/2014/main" id="{89D88A26-B9F6-7F44-6889-037503F77D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169</xdr:row>
      <xdr:rowOff>2978</xdr:rowOff>
    </xdr:from>
    <xdr:ext cx="33655" cy="33655"/>
    <xdr:grpSp>
      <xdr:nvGrpSpPr>
        <xdr:cNvPr id="2777" name="Group 2">
          <a:extLst>
            <a:ext uri="{FF2B5EF4-FFF2-40B4-BE49-F238E27FC236}">
              <a16:creationId xmlns:a16="http://schemas.microsoft.com/office/drawing/2014/main" id="{BF30B34F-7832-4950-B132-358D52831068}"/>
            </a:ext>
          </a:extLst>
        </xdr:cNvPr>
        <xdr:cNvGrpSpPr/>
      </xdr:nvGrpSpPr>
      <xdr:grpSpPr>
        <a:xfrm>
          <a:off x="4603072" y="32344257"/>
          <a:ext cx="33655" cy="33655"/>
          <a:chOff x="0" y="0"/>
          <a:chExt cx="33655" cy="33655"/>
        </a:xfrm>
      </xdr:grpSpPr>
      <xdr:sp macro="" textlink="">
        <xdr:nvSpPr>
          <xdr:cNvPr id="2778" name="Shape 3">
            <a:extLst>
              <a:ext uri="{FF2B5EF4-FFF2-40B4-BE49-F238E27FC236}">
                <a16:creationId xmlns:a16="http://schemas.microsoft.com/office/drawing/2014/main" id="{4214D205-7CEA-085B-BC06-C4D66D259E6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79" name="Shape 4">
            <a:extLst>
              <a:ext uri="{FF2B5EF4-FFF2-40B4-BE49-F238E27FC236}">
                <a16:creationId xmlns:a16="http://schemas.microsoft.com/office/drawing/2014/main" id="{FBB3F7BF-B23A-D208-626A-75396704AA9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80" name="Shape 5">
            <a:extLst>
              <a:ext uri="{FF2B5EF4-FFF2-40B4-BE49-F238E27FC236}">
                <a16:creationId xmlns:a16="http://schemas.microsoft.com/office/drawing/2014/main" id="{D04110D4-D762-5B7E-AA1A-9EA3201AD9F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81" name="Shape 6">
            <a:extLst>
              <a:ext uri="{FF2B5EF4-FFF2-40B4-BE49-F238E27FC236}">
                <a16:creationId xmlns:a16="http://schemas.microsoft.com/office/drawing/2014/main" id="{A0306113-DA93-FC57-9678-2577619088B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82" name="Shape 7">
            <a:extLst>
              <a:ext uri="{FF2B5EF4-FFF2-40B4-BE49-F238E27FC236}">
                <a16:creationId xmlns:a16="http://schemas.microsoft.com/office/drawing/2014/main" id="{75B44476-1EA5-CDCE-6136-EE865419E2C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83" name="Shape 8">
            <a:extLst>
              <a:ext uri="{FF2B5EF4-FFF2-40B4-BE49-F238E27FC236}">
                <a16:creationId xmlns:a16="http://schemas.microsoft.com/office/drawing/2014/main" id="{367B9D56-B968-593F-F961-973C98ECDD4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84" name="Shape 9">
            <a:extLst>
              <a:ext uri="{FF2B5EF4-FFF2-40B4-BE49-F238E27FC236}">
                <a16:creationId xmlns:a16="http://schemas.microsoft.com/office/drawing/2014/main" id="{3D85E571-345C-3A8C-193F-B3EE6F988E9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85" name="Shape 10">
            <a:extLst>
              <a:ext uri="{FF2B5EF4-FFF2-40B4-BE49-F238E27FC236}">
                <a16:creationId xmlns:a16="http://schemas.microsoft.com/office/drawing/2014/main" id="{13CABEBA-3F92-6524-0A15-31B669CFCDD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86" name="Shape 11">
            <a:extLst>
              <a:ext uri="{FF2B5EF4-FFF2-40B4-BE49-F238E27FC236}">
                <a16:creationId xmlns:a16="http://schemas.microsoft.com/office/drawing/2014/main" id="{3E589629-AC4D-8FBE-1CB8-D745D1D5E25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87" name="Shape 12">
            <a:extLst>
              <a:ext uri="{FF2B5EF4-FFF2-40B4-BE49-F238E27FC236}">
                <a16:creationId xmlns:a16="http://schemas.microsoft.com/office/drawing/2014/main" id="{0B30D4B1-C9FA-A0BC-4488-1F42DB54CE0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88" name="Shape 13">
            <a:extLst>
              <a:ext uri="{FF2B5EF4-FFF2-40B4-BE49-F238E27FC236}">
                <a16:creationId xmlns:a16="http://schemas.microsoft.com/office/drawing/2014/main" id="{4FF1CD52-2B9B-90AC-B7AA-43E7AEC0AD5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89" name="Shape 14">
            <a:extLst>
              <a:ext uri="{FF2B5EF4-FFF2-40B4-BE49-F238E27FC236}">
                <a16:creationId xmlns:a16="http://schemas.microsoft.com/office/drawing/2014/main" id="{0460020D-CBD4-BD17-C66E-1B235E40910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90" name="Shape 15">
            <a:extLst>
              <a:ext uri="{FF2B5EF4-FFF2-40B4-BE49-F238E27FC236}">
                <a16:creationId xmlns:a16="http://schemas.microsoft.com/office/drawing/2014/main" id="{EF1A7E93-3098-629D-05FE-C1A7A4FE77F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91" name="Shape 16">
            <a:extLst>
              <a:ext uri="{FF2B5EF4-FFF2-40B4-BE49-F238E27FC236}">
                <a16:creationId xmlns:a16="http://schemas.microsoft.com/office/drawing/2014/main" id="{EE6648B2-8CFC-8CA8-E864-831DE156BCC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169</xdr:row>
      <xdr:rowOff>3246</xdr:rowOff>
    </xdr:from>
    <xdr:ext cx="33655" cy="33655"/>
    <xdr:grpSp>
      <xdr:nvGrpSpPr>
        <xdr:cNvPr id="2792" name="Group 17">
          <a:extLst>
            <a:ext uri="{FF2B5EF4-FFF2-40B4-BE49-F238E27FC236}">
              <a16:creationId xmlns:a16="http://schemas.microsoft.com/office/drawing/2014/main" id="{F70285C6-B9C0-41DB-9D0C-C8B75B45BBBF}"/>
            </a:ext>
          </a:extLst>
        </xdr:cNvPr>
        <xdr:cNvGrpSpPr/>
      </xdr:nvGrpSpPr>
      <xdr:grpSpPr>
        <a:xfrm>
          <a:off x="4603072" y="32344525"/>
          <a:ext cx="33655" cy="33655"/>
          <a:chOff x="0" y="0"/>
          <a:chExt cx="33655" cy="33655"/>
        </a:xfrm>
      </xdr:grpSpPr>
      <xdr:sp macro="" textlink="">
        <xdr:nvSpPr>
          <xdr:cNvPr id="2793" name="Shape 18">
            <a:extLst>
              <a:ext uri="{FF2B5EF4-FFF2-40B4-BE49-F238E27FC236}">
                <a16:creationId xmlns:a16="http://schemas.microsoft.com/office/drawing/2014/main" id="{13F67B40-920A-0C3C-F067-6C226C2C277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94" name="Shape 19">
            <a:extLst>
              <a:ext uri="{FF2B5EF4-FFF2-40B4-BE49-F238E27FC236}">
                <a16:creationId xmlns:a16="http://schemas.microsoft.com/office/drawing/2014/main" id="{0F50E3D6-A386-88FF-6FBC-2D57770FF7A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95" name="Shape 20">
            <a:extLst>
              <a:ext uri="{FF2B5EF4-FFF2-40B4-BE49-F238E27FC236}">
                <a16:creationId xmlns:a16="http://schemas.microsoft.com/office/drawing/2014/main" id="{FBFE0401-6F18-ECE2-C58D-4B241CD3F19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96" name="Shape 21">
            <a:extLst>
              <a:ext uri="{FF2B5EF4-FFF2-40B4-BE49-F238E27FC236}">
                <a16:creationId xmlns:a16="http://schemas.microsoft.com/office/drawing/2014/main" id="{C7369046-F0C1-D0A4-BCB5-30D0B6EBFA6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97" name="Shape 22">
            <a:extLst>
              <a:ext uri="{FF2B5EF4-FFF2-40B4-BE49-F238E27FC236}">
                <a16:creationId xmlns:a16="http://schemas.microsoft.com/office/drawing/2014/main" id="{9355FD6E-ABDA-5593-42E1-8BF0403622C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798" name="Shape 23">
            <a:extLst>
              <a:ext uri="{FF2B5EF4-FFF2-40B4-BE49-F238E27FC236}">
                <a16:creationId xmlns:a16="http://schemas.microsoft.com/office/drawing/2014/main" id="{377A770F-87AA-358B-6D44-8FC0F944602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799" name="Shape 24">
            <a:extLst>
              <a:ext uri="{FF2B5EF4-FFF2-40B4-BE49-F238E27FC236}">
                <a16:creationId xmlns:a16="http://schemas.microsoft.com/office/drawing/2014/main" id="{0E14E8C9-F8E4-1264-CCB4-8872CFB2296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00" name="Shape 25">
            <a:extLst>
              <a:ext uri="{FF2B5EF4-FFF2-40B4-BE49-F238E27FC236}">
                <a16:creationId xmlns:a16="http://schemas.microsoft.com/office/drawing/2014/main" id="{133EEF17-9AE3-5C0C-5EBA-305042861CF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01" name="Shape 26">
            <a:extLst>
              <a:ext uri="{FF2B5EF4-FFF2-40B4-BE49-F238E27FC236}">
                <a16:creationId xmlns:a16="http://schemas.microsoft.com/office/drawing/2014/main" id="{CFE931CF-D658-21CE-3E3E-FFBC307CA11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02" name="Shape 27">
            <a:extLst>
              <a:ext uri="{FF2B5EF4-FFF2-40B4-BE49-F238E27FC236}">
                <a16:creationId xmlns:a16="http://schemas.microsoft.com/office/drawing/2014/main" id="{B1701914-A2BC-12D1-3892-ED63EBD7E57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03" name="Shape 28">
            <a:extLst>
              <a:ext uri="{FF2B5EF4-FFF2-40B4-BE49-F238E27FC236}">
                <a16:creationId xmlns:a16="http://schemas.microsoft.com/office/drawing/2014/main" id="{E216D644-DBBC-28EE-BD6F-83098815668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04" name="Shape 29">
            <a:extLst>
              <a:ext uri="{FF2B5EF4-FFF2-40B4-BE49-F238E27FC236}">
                <a16:creationId xmlns:a16="http://schemas.microsoft.com/office/drawing/2014/main" id="{0DAC128A-AA65-765B-B528-4495C43B45A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05" name="Shape 30">
            <a:extLst>
              <a:ext uri="{FF2B5EF4-FFF2-40B4-BE49-F238E27FC236}">
                <a16:creationId xmlns:a16="http://schemas.microsoft.com/office/drawing/2014/main" id="{1545C8A8-111E-8B15-6F1F-3C4E764494A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06" name="Shape 31">
            <a:extLst>
              <a:ext uri="{FF2B5EF4-FFF2-40B4-BE49-F238E27FC236}">
                <a16:creationId xmlns:a16="http://schemas.microsoft.com/office/drawing/2014/main" id="{C8476F3E-E415-D795-DC32-5FDBB576220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168</xdr:row>
      <xdr:rowOff>160585</xdr:rowOff>
    </xdr:from>
    <xdr:ext cx="33655" cy="33655"/>
    <xdr:grpSp>
      <xdr:nvGrpSpPr>
        <xdr:cNvPr id="2807" name="Group 32">
          <a:extLst>
            <a:ext uri="{FF2B5EF4-FFF2-40B4-BE49-F238E27FC236}">
              <a16:creationId xmlns:a16="http://schemas.microsoft.com/office/drawing/2014/main" id="{8CB99B5D-335D-42C3-A4BC-D7BD596838F6}"/>
            </a:ext>
          </a:extLst>
        </xdr:cNvPr>
        <xdr:cNvGrpSpPr/>
      </xdr:nvGrpSpPr>
      <xdr:grpSpPr>
        <a:xfrm>
          <a:off x="4603072" y="32333224"/>
          <a:ext cx="33655" cy="33655"/>
          <a:chOff x="0" y="0"/>
          <a:chExt cx="33655" cy="33655"/>
        </a:xfrm>
      </xdr:grpSpPr>
      <xdr:sp macro="" textlink="">
        <xdr:nvSpPr>
          <xdr:cNvPr id="2808" name="Shape 33">
            <a:extLst>
              <a:ext uri="{FF2B5EF4-FFF2-40B4-BE49-F238E27FC236}">
                <a16:creationId xmlns:a16="http://schemas.microsoft.com/office/drawing/2014/main" id="{F8A1E871-B7E9-BA2E-EBBD-DB326578742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09" name="Shape 34">
            <a:extLst>
              <a:ext uri="{FF2B5EF4-FFF2-40B4-BE49-F238E27FC236}">
                <a16:creationId xmlns:a16="http://schemas.microsoft.com/office/drawing/2014/main" id="{05855D75-5ED1-E0F6-761F-0A8AED96123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10" name="Shape 35">
            <a:extLst>
              <a:ext uri="{FF2B5EF4-FFF2-40B4-BE49-F238E27FC236}">
                <a16:creationId xmlns:a16="http://schemas.microsoft.com/office/drawing/2014/main" id="{2F06C592-2DAE-41C1-84D5-BDA990D75CE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11" name="Shape 36">
            <a:extLst>
              <a:ext uri="{FF2B5EF4-FFF2-40B4-BE49-F238E27FC236}">
                <a16:creationId xmlns:a16="http://schemas.microsoft.com/office/drawing/2014/main" id="{DD391A36-A24C-E490-EF7D-463CBBFCD2C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12" name="Shape 37">
            <a:extLst>
              <a:ext uri="{FF2B5EF4-FFF2-40B4-BE49-F238E27FC236}">
                <a16:creationId xmlns:a16="http://schemas.microsoft.com/office/drawing/2014/main" id="{C6A675C9-DE26-E1D7-B5AD-8E6F3CD8E70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13" name="Shape 38">
            <a:extLst>
              <a:ext uri="{FF2B5EF4-FFF2-40B4-BE49-F238E27FC236}">
                <a16:creationId xmlns:a16="http://schemas.microsoft.com/office/drawing/2014/main" id="{3899D612-BF50-7F3A-3A3E-615726FAA56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14" name="Shape 39">
            <a:extLst>
              <a:ext uri="{FF2B5EF4-FFF2-40B4-BE49-F238E27FC236}">
                <a16:creationId xmlns:a16="http://schemas.microsoft.com/office/drawing/2014/main" id="{0D427A07-5141-471C-BB97-C126E26A794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15" name="Shape 40">
            <a:extLst>
              <a:ext uri="{FF2B5EF4-FFF2-40B4-BE49-F238E27FC236}">
                <a16:creationId xmlns:a16="http://schemas.microsoft.com/office/drawing/2014/main" id="{FD5419A2-A622-95E7-E043-9119FE26481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16" name="Shape 41">
            <a:extLst>
              <a:ext uri="{FF2B5EF4-FFF2-40B4-BE49-F238E27FC236}">
                <a16:creationId xmlns:a16="http://schemas.microsoft.com/office/drawing/2014/main" id="{FB7306CE-C99A-58EB-BE3C-12EA25913EF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17" name="Shape 42">
            <a:extLst>
              <a:ext uri="{FF2B5EF4-FFF2-40B4-BE49-F238E27FC236}">
                <a16:creationId xmlns:a16="http://schemas.microsoft.com/office/drawing/2014/main" id="{0A9E2178-498A-7D91-4A6C-87EC3B4A713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18" name="Shape 43">
            <a:extLst>
              <a:ext uri="{FF2B5EF4-FFF2-40B4-BE49-F238E27FC236}">
                <a16:creationId xmlns:a16="http://schemas.microsoft.com/office/drawing/2014/main" id="{2DEC1D00-26B3-F690-144A-3A05D1D60BD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19" name="Shape 44">
            <a:extLst>
              <a:ext uri="{FF2B5EF4-FFF2-40B4-BE49-F238E27FC236}">
                <a16:creationId xmlns:a16="http://schemas.microsoft.com/office/drawing/2014/main" id="{7A98F2A2-C74D-0E53-6C27-C85505997BF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20" name="Shape 45">
            <a:extLst>
              <a:ext uri="{FF2B5EF4-FFF2-40B4-BE49-F238E27FC236}">
                <a16:creationId xmlns:a16="http://schemas.microsoft.com/office/drawing/2014/main" id="{10AEF97A-7230-A2DC-C3A9-A98547EA9A4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21" name="Shape 46">
            <a:extLst>
              <a:ext uri="{FF2B5EF4-FFF2-40B4-BE49-F238E27FC236}">
                <a16:creationId xmlns:a16="http://schemas.microsoft.com/office/drawing/2014/main" id="{E1D96A23-2933-5B91-526B-9A58ECFF400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169</xdr:row>
      <xdr:rowOff>3409</xdr:rowOff>
    </xdr:from>
    <xdr:ext cx="33655" cy="33655"/>
    <xdr:grpSp>
      <xdr:nvGrpSpPr>
        <xdr:cNvPr id="2822" name="Group 47">
          <a:extLst>
            <a:ext uri="{FF2B5EF4-FFF2-40B4-BE49-F238E27FC236}">
              <a16:creationId xmlns:a16="http://schemas.microsoft.com/office/drawing/2014/main" id="{9300DEF4-CA64-43DC-84BA-29D1CD46618D}"/>
            </a:ext>
          </a:extLst>
        </xdr:cNvPr>
        <xdr:cNvGrpSpPr/>
      </xdr:nvGrpSpPr>
      <xdr:grpSpPr>
        <a:xfrm>
          <a:off x="4603072" y="32344688"/>
          <a:ext cx="33655" cy="33655"/>
          <a:chOff x="0" y="0"/>
          <a:chExt cx="33655" cy="33655"/>
        </a:xfrm>
      </xdr:grpSpPr>
      <xdr:sp macro="" textlink="">
        <xdr:nvSpPr>
          <xdr:cNvPr id="2823" name="Shape 48">
            <a:extLst>
              <a:ext uri="{FF2B5EF4-FFF2-40B4-BE49-F238E27FC236}">
                <a16:creationId xmlns:a16="http://schemas.microsoft.com/office/drawing/2014/main" id="{DDF8F891-1ECD-3374-6077-C047C598850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24" name="Shape 49">
            <a:extLst>
              <a:ext uri="{FF2B5EF4-FFF2-40B4-BE49-F238E27FC236}">
                <a16:creationId xmlns:a16="http://schemas.microsoft.com/office/drawing/2014/main" id="{E4BECC97-B588-0166-FA5D-CE5D823F281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25" name="Shape 50">
            <a:extLst>
              <a:ext uri="{FF2B5EF4-FFF2-40B4-BE49-F238E27FC236}">
                <a16:creationId xmlns:a16="http://schemas.microsoft.com/office/drawing/2014/main" id="{A8662D38-03D0-B619-7E48-29E7EC2989C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26" name="Shape 51">
            <a:extLst>
              <a:ext uri="{FF2B5EF4-FFF2-40B4-BE49-F238E27FC236}">
                <a16:creationId xmlns:a16="http://schemas.microsoft.com/office/drawing/2014/main" id="{AA94F20F-9144-24CF-7A14-EC3B7646324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27" name="Shape 52">
            <a:extLst>
              <a:ext uri="{FF2B5EF4-FFF2-40B4-BE49-F238E27FC236}">
                <a16:creationId xmlns:a16="http://schemas.microsoft.com/office/drawing/2014/main" id="{A14DDB30-D8BE-133A-D19A-39BC8DA73A3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28" name="Shape 53">
            <a:extLst>
              <a:ext uri="{FF2B5EF4-FFF2-40B4-BE49-F238E27FC236}">
                <a16:creationId xmlns:a16="http://schemas.microsoft.com/office/drawing/2014/main" id="{EE3BE5B1-D2F8-9CDB-7FDC-E90F6268D66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29" name="Shape 54">
            <a:extLst>
              <a:ext uri="{FF2B5EF4-FFF2-40B4-BE49-F238E27FC236}">
                <a16:creationId xmlns:a16="http://schemas.microsoft.com/office/drawing/2014/main" id="{B483BA5D-B887-9E11-EBC7-8314C487E8F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30" name="Shape 55">
            <a:extLst>
              <a:ext uri="{FF2B5EF4-FFF2-40B4-BE49-F238E27FC236}">
                <a16:creationId xmlns:a16="http://schemas.microsoft.com/office/drawing/2014/main" id="{04BEB192-D874-C69D-28CE-838BDDE9EDF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31" name="Shape 56">
            <a:extLst>
              <a:ext uri="{FF2B5EF4-FFF2-40B4-BE49-F238E27FC236}">
                <a16:creationId xmlns:a16="http://schemas.microsoft.com/office/drawing/2014/main" id="{848A1E64-2893-FDF5-49CB-F086E755910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32" name="Shape 57">
            <a:extLst>
              <a:ext uri="{FF2B5EF4-FFF2-40B4-BE49-F238E27FC236}">
                <a16:creationId xmlns:a16="http://schemas.microsoft.com/office/drawing/2014/main" id="{4635522C-C7FD-7BC5-D3A1-FBD9BEB68CD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33" name="Shape 58">
            <a:extLst>
              <a:ext uri="{FF2B5EF4-FFF2-40B4-BE49-F238E27FC236}">
                <a16:creationId xmlns:a16="http://schemas.microsoft.com/office/drawing/2014/main" id="{F397C748-7588-936A-F281-8C6C07679CB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34" name="Shape 59">
            <a:extLst>
              <a:ext uri="{FF2B5EF4-FFF2-40B4-BE49-F238E27FC236}">
                <a16:creationId xmlns:a16="http://schemas.microsoft.com/office/drawing/2014/main" id="{CF6EA39F-BC79-0168-4AAD-E6BC398F85E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35" name="Shape 60">
            <a:extLst>
              <a:ext uri="{FF2B5EF4-FFF2-40B4-BE49-F238E27FC236}">
                <a16:creationId xmlns:a16="http://schemas.microsoft.com/office/drawing/2014/main" id="{AE605CD8-9D5E-A169-CE2C-0373805647E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36" name="Shape 61">
            <a:extLst>
              <a:ext uri="{FF2B5EF4-FFF2-40B4-BE49-F238E27FC236}">
                <a16:creationId xmlns:a16="http://schemas.microsoft.com/office/drawing/2014/main" id="{1979606D-12C1-851C-4191-2EA17DFB96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168</xdr:row>
      <xdr:rowOff>160844</xdr:rowOff>
    </xdr:from>
    <xdr:ext cx="33655" cy="33655"/>
    <xdr:grpSp>
      <xdr:nvGrpSpPr>
        <xdr:cNvPr id="2837" name="Group 62">
          <a:extLst>
            <a:ext uri="{FF2B5EF4-FFF2-40B4-BE49-F238E27FC236}">
              <a16:creationId xmlns:a16="http://schemas.microsoft.com/office/drawing/2014/main" id="{3BA7BEE7-E034-4560-A8C1-97214991EEAE}"/>
            </a:ext>
          </a:extLst>
        </xdr:cNvPr>
        <xdr:cNvGrpSpPr/>
      </xdr:nvGrpSpPr>
      <xdr:grpSpPr>
        <a:xfrm>
          <a:off x="4603072" y="32333483"/>
          <a:ext cx="33655" cy="33655"/>
          <a:chOff x="0" y="0"/>
          <a:chExt cx="33655" cy="33655"/>
        </a:xfrm>
      </xdr:grpSpPr>
      <xdr:sp macro="" textlink="">
        <xdr:nvSpPr>
          <xdr:cNvPr id="2838" name="Shape 63">
            <a:extLst>
              <a:ext uri="{FF2B5EF4-FFF2-40B4-BE49-F238E27FC236}">
                <a16:creationId xmlns:a16="http://schemas.microsoft.com/office/drawing/2014/main" id="{74FCFFEB-30D2-072C-79DD-363C2EF8B38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39" name="Shape 64">
            <a:extLst>
              <a:ext uri="{FF2B5EF4-FFF2-40B4-BE49-F238E27FC236}">
                <a16:creationId xmlns:a16="http://schemas.microsoft.com/office/drawing/2014/main" id="{64ADC755-2B71-857C-D610-FD387BD0A49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840" name="Shape 65">
            <a:extLst>
              <a:ext uri="{FF2B5EF4-FFF2-40B4-BE49-F238E27FC236}">
                <a16:creationId xmlns:a16="http://schemas.microsoft.com/office/drawing/2014/main" id="{D42775EA-5F67-D80F-C6E0-A5CA56834D1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41" name="Shape 66">
            <a:extLst>
              <a:ext uri="{FF2B5EF4-FFF2-40B4-BE49-F238E27FC236}">
                <a16:creationId xmlns:a16="http://schemas.microsoft.com/office/drawing/2014/main" id="{74E1B5DA-33F0-311D-1868-B08A18F061D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842" name="Shape 67">
            <a:extLst>
              <a:ext uri="{FF2B5EF4-FFF2-40B4-BE49-F238E27FC236}">
                <a16:creationId xmlns:a16="http://schemas.microsoft.com/office/drawing/2014/main" id="{A7DB77E0-22B7-FE85-D106-DCAA1C9AD2B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43" name="Shape 68">
            <a:extLst>
              <a:ext uri="{FF2B5EF4-FFF2-40B4-BE49-F238E27FC236}">
                <a16:creationId xmlns:a16="http://schemas.microsoft.com/office/drawing/2014/main" id="{5637C24D-A537-B2B2-0DBF-FEB8D4C889F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844" name="Shape 69">
            <a:extLst>
              <a:ext uri="{FF2B5EF4-FFF2-40B4-BE49-F238E27FC236}">
                <a16:creationId xmlns:a16="http://schemas.microsoft.com/office/drawing/2014/main" id="{30D2B467-A78F-0DF5-B2A8-56D64DC9F9F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45" name="Shape 70">
            <a:extLst>
              <a:ext uri="{FF2B5EF4-FFF2-40B4-BE49-F238E27FC236}">
                <a16:creationId xmlns:a16="http://schemas.microsoft.com/office/drawing/2014/main" id="{DE8526B4-98C4-04B2-5ACF-BCBD39627DA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846" name="Shape 71">
            <a:extLst>
              <a:ext uri="{FF2B5EF4-FFF2-40B4-BE49-F238E27FC236}">
                <a16:creationId xmlns:a16="http://schemas.microsoft.com/office/drawing/2014/main" id="{18DE48AE-A2A6-F2A2-AB7A-418F9B7D1A4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47" name="Shape 72">
            <a:extLst>
              <a:ext uri="{FF2B5EF4-FFF2-40B4-BE49-F238E27FC236}">
                <a16:creationId xmlns:a16="http://schemas.microsoft.com/office/drawing/2014/main" id="{FF6FD3FF-95CD-2E5D-ED08-30D04B96038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848" name="Shape 73">
            <a:extLst>
              <a:ext uri="{FF2B5EF4-FFF2-40B4-BE49-F238E27FC236}">
                <a16:creationId xmlns:a16="http://schemas.microsoft.com/office/drawing/2014/main" id="{32D218FE-97EC-3F0E-0383-F8C5F3381AC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49" name="Shape 74">
            <a:extLst>
              <a:ext uri="{FF2B5EF4-FFF2-40B4-BE49-F238E27FC236}">
                <a16:creationId xmlns:a16="http://schemas.microsoft.com/office/drawing/2014/main" id="{6CDB03E9-9032-B347-AC4E-293173473D8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850" name="Shape 75">
            <a:extLst>
              <a:ext uri="{FF2B5EF4-FFF2-40B4-BE49-F238E27FC236}">
                <a16:creationId xmlns:a16="http://schemas.microsoft.com/office/drawing/2014/main" id="{E3F07B3E-4549-960A-76E0-C0145038605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851" name="Shape 76">
            <a:extLst>
              <a:ext uri="{FF2B5EF4-FFF2-40B4-BE49-F238E27FC236}">
                <a16:creationId xmlns:a16="http://schemas.microsoft.com/office/drawing/2014/main" id="{FFF2F254-CBBB-61AD-4717-38AEDFFEAF9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180</xdr:row>
      <xdr:rowOff>2978</xdr:rowOff>
    </xdr:from>
    <xdr:ext cx="33655" cy="33655"/>
    <xdr:grpSp>
      <xdr:nvGrpSpPr>
        <xdr:cNvPr id="2852" name="Group 2">
          <a:extLst>
            <a:ext uri="{FF2B5EF4-FFF2-40B4-BE49-F238E27FC236}">
              <a16:creationId xmlns:a16="http://schemas.microsoft.com/office/drawing/2014/main" id="{AD77EEAC-DCC7-4C2A-9FF1-F4FA6AFFEB1A}"/>
            </a:ext>
          </a:extLst>
        </xdr:cNvPr>
        <xdr:cNvGrpSpPr/>
      </xdr:nvGrpSpPr>
      <xdr:grpSpPr>
        <a:xfrm>
          <a:off x="4603072" y="34505339"/>
          <a:ext cx="33655" cy="33655"/>
          <a:chOff x="0" y="0"/>
          <a:chExt cx="33655" cy="33655"/>
        </a:xfrm>
      </xdr:grpSpPr>
      <xdr:sp macro="" textlink="">
        <xdr:nvSpPr>
          <xdr:cNvPr id="2853" name="Shape 3">
            <a:extLst>
              <a:ext uri="{FF2B5EF4-FFF2-40B4-BE49-F238E27FC236}">
                <a16:creationId xmlns:a16="http://schemas.microsoft.com/office/drawing/2014/main" id="{00368A0F-0B9F-C420-AE5C-0DC5C15B8BE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54" name="Shape 4">
            <a:extLst>
              <a:ext uri="{FF2B5EF4-FFF2-40B4-BE49-F238E27FC236}">
                <a16:creationId xmlns:a16="http://schemas.microsoft.com/office/drawing/2014/main" id="{2AF658E4-8278-6EBB-B475-C4F07E50D62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55" name="Shape 5">
            <a:extLst>
              <a:ext uri="{FF2B5EF4-FFF2-40B4-BE49-F238E27FC236}">
                <a16:creationId xmlns:a16="http://schemas.microsoft.com/office/drawing/2014/main" id="{599043EB-F0B6-2029-105A-AE37890D90F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56" name="Shape 6">
            <a:extLst>
              <a:ext uri="{FF2B5EF4-FFF2-40B4-BE49-F238E27FC236}">
                <a16:creationId xmlns:a16="http://schemas.microsoft.com/office/drawing/2014/main" id="{280E3EF5-736C-3676-6B06-40AA40ADF91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57" name="Shape 7">
            <a:extLst>
              <a:ext uri="{FF2B5EF4-FFF2-40B4-BE49-F238E27FC236}">
                <a16:creationId xmlns:a16="http://schemas.microsoft.com/office/drawing/2014/main" id="{577639BD-8437-8485-9676-9B5D3FD249F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58" name="Shape 8">
            <a:extLst>
              <a:ext uri="{FF2B5EF4-FFF2-40B4-BE49-F238E27FC236}">
                <a16:creationId xmlns:a16="http://schemas.microsoft.com/office/drawing/2014/main" id="{A7EC678D-D54B-230F-5BEF-E1FC03EED49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59" name="Shape 9">
            <a:extLst>
              <a:ext uri="{FF2B5EF4-FFF2-40B4-BE49-F238E27FC236}">
                <a16:creationId xmlns:a16="http://schemas.microsoft.com/office/drawing/2014/main" id="{791091A5-17B0-FF57-54A5-53B037499A6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60" name="Shape 10">
            <a:extLst>
              <a:ext uri="{FF2B5EF4-FFF2-40B4-BE49-F238E27FC236}">
                <a16:creationId xmlns:a16="http://schemas.microsoft.com/office/drawing/2014/main" id="{ED70C6A4-062F-0EC0-E6AB-5FD1B266825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61" name="Shape 11">
            <a:extLst>
              <a:ext uri="{FF2B5EF4-FFF2-40B4-BE49-F238E27FC236}">
                <a16:creationId xmlns:a16="http://schemas.microsoft.com/office/drawing/2014/main" id="{53287439-A6B5-46CD-4387-CB3D5E87B71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62" name="Shape 12">
            <a:extLst>
              <a:ext uri="{FF2B5EF4-FFF2-40B4-BE49-F238E27FC236}">
                <a16:creationId xmlns:a16="http://schemas.microsoft.com/office/drawing/2014/main" id="{32195050-3477-C5B0-227B-3BD2ED5A51D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63" name="Shape 13">
            <a:extLst>
              <a:ext uri="{FF2B5EF4-FFF2-40B4-BE49-F238E27FC236}">
                <a16:creationId xmlns:a16="http://schemas.microsoft.com/office/drawing/2014/main" id="{9240C143-68F4-35F4-8C4C-1A17EE8EBA0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64" name="Shape 14">
            <a:extLst>
              <a:ext uri="{FF2B5EF4-FFF2-40B4-BE49-F238E27FC236}">
                <a16:creationId xmlns:a16="http://schemas.microsoft.com/office/drawing/2014/main" id="{0EAB2979-CFC8-D1DA-FDF5-C23CE895484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65" name="Shape 15">
            <a:extLst>
              <a:ext uri="{FF2B5EF4-FFF2-40B4-BE49-F238E27FC236}">
                <a16:creationId xmlns:a16="http://schemas.microsoft.com/office/drawing/2014/main" id="{9D6713B4-0B46-8ED2-9E5B-1E194D8DC18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66" name="Shape 16">
            <a:extLst>
              <a:ext uri="{FF2B5EF4-FFF2-40B4-BE49-F238E27FC236}">
                <a16:creationId xmlns:a16="http://schemas.microsoft.com/office/drawing/2014/main" id="{FFDCD0C8-838D-3208-DCC2-D933D7D2DA0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180</xdr:row>
      <xdr:rowOff>3246</xdr:rowOff>
    </xdr:from>
    <xdr:ext cx="33655" cy="33655"/>
    <xdr:grpSp>
      <xdr:nvGrpSpPr>
        <xdr:cNvPr id="2867" name="Group 17">
          <a:extLst>
            <a:ext uri="{FF2B5EF4-FFF2-40B4-BE49-F238E27FC236}">
              <a16:creationId xmlns:a16="http://schemas.microsoft.com/office/drawing/2014/main" id="{318893E5-F996-47E0-A45F-F67DBAC42835}"/>
            </a:ext>
          </a:extLst>
        </xdr:cNvPr>
        <xdr:cNvGrpSpPr/>
      </xdr:nvGrpSpPr>
      <xdr:grpSpPr>
        <a:xfrm>
          <a:off x="4603072" y="34505607"/>
          <a:ext cx="33655" cy="33655"/>
          <a:chOff x="0" y="0"/>
          <a:chExt cx="33655" cy="33655"/>
        </a:xfrm>
      </xdr:grpSpPr>
      <xdr:sp macro="" textlink="">
        <xdr:nvSpPr>
          <xdr:cNvPr id="2868" name="Shape 18">
            <a:extLst>
              <a:ext uri="{FF2B5EF4-FFF2-40B4-BE49-F238E27FC236}">
                <a16:creationId xmlns:a16="http://schemas.microsoft.com/office/drawing/2014/main" id="{E91DD051-8551-7FB7-6B82-29B8A4E38CB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69" name="Shape 19">
            <a:extLst>
              <a:ext uri="{FF2B5EF4-FFF2-40B4-BE49-F238E27FC236}">
                <a16:creationId xmlns:a16="http://schemas.microsoft.com/office/drawing/2014/main" id="{A42E1F5F-C9A4-B0CB-6312-91B1C9ABDDD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70" name="Shape 20">
            <a:extLst>
              <a:ext uri="{FF2B5EF4-FFF2-40B4-BE49-F238E27FC236}">
                <a16:creationId xmlns:a16="http://schemas.microsoft.com/office/drawing/2014/main" id="{6434D6E0-1E15-273D-126E-6A219D551F0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71" name="Shape 21">
            <a:extLst>
              <a:ext uri="{FF2B5EF4-FFF2-40B4-BE49-F238E27FC236}">
                <a16:creationId xmlns:a16="http://schemas.microsoft.com/office/drawing/2014/main" id="{9BD70B98-A2A7-EBBE-2E34-70255D13EEA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72" name="Shape 22">
            <a:extLst>
              <a:ext uri="{FF2B5EF4-FFF2-40B4-BE49-F238E27FC236}">
                <a16:creationId xmlns:a16="http://schemas.microsoft.com/office/drawing/2014/main" id="{2BB30945-3328-E9F5-B6AC-06B1BD2D302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73" name="Shape 23">
            <a:extLst>
              <a:ext uri="{FF2B5EF4-FFF2-40B4-BE49-F238E27FC236}">
                <a16:creationId xmlns:a16="http://schemas.microsoft.com/office/drawing/2014/main" id="{1DF1BC94-EF60-93D6-BAB8-C30CA58E2C7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74" name="Shape 24">
            <a:extLst>
              <a:ext uri="{FF2B5EF4-FFF2-40B4-BE49-F238E27FC236}">
                <a16:creationId xmlns:a16="http://schemas.microsoft.com/office/drawing/2014/main" id="{21FB5897-66DB-3C74-B08D-63DC8FD7923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75" name="Shape 25">
            <a:extLst>
              <a:ext uri="{FF2B5EF4-FFF2-40B4-BE49-F238E27FC236}">
                <a16:creationId xmlns:a16="http://schemas.microsoft.com/office/drawing/2014/main" id="{02816BE3-61A9-C2FE-23C3-E8A0EBF6EA7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76" name="Shape 26">
            <a:extLst>
              <a:ext uri="{FF2B5EF4-FFF2-40B4-BE49-F238E27FC236}">
                <a16:creationId xmlns:a16="http://schemas.microsoft.com/office/drawing/2014/main" id="{EE7CEE8D-1D71-8B7C-A217-B7E2716C76E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77" name="Shape 27">
            <a:extLst>
              <a:ext uri="{FF2B5EF4-FFF2-40B4-BE49-F238E27FC236}">
                <a16:creationId xmlns:a16="http://schemas.microsoft.com/office/drawing/2014/main" id="{E99128D9-1D44-1216-04F0-76512BC28B6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78" name="Shape 28">
            <a:extLst>
              <a:ext uri="{FF2B5EF4-FFF2-40B4-BE49-F238E27FC236}">
                <a16:creationId xmlns:a16="http://schemas.microsoft.com/office/drawing/2014/main" id="{A8D9794E-1185-11C2-8566-1062EB22A0B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79" name="Shape 29">
            <a:extLst>
              <a:ext uri="{FF2B5EF4-FFF2-40B4-BE49-F238E27FC236}">
                <a16:creationId xmlns:a16="http://schemas.microsoft.com/office/drawing/2014/main" id="{58235C2B-795E-3717-8CC8-F320FCD948C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80" name="Shape 30">
            <a:extLst>
              <a:ext uri="{FF2B5EF4-FFF2-40B4-BE49-F238E27FC236}">
                <a16:creationId xmlns:a16="http://schemas.microsoft.com/office/drawing/2014/main" id="{7FE53B29-AB79-1ECD-5848-97A0E0D63B7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81" name="Shape 31">
            <a:extLst>
              <a:ext uri="{FF2B5EF4-FFF2-40B4-BE49-F238E27FC236}">
                <a16:creationId xmlns:a16="http://schemas.microsoft.com/office/drawing/2014/main" id="{ECDD751F-B5D5-9C86-AA61-D9BC94CC537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179</xdr:row>
      <xdr:rowOff>160585</xdr:rowOff>
    </xdr:from>
    <xdr:ext cx="33655" cy="33655"/>
    <xdr:grpSp>
      <xdr:nvGrpSpPr>
        <xdr:cNvPr id="2882" name="Group 32">
          <a:extLst>
            <a:ext uri="{FF2B5EF4-FFF2-40B4-BE49-F238E27FC236}">
              <a16:creationId xmlns:a16="http://schemas.microsoft.com/office/drawing/2014/main" id="{A2FEFB7F-50F7-4B02-B2F5-F811A5B7AC24}"/>
            </a:ext>
          </a:extLst>
        </xdr:cNvPr>
        <xdr:cNvGrpSpPr/>
      </xdr:nvGrpSpPr>
      <xdr:grpSpPr>
        <a:xfrm>
          <a:off x="4603072" y="34494306"/>
          <a:ext cx="33655" cy="33655"/>
          <a:chOff x="0" y="0"/>
          <a:chExt cx="33655" cy="33655"/>
        </a:xfrm>
      </xdr:grpSpPr>
      <xdr:sp macro="" textlink="">
        <xdr:nvSpPr>
          <xdr:cNvPr id="2883" name="Shape 33">
            <a:extLst>
              <a:ext uri="{FF2B5EF4-FFF2-40B4-BE49-F238E27FC236}">
                <a16:creationId xmlns:a16="http://schemas.microsoft.com/office/drawing/2014/main" id="{B2EDCA24-D970-13C0-B4D6-F3EBD434A02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84" name="Shape 34">
            <a:extLst>
              <a:ext uri="{FF2B5EF4-FFF2-40B4-BE49-F238E27FC236}">
                <a16:creationId xmlns:a16="http://schemas.microsoft.com/office/drawing/2014/main" id="{EDEEE164-DA4E-FECC-F9DF-3B23A5C063B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85" name="Shape 35">
            <a:extLst>
              <a:ext uri="{FF2B5EF4-FFF2-40B4-BE49-F238E27FC236}">
                <a16:creationId xmlns:a16="http://schemas.microsoft.com/office/drawing/2014/main" id="{00A31E10-C5DC-8298-1C8D-AD8D39754C7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86" name="Shape 36">
            <a:extLst>
              <a:ext uri="{FF2B5EF4-FFF2-40B4-BE49-F238E27FC236}">
                <a16:creationId xmlns:a16="http://schemas.microsoft.com/office/drawing/2014/main" id="{E8F7C49F-D051-4AF5-8C3E-EC5DCD68151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87" name="Shape 37">
            <a:extLst>
              <a:ext uri="{FF2B5EF4-FFF2-40B4-BE49-F238E27FC236}">
                <a16:creationId xmlns:a16="http://schemas.microsoft.com/office/drawing/2014/main" id="{D3C5637C-34E9-556B-74F4-AC92CD7949C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88" name="Shape 38">
            <a:extLst>
              <a:ext uri="{FF2B5EF4-FFF2-40B4-BE49-F238E27FC236}">
                <a16:creationId xmlns:a16="http://schemas.microsoft.com/office/drawing/2014/main" id="{A8E03A03-32A6-A258-97C0-695DBCE933B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89" name="Shape 39">
            <a:extLst>
              <a:ext uri="{FF2B5EF4-FFF2-40B4-BE49-F238E27FC236}">
                <a16:creationId xmlns:a16="http://schemas.microsoft.com/office/drawing/2014/main" id="{77E63C83-47DF-9878-C135-9813A592F17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90" name="Shape 40">
            <a:extLst>
              <a:ext uri="{FF2B5EF4-FFF2-40B4-BE49-F238E27FC236}">
                <a16:creationId xmlns:a16="http://schemas.microsoft.com/office/drawing/2014/main" id="{6A0ECFB5-B911-1D8B-DF4A-6628A9F082A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91" name="Shape 41">
            <a:extLst>
              <a:ext uri="{FF2B5EF4-FFF2-40B4-BE49-F238E27FC236}">
                <a16:creationId xmlns:a16="http://schemas.microsoft.com/office/drawing/2014/main" id="{A72F7858-EA3D-8902-930D-39928BB411B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92" name="Shape 42">
            <a:extLst>
              <a:ext uri="{FF2B5EF4-FFF2-40B4-BE49-F238E27FC236}">
                <a16:creationId xmlns:a16="http://schemas.microsoft.com/office/drawing/2014/main" id="{CE703F0B-D386-7831-998C-9291A7ED56A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93" name="Shape 43">
            <a:extLst>
              <a:ext uri="{FF2B5EF4-FFF2-40B4-BE49-F238E27FC236}">
                <a16:creationId xmlns:a16="http://schemas.microsoft.com/office/drawing/2014/main" id="{8877A6A8-DA95-0AA3-6D4F-00F2C394CA9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94" name="Shape 44">
            <a:extLst>
              <a:ext uri="{FF2B5EF4-FFF2-40B4-BE49-F238E27FC236}">
                <a16:creationId xmlns:a16="http://schemas.microsoft.com/office/drawing/2014/main" id="{825B71FB-CAFA-938D-3C58-0E4C156E83A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95" name="Shape 45">
            <a:extLst>
              <a:ext uri="{FF2B5EF4-FFF2-40B4-BE49-F238E27FC236}">
                <a16:creationId xmlns:a16="http://schemas.microsoft.com/office/drawing/2014/main" id="{30DBCFA3-F432-4DA5-D3E6-350ED3DFF94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896" name="Shape 46">
            <a:extLst>
              <a:ext uri="{FF2B5EF4-FFF2-40B4-BE49-F238E27FC236}">
                <a16:creationId xmlns:a16="http://schemas.microsoft.com/office/drawing/2014/main" id="{8F6B8AE5-FE42-85AF-4272-C7689C3B445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180</xdr:row>
      <xdr:rowOff>3409</xdr:rowOff>
    </xdr:from>
    <xdr:ext cx="33655" cy="33655"/>
    <xdr:grpSp>
      <xdr:nvGrpSpPr>
        <xdr:cNvPr id="2897" name="Group 47">
          <a:extLst>
            <a:ext uri="{FF2B5EF4-FFF2-40B4-BE49-F238E27FC236}">
              <a16:creationId xmlns:a16="http://schemas.microsoft.com/office/drawing/2014/main" id="{2D867F99-7BC0-47F9-90BF-A35850B29806}"/>
            </a:ext>
          </a:extLst>
        </xdr:cNvPr>
        <xdr:cNvGrpSpPr/>
      </xdr:nvGrpSpPr>
      <xdr:grpSpPr>
        <a:xfrm>
          <a:off x="4603072" y="34505770"/>
          <a:ext cx="33655" cy="33655"/>
          <a:chOff x="0" y="0"/>
          <a:chExt cx="33655" cy="33655"/>
        </a:xfrm>
      </xdr:grpSpPr>
      <xdr:sp macro="" textlink="">
        <xdr:nvSpPr>
          <xdr:cNvPr id="2898" name="Shape 48">
            <a:extLst>
              <a:ext uri="{FF2B5EF4-FFF2-40B4-BE49-F238E27FC236}">
                <a16:creationId xmlns:a16="http://schemas.microsoft.com/office/drawing/2014/main" id="{08C01A4C-573B-2406-9C33-B253F070B55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899" name="Shape 49">
            <a:extLst>
              <a:ext uri="{FF2B5EF4-FFF2-40B4-BE49-F238E27FC236}">
                <a16:creationId xmlns:a16="http://schemas.microsoft.com/office/drawing/2014/main" id="{1EC71165-B017-3584-ED5F-995E30D6B91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00" name="Shape 50">
            <a:extLst>
              <a:ext uri="{FF2B5EF4-FFF2-40B4-BE49-F238E27FC236}">
                <a16:creationId xmlns:a16="http://schemas.microsoft.com/office/drawing/2014/main" id="{A2873740-5584-F579-8CF1-1DA16DCD7DC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01" name="Shape 51">
            <a:extLst>
              <a:ext uri="{FF2B5EF4-FFF2-40B4-BE49-F238E27FC236}">
                <a16:creationId xmlns:a16="http://schemas.microsoft.com/office/drawing/2014/main" id="{3D52716F-CDAF-B2EF-90D2-17C682F38B4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02" name="Shape 52">
            <a:extLst>
              <a:ext uri="{FF2B5EF4-FFF2-40B4-BE49-F238E27FC236}">
                <a16:creationId xmlns:a16="http://schemas.microsoft.com/office/drawing/2014/main" id="{00E0C46D-871B-CEAF-87D2-70B3D14BF5D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03" name="Shape 53">
            <a:extLst>
              <a:ext uri="{FF2B5EF4-FFF2-40B4-BE49-F238E27FC236}">
                <a16:creationId xmlns:a16="http://schemas.microsoft.com/office/drawing/2014/main" id="{144ABDEC-93E2-06FB-ADFF-EC9B1121FC6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04" name="Shape 54">
            <a:extLst>
              <a:ext uri="{FF2B5EF4-FFF2-40B4-BE49-F238E27FC236}">
                <a16:creationId xmlns:a16="http://schemas.microsoft.com/office/drawing/2014/main" id="{EF4E0729-D694-25DC-ACD0-7EDD4CE68D6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05" name="Shape 55">
            <a:extLst>
              <a:ext uri="{FF2B5EF4-FFF2-40B4-BE49-F238E27FC236}">
                <a16:creationId xmlns:a16="http://schemas.microsoft.com/office/drawing/2014/main" id="{EB25CE0C-14BA-0020-6C35-E0B4C3211AB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06" name="Shape 56">
            <a:extLst>
              <a:ext uri="{FF2B5EF4-FFF2-40B4-BE49-F238E27FC236}">
                <a16:creationId xmlns:a16="http://schemas.microsoft.com/office/drawing/2014/main" id="{B67BAE6D-043E-E0F3-8FBF-C7113524CC2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07" name="Shape 57">
            <a:extLst>
              <a:ext uri="{FF2B5EF4-FFF2-40B4-BE49-F238E27FC236}">
                <a16:creationId xmlns:a16="http://schemas.microsoft.com/office/drawing/2014/main" id="{891C4B13-3F65-6677-37C1-89356A5BD7D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08" name="Shape 58">
            <a:extLst>
              <a:ext uri="{FF2B5EF4-FFF2-40B4-BE49-F238E27FC236}">
                <a16:creationId xmlns:a16="http://schemas.microsoft.com/office/drawing/2014/main" id="{6E2D4CC7-2292-C622-6361-F2CF60C83D8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09" name="Shape 59">
            <a:extLst>
              <a:ext uri="{FF2B5EF4-FFF2-40B4-BE49-F238E27FC236}">
                <a16:creationId xmlns:a16="http://schemas.microsoft.com/office/drawing/2014/main" id="{A79AE1F9-56DF-1FF6-85C8-D90750748EB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10" name="Shape 60">
            <a:extLst>
              <a:ext uri="{FF2B5EF4-FFF2-40B4-BE49-F238E27FC236}">
                <a16:creationId xmlns:a16="http://schemas.microsoft.com/office/drawing/2014/main" id="{0FA85C22-FD0A-0B99-919F-A583F2AFC47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11" name="Shape 61">
            <a:extLst>
              <a:ext uri="{FF2B5EF4-FFF2-40B4-BE49-F238E27FC236}">
                <a16:creationId xmlns:a16="http://schemas.microsoft.com/office/drawing/2014/main" id="{8C856F11-C6E1-1815-69A9-32F356CF8B9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179</xdr:row>
      <xdr:rowOff>160844</xdr:rowOff>
    </xdr:from>
    <xdr:ext cx="33655" cy="33655"/>
    <xdr:grpSp>
      <xdr:nvGrpSpPr>
        <xdr:cNvPr id="2912" name="Group 62">
          <a:extLst>
            <a:ext uri="{FF2B5EF4-FFF2-40B4-BE49-F238E27FC236}">
              <a16:creationId xmlns:a16="http://schemas.microsoft.com/office/drawing/2014/main" id="{68E9955C-2DB1-493E-8FB0-2600A985CB89}"/>
            </a:ext>
          </a:extLst>
        </xdr:cNvPr>
        <xdr:cNvGrpSpPr/>
      </xdr:nvGrpSpPr>
      <xdr:grpSpPr>
        <a:xfrm>
          <a:off x="4603072" y="34494565"/>
          <a:ext cx="33655" cy="33655"/>
          <a:chOff x="0" y="0"/>
          <a:chExt cx="33655" cy="33655"/>
        </a:xfrm>
      </xdr:grpSpPr>
      <xdr:sp macro="" textlink="">
        <xdr:nvSpPr>
          <xdr:cNvPr id="2913" name="Shape 63">
            <a:extLst>
              <a:ext uri="{FF2B5EF4-FFF2-40B4-BE49-F238E27FC236}">
                <a16:creationId xmlns:a16="http://schemas.microsoft.com/office/drawing/2014/main" id="{CC5C488D-A227-6191-6571-6104668296B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14" name="Shape 64">
            <a:extLst>
              <a:ext uri="{FF2B5EF4-FFF2-40B4-BE49-F238E27FC236}">
                <a16:creationId xmlns:a16="http://schemas.microsoft.com/office/drawing/2014/main" id="{5FD59D42-A95B-CE5B-59AF-405AEAD6F0C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15" name="Shape 65">
            <a:extLst>
              <a:ext uri="{FF2B5EF4-FFF2-40B4-BE49-F238E27FC236}">
                <a16:creationId xmlns:a16="http://schemas.microsoft.com/office/drawing/2014/main" id="{0EB27F47-3FA6-F27F-0FC1-0D2F72C0289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16" name="Shape 66">
            <a:extLst>
              <a:ext uri="{FF2B5EF4-FFF2-40B4-BE49-F238E27FC236}">
                <a16:creationId xmlns:a16="http://schemas.microsoft.com/office/drawing/2014/main" id="{AAF42E4B-1DA6-48E1-7CCE-DB28B6D3EEF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17" name="Shape 67">
            <a:extLst>
              <a:ext uri="{FF2B5EF4-FFF2-40B4-BE49-F238E27FC236}">
                <a16:creationId xmlns:a16="http://schemas.microsoft.com/office/drawing/2014/main" id="{4EB193F2-1CD7-ED90-D75C-E7862003211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18" name="Shape 68">
            <a:extLst>
              <a:ext uri="{FF2B5EF4-FFF2-40B4-BE49-F238E27FC236}">
                <a16:creationId xmlns:a16="http://schemas.microsoft.com/office/drawing/2014/main" id="{8DEF90C7-000E-3A2F-5866-B925934FFBD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19" name="Shape 69">
            <a:extLst>
              <a:ext uri="{FF2B5EF4-FFF2-40B4-BE49-F238E27FC236}">
                <a16:creationId xmlns:a16="http://schemas.microsoft.com/office/drawing/2014/main" id="{D7F19103-F1A4-1CA9-63C3-A872D4A3F60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20" name="Shape 70">
            <a:extLst>
              <a:ext uri="{FF2B5EF4-FFF2-40B4-BE49-F238E27FC236}">
                <a16:creationId xmlns:a16="http://schemas.microsoft.com/office/drawing/2014/main" id="{E8AECD5C-814E-777C-B168-E3B25C84588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21" name="Shape 71">
            <a:extLst>
              <a:ext uri="{FF2B5EF4-FFF2-40B4-BE49-F238E27FC236}">
                <a16:creationId xmlns:a16="http://schemas.microsoft.com/office/drawing/2014/main" id="{D5E7A705-D4E1-9D0A-205D-94F962E5637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22" name="Shape 72">
            <a:extLst>
              <a:ext uri="{FF2B5EF4-FFF2-40B4-BE49-F238E27FC236}">
                <a16:creationId xmlns:a16="http://schemas.microsoft.com/office/drawing/2014/main" id="{482EFB90-7FED-2158-BFAB-438F556EE13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23" name="Shape 73">
            <a:extLst>
              <a:ext uri="{FF2B5EF4-FFF2-40B4-BE49-F238E27FC236}">
                <a16:creationId xmlns:a16="http://schemas.microsoft.com/office/drawing/2014/main" id="{C8F64B6B-5360-9D12-4791-D4F9967FE61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24" name="Shape 74">
            <a:extLst>
              <a:ext uri="{FF2B5EF4-FFF2-40B4-BE49-F238E27FC236}">
                <a16:creationId xmlns:a16="http://schemas.microsoft.com/office/drawing/2014/main" id="{8AD0B647-D906-71D5-C414-7037127C20D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25" name="Shape 75">
            <a:extLst>
              <a:ext uri="{FF2B5EF4-FFF2-40B4-BE49-F238E27FC236}">
                <a16:creationId xmlns:a16="http://schemas.microsoft.com/office/drawing/2014/main" id="{E0A811C8-30A6-BB91-4F66-D74FD40D98E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26" name="Shape 76">
            <a:extLst>
              <a:ext uri="{FF2B5EF4-FFF2-40B4-BE49-F238E27FC236}">
                <a16:creationId xmlns:a16="http://schemas.microsoft.com/office/drawing/2014/main" id="{8D7DC3D9-2803-CF9B-BEB5-CDE32F3E7EC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191</xdr:row>
      <xdr:rowOff>2978</xdr:rowOff>
    </xdr:from>
    <xdr:ext cx="33655" cy="33655"/>
    <xdr:grpSp>
      <xdr:nvGrpSpPr>
        <xdr:cNvPr id="2927" name="Group 2">
          <a:extLst>
            <a:ext uri="{FF2B5EF4-FFF2-40B4-BE49-F238E27FC236}">
              <a16:creationId xmlns:a16="http://schemas.microsoft.com/office/drawing/2014/main" id="{761D2F1C-3290-4CC5-8159-2B4E5C29B321}"/>
            </a:ext>
          </a:extLst>
        </xdr:cNvPr>
        <xdr:cNvGrpSpPr/>
      </xdr:nvGrpSpPr>
      <xdr:grpSpPr>
        <a:xfrm>
          <a:off x="4603072" y="36666421"/>
          <a:ext cx="33655" cy="33655"/>
          <a:chOff x="0" y="0"/>
          <a:chExt cx="33655" cy="33655"/>
        </a:xfrm>
      </xdr:grpSpPr>
      <xdr:sp macro="" textlink="">
        <xdr:nvSpPr>
          <xdr:cNvPr id="2928" name="Shape 3">
            <a:extLst>
              <a:ext uri="{FF2B5EF4-FFF2-40B4-BE49-F238E27FC236}">
                <a16:creationId xmlns:a16="http://schemas.microsoft.com/office/drawing/2014/main" id="{78BF6704-2CF9-8A6E-1C82-BA55939F58A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29" name="Shape 4">
            <a:extLst>
              <a:ext uri="{FF2B5EF4-FFF2-40B4-BE49-F238E27FC236}">
                <a16:creationId xmlns:a16="http://schemas.microsoft.com/office/drawing/2014/main" id="{5B9F0AE7-964C-3358-7472-715DA9E4856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30" name="Shape 5">
            <a:extLst>
              <a:ext uri="{FF2B5EF4-FFF2-40B4-BE49-F238E27FC236}">
                <a16:creationId xmlns:a16="http://schemas.microsoft.com/office/drawing/2014/main" id="{A4A377C9-3CFB-6146-BFC9-DF5701422C5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31" name="Shape 6">
            <a:extLst>
              <a:ext uri="{FF2B5EF4-FFF2-40B4-BE49-F238E27FC236}">
                <a16:creationId xmlns:a16="http://schemas.microsoft.com/office/drawing/2014/main" id="{B96A2DA9-D285-D1D2-FFF1-507B39D16E3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32" name="Shape 7">
            <a:extLst>
              <a:ext uri="{FF2B5EF4-FFF2-40B4-BE49-F238E27FC236}">
                <a16:creationId xmlns:a16="http://schemas.microsoft.com/office/drawing/2014/main" id="{52510451-2C81-626C-E8C5-CBE3733FE57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33" name="Shape 8">
            <a:extLst>
              <a:ext uri="{FF2B5EF4-FFF2-40B4-BE49-F238E27FC236}">
                <a16:creationId xmlns:a16="http://schemas.microsoft.com/office/drawing/2014/main" id="{9A457983-1246-7D88-901E-840188553F1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34" name="Shape 9">
            <a:extLst>
              <a:ext uri="{FF2B5EF4-FFF2-40B4-BE49-F238E27FC236}">
                <a16:creationId xmlns:a16="http://schemas.microsoft.com/office/drawing/2014/main" id="{D188C274-635D-95F4-2862-B562A823F15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35" name="Shape 10">
            <a:extLst>
              <a:ext uri="{FF2B5EF4-FFF2-40B4-BE49-F238E27FC236}">
                <a16:creationId xmlns:a16="http://schemas.microsoft.com/office/drawing/2014/main" id="{F477ED25-8A70-8E74-1627-EC8627674DB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36" name="Shape 11">
            <a:extLst>
              <a:ext uri="{FF2B5EF4-FFF2-40B4-BE49-F238E27FC236}">
                <a16:creationId xmlns:a16="http://schemas.microsoft.com/office/drawing/2014/main" id="{A20412D2-0529-20B1-6FBA-1E10CADF238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37" name="Shape 12">
            <a:extLst>
              <a:ext uri="{FF2B5EF4-FFF2-40B4-BE49-F238E27FC236}">
                <a16:creationId xmlns:a16="http://schemas.microsoft.com/office/drawing/2014/main" id="{C8E64E88-2DE0-F1E1-C06C-F8A45654875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38" name="Shape 13">
            <a:extLst>
              <a:ext uri="{FF2B5EF4-FFF2-40B4-BE49-F238E27FC236}">
                <a16:creationId xmlns:a16="http://schemas.microsoft.com/office/drawing/2014/main" id="{A2EBCBD7-1BAA-93F4-2A52-0F69B97ECE5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39" name="Shape 14">
            <a:extLst>
              <a:ext uri="{FF2B5EF4-FFF2-40B4-BE49-F238E27FC236}">
                <a16:creationId xmlns:a16="http://schemas.microsoft.com/office/drawing/2014/main" id="{127D7026-90EC-7B29-E38F-4437E946360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40" name="Shape 15">
            <a:extLst>
              <a:ext uri="{FF2B5EF4-FFF2-40B4-BE49-F238E27FC236}">
                <a16:creationId xmlns:a16="http://schemas.microsoft.com/office/drawing/2014/main" id="{B46BCD9E-7B98-503B-4B71-B739D4D82F9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41" name="Shape 16">
            <a:extLst>
              <a:ext uri="{FF2B5EF4-FFF2-40B4-BE49-F238E27FC236}">
                <a16:creationId xmlns:a16="http://schemas.microsoft.com/office/drawing/2014/main" id="{870E7338-9923-6384-3702-BD33D76DA54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191</xdr:row>
      <xdr:rowOff>3246</xdr:rowOff>
    </xdr:from>
    <xdr:ext cx="33655" cy="33655"/>
    <xdr:grpSp>
      <xdr:nvGrpSpPr>
        <xdr:cNvPr id="2942" name="Group 17">
          <a:extLst>
            <a:ext uri="{FF2B5EF4-FFF2-40B4-BE49-F238E27FC236}">
              <a16:creationId xmlns:a16="http://schemas.microsoft.com/office/drawing/2014/main" id="{A726AA70-A8C7-49CB-B8E9-054B571BA351}"/>
            </a:ext>
          </a:extLst>
        </xdr:cNvPr>
        <xdr:cNvGrpSpPr/>
      </xdr:nvGrpSpPr>
      <xdr:grpSpPr>
        <a:xfrm>
          <a:off x="4603072" y="36666689"/>
          <a:ext cx="33655" cy="33655"/>
          <a:chOff x="0" y="0"/>
          <a:chExt cx="33655" cy="33655"/>
        </a:xfrm>
      </xdr:grpSpPr>
      <xdr:sp macro="" textlink="">
        <xdr:nvSpPr>
          <xdr:cNvPr id="2943" name="Shape 18">
            <a:extLst>
              <a:ext uri="{FF2B5EF4-FFF2-40B4-BE49-F238E27FC236}">
                <a16:creationId xmlns:a16="http://schemas.microsoft.com/office/drawing/2014/main" id="{17BF78FA-46DC-4A10-A7A6-0FDD19DD946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44" name="Shape 19">
            <a:extLst>
              <a:ext uri="{FF2B5EF4-FFF2-40B4-BE49-F238E27FC236}">
                <a16:creationId xmlns:a16="http://schemas.microsoft.com/office/drawing/2014/main" id="{F1034CFD-62B5-17F0-E087-E326E9E88A8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45" name="Shape 20">
            <a:extLst>
              <a:ext uri="{FF2B5EF4-FFF2-40B4-BE49-F238E27FC236}">
                <a16:creationId xmlns:a16="http://schemas.microsoft.com/office/drawing/2014/main" id="{CA051599-4725-137D-97C3-DAB46E250E4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46" name="Shape 21">
            <a:extLst>
              <a:ext uri="{FF2B5EF4-FFF2-40B4-BE49-F238E27FC236}">
                <a16:creationId xmlns:a16="http://schemas.microsoft.com/office/drawing/2014/main" id="{E3D155FB-6B9C-3C00-DAD1-8BF4A897D66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47" name="Shape 22">
            <a:extLst>
              <a:ext uri="{FF2B5EF4-FFF2-40B4-BE49-F238E27FC236}">
                <a16:creationId xmlns:a16="http://schemas.microsoft.com/office/drawing/2014/main" id="{3275537A-B47A-64B5-1700-610E7A944D2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48" name="Shape 23">
            <a:extLst>
              <a:ext uri="{FF2B5EF4-FFF2-40B4-BE49-F238E27FC236}">
                <a16:creationId xmlns:a16="http://schemas.microsoft.com/office/drawing/2014/main" id="{0DCEEFAE-E07E-7B38-B8BD-043CDFFBF03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49" name="Shape 24">
            <a:extLst>
              <a:ext uri="{FF2B5EF4-FFF2-40B4-BE49-F238E27FC236}">
                <a16:creationId xmlns:a16="http://schemas.microsoft.com/office/drawing/2014/main" id="{C51E7C65-83BD-FB6B-7BD6-F014B07180F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50" name="Shape 25">
            <a:extLst>
              <a:ext uri="{FF2B5EF4-FFF2-40B4-BE49-F238E27FC236}">
                <a16:creationId xmlns:a16="http://schemas.microsoft.com/office/drawing/2014/main" id="{F5839EB3-4BCD-DF7C-7633-2E6F001BF5E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51" name="Shape 26">
            <a:extLst>
              <a:ext uri="{FF2B5EF4-FFF2-40B4-BE49-F238E27FC236}">
                <a16:creationId xmlns:a16="http://schemas.microsoft.com/office/drawing/2014/main" id="{A99B71BB-34A9-9B42-68EE-6AE43C888CB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52" name="Shape 27">
            <a:extLst>
              <a:ext uri="{FF2B5EF4-FFF2-40B4-BE49-F238E27FC236}">
                <a16:creationId xmlns:a16="http://schemas.microsoft.com/office/drawing/2014/main" id="{5A1B8880-873B-82EE-C739-9B6184AA9E0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53" name="Shape 28">
            <a:extLst>
              <a:ext uri="{FF2B5EF4-FFF2-40B4-BE49-F238E27FC236}">
                <a16:creationId xmlns:a16="http://schemas.microsoft.com/office/drawing/2014/main" id="{3EA87B7C-C07D-391A-66C1-0FB68FD6195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54" name="Shape 29">
            <a:extLst>
              <a:ext uri="{FF2B5EF4-FFF2-40B4-BE49-F238E27FC236}">
                <a16:creationId xmlns:a16="http://schemas.microsoft.com/office/drawing/2014/main" id="{414E99A1-EACF-08C3-5C78-85FBECF2B60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55" name="Shape 30">
            <a:extLst>
              <a:ext uri="{FF2B5EF4-FFF2-40B4-BE49-F238E27FC236}">
                <a16:creationId xmlns:a16="http://schemas.microsoft.com/office/drawing/2014/main" id="{064C1D50-F016-9A46-660A-1400DA1A2E5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56" name="Shape 31">
            <a:extLst>
              <a:ext uri="{FF2B5EF4-FFF2-40B4-BE49-F238E27FC236}">
                <a16:creationId xmlns:a16="http://schemas.microsoft.com/office/drawing/2014/main" id="{46B717D9-E882-8AE2-39D5-90AD6DCB986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190</xdr:row>
      <xdr:rowOff>160585</xdr:rowOff>
    </xdr:from>
    <xdr:ext cx="33655" cy="33655"/>
    <xdr:grpSp>
      <xdr:nvGrpSpPr>
        <xdr:cNvPr id="2957" name="Group 32">
          <a:extLst>
            <a:ext uri="{FF2B5EF4-FFF2-40B4-BE49-F238E27FC236}">
              <a16:creationId xmlns:a16="http://schemas.microsoft.com/office/drawing/2014/main" id="{0366D513-9EA2-4E14-8D61-7BA9DAA0BAB3}"/>
            </a:ext>
          </a:extLst>
        </xdr:cNvPr>
        <xdr:cNvGrpSpPr/>
      </xdr:nvGrpSpPr>
      <xdr:grpSpPr>
        <a:xfrm>
          <a:off x="4603072" y="36655388"/>
          <a:ext cx="33655" cy="33655"/>
          <a:chOff x="0" y="0"/>
          <a:chExt cx="33655" cy="33655"/>
        </a:xfrm>
      </xdr:grpSpPr>
      <xdr:sp macro="" textlink="">
        <xdr:nvSpPr>
          <xdr:cNvPr id="2958" name="Shape 33">
            <a:extLst>
              <a:ext uri="{FF2B5EF4-FFF2-40B4-BE49-F238E27FC236}">
                <a16:creationId xmlns:a16="http://schemas.microsoft.com/office/drawing/2014/main" id="{027DC04E-CC76-CD31-DAE6-509B032FB3A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59" name="Shape 34">
            <a:extLst>
              <a:ext uri="{FF2B5EF4-FFF2-40B4-BE49-F238E27FC236}">
                <a16:creationId xmlns:a16="http://schemas.microsoft.com/office/drawing/2014/main" id="{C7208B9F-69CD-FA19-C4FC-D761FC40FC3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60" name="Shape 35">
            <a:extLst>
              <a:ext uri="{FF2B5EF4-FFF2-40B4-BE49-F238E27FC236}">
                <a16:creationId xmlns:a16="http://schemas.microsoft.com/office/drawing/2014/main" id="{6E6EA99D-0832-D5F4-7787-4DF77A003B5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61" name="Shape 36">
            <a:extLst>
              <a:ext uri="{FF2B5EF4-FFF2-40B4-BE49-F238E27FC236}">
                <a16:creationId xmlns:a16="http://schemas.microsoft.com/office/drawing/2014/main" id="{38704E36-FFED-F167-02B8-B40CD777A2D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62" name="Shape 37">
            <a:extLst>
              <a:ext uri="{FF2B5EF4-FFF2-40B4-BE49-F238E27FC236}">
                <a16:creationId xmlns:a16="http://schemas.microsoft.com/office/drawing/2014/main" id="{A2D10A44-A6E2-6910-7FF3-44B4E0A009C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63" name="Shape 38">
            <a:extLst>
              <a:ext uri="{FF2B5EF4-FFF2-40B4-BE49-F238E27FC236}">
                <a16:creationId xmlns:a16="http://schemas.microsoft.com/office/drawing/2014/main" id="{60875ABE-E158-2716-9F57-B393D9CB31E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64" name="Shape 39">
            <a:extLst>
              <a:ext uri="{FF2B5EF4-FFF2-40B4-BE49-F238E27FC236}">
                <a16:creationId xmlns:a16="http://schemas.microsoft.com/office/drawing/2014/main" id="{34C22AA3-AC69-1F3A-F81B-D349A419D74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65" name="Shape 40">
            <a:extLst>
              <a:ext uri="{FF2B5EF4-FFF2-40B4-BE49-F238E27FC236}">
                <a16:creationId xmlns:a16="http://schemas.microsoft.com/office/drawing/2014/main" id="{541293C5-55E2-1EFC-CC19-9D447B053E6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66" name="Shape 41">
            <a:extLst>
              <a:ext uri="{FF2B5EF4-FFF2-40B4-BE49-F238E27FC236}">
                <a16:creationId xmlns:a16="http://schemas.microsoft.com/office/drawing/2014/main" id="{EF967581-F730-7449-4953-BC6D81CAA60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67" name="Shape 42">
            <a:extLst>
              <a:ext uri="{FF2B5EF4-FFF2-40B4-BE49-F238E27FC236}">
                <a16:creationId xmlns:a16="http://schemas.microsoft.com/office/drawing/2014/main" id="{B45642FC-D376-03EC-D0F0-CA05F79F136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68" name="Shape 43">
            <a:extLst>
              <a:ext uri="{FF2B5EF4-FFF2-40B4-BE49-F238E27FC236}">
                <a16:creationId xmlns:a16="http://schemas.microsoft.com/office/drawing/2014/main" id="{3894D764-4196-9DA5-0F7F-6A7F1E202AA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69" name="Shape 44">
            <a:extLst>
              <a:ext uri="{FF2B5EF4-FFF2-40B4-BE49-F238E27FC236}">
                <a16:creationId xmlns:a16="http://schemas.microsoft.com/office/drawing/2014/main" id="{C986519B-2B45-ED31-052A-A86AB339662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70" name="Shape 45">
            <a:extLst>
              <a:ext uri="{FF2B5EF4-FFF2-40B4-BE49-F238E27FC236}">
                <a16:creationId xmlns:a16="http://schemas.microsoft.com/office/drawing/2014/main" id="{8B671950-0C30-C9C0-2C5B-67CC81FCD13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71" name="Shape 46">
            <a:extLst>
              <a:ext uri="{FF2B5EF4-FFF2-40B4-BE49-F238E27FC236}">
                <a16:creationId xmlns:a16="http://schemas.microsoft.com/office/drawing/2014/main" id="{4D5449A2-17E0-1ACA-2B64-AAFD3BE17FD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191</xdr:row>
      <xdr:rowOff>3409</xdr:rowOff>
    </xdr:from>
    <xdr:ext cx="33655" cy="33655"/>
    <xdr:grpSp>
      <xdr:nvGrpSpPr>
        <xdr:cNvPr id="2972" name="Group 47">
          <a:extLst>
            <a:ext uri="{FF2B5EF4-FFF2-40B4-BE49-F238E27FC236}">
              <a16:creationId xmlns:a16="http://schemas.microsoft.com/office/drawing/2014/main" id="{F68A1E33-9CF7-477E-9733-1C574ED7EBC2}"/>
            </a:ext>
          </a:extLst>
        </xdr:cNvPr>
        <xdr:cNvGrpSpPr/>
      </xdr:nvGrpSpPr>
      <xdr:grpSpPr>
        <a:xfrm>
          <a:off x="4603072" y="36666852"/>
          <a:ext cx="33655" cy="33655"/>
          <a:chOff x="0" y="0"/>
          <a:chExt cx="33655" cy="33655"/>
        </a:xfrm>
      </xdr:grpSpPr>
      <xdr:sp macro="" textlink="">
        <xdr:nvSpPr>
          <xdr:cNvPr id="2973" name="Shape 48">
            <a:extLst>
              <a:ext uri="{FF2B5EF4-FFF2-40B4-BE49-F238E27FC236}">
                <a16:creationId xmlns:a16="http://schemas.microsoft.com/office/drawing/2014/main" id="{95F2B0FF-68FD-E6A9-1BFB-684D3FD74EB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74" name="Shape 49">
            <a:extLst>
              <a:ext uri="{FF2B5EF4-FFF2-40B4-BE49-F238E27FC236}">
                <a16:creationId xmlns:a16="http://schemas.microsoft.com/office/drawing/2014/main" id="{DCE911D8-208F-05A2-F886-9C2A6A0E6A3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75" name="Shape 50">
            <a:extLst>
              <a:ext uri="{FF2B5EF4-FFF2-40B4-BE49-F238E27FC236}">
                <a16:creationId xmlns:a16="http://schemas.microsoft.com/office/drawing/2014/main" id="{8623F547-B2A2-FF2C-9B06-BAB793B1BE1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76" name="Shape 51">
            <a:extLst>
              <a:ext uri="{FF2B5EF4-FFF2-40B4-BE49-F238E27FC236}">
                <a16:creationId xmlns:a16="http://schemas.microsoft.com/office/drawing/2014/main" id="{76EECA3D-8AB2-1EBD-096D-87468D9ABF7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77" name="Shape 52">
            <a:extLst>
              <a:ext uri="{FF2B5EF4-FFF2-40B4-BE49-F238E27FC236}">
                <a16:creationId xmlns:a16="http://schemas.microsoft.com/office/drawing/2014/main" id="{E1D8B083-75BD-F7A7-46AE-2C224BFBC28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78" name="Shape 53">
            <a:extLst>
              <a:ext uri="{FF2B5EF4-FFF2-40B4-BE49-F238E27FC236}">
                <a16:creationId xmlns:a16="http://schemas.microsoft.com/office/drawing/2014/main" id="{A35BD934-8972-C0E0-4726-A47C8A4E961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79" name="Shape 54">
            <a:extLst>
              <a:ext uri="{FF2B5EF4-FFF2-40B4-BE49-F238E27FC236}">
                <a16:creationId xmlns:a16="http://schemas.microsoft.com/office/drawing/2014/main" id="{3C1BBABC-7115-8B88-63D6-38C9C710EE0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80" name="Shape 55">
            <a:extLst>
              <a:ext uri="{FF2B5EF4-FFF2-40B4-BE49-F238E27FC236}">
                <a16:creationId xmlns:a16="http://schemas.microsoft.com/office/drawing/2014/main" id="{81A15859-2EFF-A322-C6C5-8C205BD97EB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81" name="Shape 56">
            <a:extLst>
              <a:ext uri="{FF2B5EF4-FFF2-40B4-BE49-F238E27FC236}">
                <a16:creationId xmlns:a16="http://schemas.microsoft.com/office/drawing/2014/main" id="{17E70FC3-B260-660A-9D4C-5A6AE3025FD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82" name="Shape 57">
            <a:extLst>
              <a:ext uri="{FF2B5EF4-FFF2-40B4-BE49-F238E27FC236}">
                <a16:creationId xmlns:a16="http://schemas.microsoft.com/office/drawing/2014/main" id="{9CF9D350-CE12-5221-8449-30D5F0ED48A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83" name="Shape 58">
            <a:extLst>
              <a:ext uri="{FF2B5EF4-FFF2-40B4-BE49-F238E27FC236}">
                <a16:creationId xmlns:a16="http://schemas.microsoft.com/office/drawing/2014/main" id="{8C7F6F9D-3849-2CEB-4472-45CD42832CD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84" name="Shape 59">
            <a:extLst>
              <a:ext uri="{FF2B5EF4-FFF2-40B4-BE49-F238E27FC236}">
                <a16:creationId xmlns:a16="http://schemas.microsoft.com/office/drawing/2014/main" id="{E6C0444B-5E17-28FF-FE8F-1C8A6E392A4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85" name="Shape 60">
            <a:extLst>
              <a:ext uri="{FF2B5EF4-FFF2-40B4-BE49-F238E27FC236}">
                <a16:creationId xmlns:a16="http://schemas.microsoft.com/office/drawing/2014/main" id="{43BAD6F1-6837-61B6-8D0A-2C59D5812BB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986" name="Shape 61">
            <a:extLst>
              <a:ext uri="{FF2B5EF4-FFF2-40B4-BE49-F238E27FC236}">
                <a16:creationId xmlns:a16="http://schemas.microsoft.com/office/drawing/2014/main" id="{4F6EE1D0-44D8-3238-37C1-6F99E3359D9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190</xdr:row>
      <xdr:rowOff>160844</xdr:rowOff>
    </xdr:from>
    <xdr:ext cx="33655" cy="33655"/>
    <xdr:grpSp>
      <xdr:nvGrpSpPr>
        <xdr:cNvPr id="2987" name="Group 62">
          <a:extLst>
            <a:ext uri="{FF2B5EF4-FFF2-40B4-BE49-F238E27FC236}">
              <a16:creationId xmlns:a16="http://schemas.microsoft.com/office/drawing/2014/main" id="{EA7B3DB9-AA5A-4C98-B807-5473EB5F09AE}"/>
            </a:ext>
          </a:extLst>
        </xdr:cNvPr>
        <xdr:cNvGrpSpPr/>
      </xdr:nvGrpSpPr>
      <xdr:grpSpPr>
        <a:xfrm>
          <a:off x="4603072" y="36655647"/>
          <a:ext cx="33655" cy="33655"/>
          <a:chOff x="0" y="0"/>
          <a:chExt cx="33655" cy="33655"/>
        </a:xfrm>
      </xdr:grpSpPr>
      <xdr:sp macro="" textlink="">
        <xdr:nvSpPr>
          <xdr:cNvPr id="2988" name="Shape 63">
            <a:extLst>
              <a:ext uri="{FF2B5EF4-FFF2-40B4-BE49-F238E27FC236}">
                <a16:creationId xmlns:a16="http://schemas.microsoft.com/office/drawing/2014/main" id="{B20EC5BA-F290-4234-F88F-5F892CA46DC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89" name="Shape 64">
            <a:extLst>
              <a:ext uri="{FF2B5EF4-FFF2-40B4-BE49-F238E27FC236}">
                <a16:creationId xmlns:a16="http://schemas.microsoft.com/office/drawing/2014/main" id="{965CA52C-C82D-6C6A-43E9-D6A7BB623EB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90" name="Shape 65">
            <a:extLst>
              <a:ext uri="{FF2B5EF4-FFF2-40B4-BE49-F238E27FC236}">
                <a16:creationId xmlns:a16="http://schemas.microsoft.com/office/drawing/2014/main" id="{0C040B98-44B8-377F-39FA-764A7CAC346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91" name="Shape 66">
            <a:extLst>
              <a:ext uri="{FF2B5EF4-FFF2-40B4-BE49-F238E27FC236}">
                <a16:creationId xmlns:a16="http://schemas.microsoft.com/office/drawing/2014/main" id="{6320621A-B30F-370F-F579-A0DB5AEBBEB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92" name="Shape 67">
            <a:extLst>
              <a:ext uri="{FF2B5EF4-FFF2-40B4-BE49-F238E27FC236}">
                <a16:creationId xmlns:a16="http://schemas.microsoft.com/office/drawing/2014/main" id="{02ABD916-A9CB-CC64-398B-D22EF0869CC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93" name="Shape 68">
            <a:extLst>
              <a:ext uri="{FF2B5EF4-FFF2-40B4-BE49-F238E27FC236}">
                <a16:creationId xmlns:a16="http://schemas.microsoft.com/office/drawing/2014/main" id="{F7C48566-7FAA-F054-F3DD-03F07759FDA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94" name="Shape 69">
            <a:extLst>
              <a:ext uri="{FF2B5EF4-FFF2-40B4-BE49-F238E27FC236}">
                <a16:creationId xmlns:a16="http://schemas.microsoft.com/office/drawing/2014/main" id="{C3593604-782C-6780-FF80-906765E39C9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95" name="Shape 70">
            <a:extLst>
              <a:ext uri="{FF2B5EF4-FFF2-40B4-BE49-F238E27FC236}">
                <a16:creationId xmlns:a16="http://schemas.microsoft.com/office/drawing/2014/main" id="{3E23A80F-CD6B-9DAC-A421-80ED062E5C9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96" name="Shape 71">
            <a:extLst>
              <a:ext uri="{FF2B5EF4-FFF2-40B4-BE49-F238E27FC236}">
                <a16:creationId xmlns:a16="http://schemas.microsoft.com/office/drawing/2014/main" id="{A6C74A20-F368-3645-A3F1-494F2ED3795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97" name="Shape 72">
            <a:extLst>
              <a:ext uri="{FF2B5EF4-FFF2-40B4-BE49-F238E27FC236}">
                <a16:creationId xmlns:a16="http://schemas.microsoft.com/office/drawing/2014/main" id="{5F308C36-40E0-94B1-6C41-DEB3458FDF2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998" name="Shape 73">
            <a:extLst>
              <a:ext uri="{FF2B5EF4-FFF2-40B4-BE49-F238E27FC236}">
                <a16:creationId xmlns:a16="http://schemas.microsoft.com/office/drawing/2014/main" id="{E3518D59-AE66-FEE1-3207-C822E911449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999" name="Shape 74">
            <a:extLst>
              <a:ext uri="{FF2B5EF4-FFF2-40B4-BE49-F238E27FC236}">
                <a16:creationId xmlns:a16="http://schemas.microsoft.com/office/drawing/2014/main" id="{F77ED484-E4D7-A00B-659D-B79060F7D73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00" name="Shape 75">
            <a:extLst>
              <a:ext uri="{FF2B5EF4-FFF2-40B4-BE49-F238E27FC236}">
                <a16:creationId xmlns:a16="http://schemas.microsoft.com/office/drawing/2014/main" id="{5F677CC6-0F54-9CC5-010C-272E132D6F3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01" name="Shape 76">
            <a:extLst>
              <a:ext uri="{FF2B5EF4-FFF2-40B4-BE49-F238E27FC236}">
                <a16:creationId xmlns:a16="http://schemas.microsoft.com/office/drawing/2014/main" id="{EB379546-62DC-0E09-6AEF-B4EECB91065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202</xdr:row>
      <xdr:rowOff>2978</xdr:rowOff>
    </xdr:from>
    <xdr:ext cx="33655" cy="33655"/>
    <xdr:grpSp>
      <xdr:nvGrpSpPr>
        <xdr:cNvPr id="3002" name="Group 2">
          <a:extLst>
            <a:ext uri="{FF2B5EF4-FFF2-40B4-BE49-F238E27FC236}">
              <a16:creationId xmlns:a16="http://schemas.microsoft.com/office/drawing/2014/main" id="{8225E1CC-8CCB-4481-B1A7-AF187AD5905C}"/>
            </a:ext>
          </a:extLst>
        </xdr:cNvPr>
        <xdr:cNvGrpSpPr/>
      </xdr:nvGrpSpPr>
      <xdr:grpSpPr>
        <a:xfrm>
          <a:off x="4603072" y="38827503"/>
          <a:ext cx="33655" cy="33655"/>
          <a:chOff x="0" y="0"/>
          <a:chExt cx="33655" cy="33655"/>
        </a:xfrm>
      </xdr:grpSpPr>
      <xdr:sp macro="" textlink="">
        <xdr:nvSpPr>
          <xdr:cNvPr id="3003" name="Shape 3">
            <a:extLst>
              <a:ext uri="{FF2B5EF4-FFF2-40B4-BE49-F238E27FC236}">
                <a16:creationId xmlns:a16="http://schemas.microsoft.com/office/drawing/2014/main" id="{E0E78ED3-3123-7DA8-06E3-2DB4ED3D2D8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04" name="Shape 4">
            <a:extLst>
              <a:ext uri="{FF2B5EF4-FFF2-40B4-BE49-F238E27FC236}">
                <a16:creationId xmlns:a16="http://schemas.microsoft.com/office/drawing/2014/main" id="{18489374-82C2-F6C4-AC74-11AEACF300F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05" name="Shape 5">
            <a:extLst>
              <a:ext uri="{FF2B5EF4-FFF2-40B4-BE49-F238E27FC236}">
                <a16:creationId xmlns:a16="http://schemas.microsoft.com/office/drawing/2014/main" id="{48B39D05-CC4E-E7A0-FFBE-D6C7544A21C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06" name="Shape 6">
            <a:extLst>
              <a:ext uri="{FF2B5EF4-FFF2-40B4-BE49-F238E27FC236}">
                <a16:creationId xmlns:a16="http://schemas.microsoft.com/office/drawing/2014/main" id="{A06937A5-65FA-7160-1B4E-B6B9C846E3D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07" name="Shape 7">
            <a:extLst>
              <a:ext uri="{FF2B5EF4-FFF2-40B4-BE49-F238E27FC236}">
                <a16:creationId xmlns:a16="http://schemas.microsoft.com/office/drawing/2014/main" id="{EB37DBEA-593D-D7C7-DD7B-D25FA635628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08" name="Shape 8">
            <a:extLst>
              <a:ext uri="{FF2B5EF4-FFF2-40B4-BE49-F238E27FC236}">
                <a16:creationId xmlns:a16="http://schemas.microsoft.com/office/drawing/2014/main" id="{EB837BCD-C168-271F-E7AF-70D7BC999D0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09" name="Shape 9">
            <a:extLst>
              <a:ext uri="{FF2B5EF4-FFF2-40B4-BE49-F238E27FC236}">
                <a16:creationId xmlns:a16="http://schemas.microsoft.com/office/drawing/2014/main" id="{787F9961-C82D-F040-3001-5B5B3F2E610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10" name="Shape 10">
            <a:extLst>
              <a:ext uri="{FF2B5EF4-FFF2-40B4-BE49-F238E27FC236}">
                <a16:creationId xmlns:a16="http://schemas.microsoft.com/office/drawing/2014/main" id="{F0B22CEC-51F9-C288-03AB-ABBB86D8889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11" name="Shape 11">
            <a:extLst>
              <a:ext uri="{FF2B5EF4-FFF2-40B4-BE49-F238E27FC236}">
                <a16:creationId xmlns:a16="http://schemas.microsoft.com/office/drawing/2014/main" id="{B1842580-3B9D-83BE-B92E-0A7A1542058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12" name="Shape 12">
            <a:extLst>
              <a:ext uri="{FF2B5EF4-FFF2-40B4-BE49-F238E27FC236}">
                <a16:creationId xmlns:a16="http://schemas.microsoft.com/office/drawing/2014/main" id="{3CEBB5CD-BE26-30F4-F8D4-3145C794153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13" name="Shape 13">
            <a:extLst>
              <a:ext uri="{FF2B5EF4-FFF2-40B4-BE49-F238E27FC236}">
                <a16:creationId xmlns:a16="http://schemas.microsoft.com/office/drawing/2014/main" id="{8FC21DB8-4038-5822-C690-400A11922B1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14" name="Shape 14">
            <a:extLst>
              <a:ext uri="{FF2B5EF4-FFF2-40B4-BE49-F238E27FC236}">
                <a16:creationId xmlns:a16="http://schemas.microsoft.com/office/drawing/2014/main" id="{019E9543-70CA-50CA-1913-F68077857F3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15" name="Shape 15">
            <a:extLst>
              <a:ext uri="{FF2B5EF4-FFF2-40B4-BE49-F238E27FC236}">
                <a16:creationId xmlns:a16="http://schemas.microsoft.com/office/drawing/2014/main" id="{7E58DE41-C6F3-E220-35EE-EC6A693385E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16" name="Shape 16">
            <a:extLst>
              <a:ext uri="{FF2B5EF4-FFF2-40B4-BE49-F238E27FC236}">
                <a16:creationId xmlns:a16="http://schemas.microsoft.com/office/drawing/2014/main" id="{F1751FD4-3E39-9ECA-1347-908B9439338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202</xdr:row>
      <xdr:rowOff>3246</xdr:rowOff>
    </xdr:from>
    <xdr:ext cx="33655" cy="33655"/>
    <xdr:grpSp>
      <xdr:nvGrpSpPr>
        <xdr:cNvPr id="3017" name="Group 17">
          <a:extLst>
            <a:ext uri="{FF2B5EF4-FFF2-40B4-BE49-F238E27FC236}">
              <a16:creationId xmlns:a16="http://schemas.microsoft.com/office/drawing/2014/main" id="{205493C8-E71F-466A-89DF-8614124BA572}"/>
            </a:ext>
          </a:extLst>
        </xdr:cNvPr>
        <xdr:cNvGrpSpPr/>
      </xdr:nvGrpSpPr>
      <xdr:grpSpPr>
        <a:xfrm>
          <a:off x="4603072" y="38827771"/>
          <a:ext cx="33655" cy="33655"/>
          <a:chOff x="0" y="0"/>
          <a:chExt cx="33655" cy="33655"/>
        </a:xfrm>
      </xdr:grpSpPr>
      <xdr:sp macro="" textlink="">
        <xdr:nvSpPr>
          <xdr:cNvPr id="3018" name="Shape 18">
            <a:extLst>
              <a:ext uri="{FF2B5EF4-FFF2-40B4-BE49-F238E27FC236}">
                <a16:creationId xmlns:a16="http://schemas.microsoft.com/office/drawing/2014/main" id="{EF1E20AB-0957-61F2-5D9B-EC46F37CC44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19" name="Shape 19">
            <a:extLst>
              <a:ext uri="{FF2B5EF4-FFF2-40B4-BE49-F238E27FC236}">
                <a16:creationId xmlns:a16="http://schemas.microsoft.com/office/drawing/2014/main" id="{9F73B0ED-A3CA-3866-DAA1-DBD598DB313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20" name="Shape 20">
            <a:extLst>
              <a:ext uri="{FF2B5EF4-FFF2-40B4-BE49-F238E27FC236}">
                <a16:creationId xmlns:a16="http://schemas.microsoft.com/office/drawing/2014/main" id="{5AFFC090-82E9-C1E6-82EB-D595C82A090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21" name="Shape 21">
            <a:extLst>
              <a:ext uri="{FF2B5EF4-FFF2-40B4-BE49-F238E27FC236}">
                <a16:creationId xmlns:a16="http://schemas.microsoft.com/office/drawing/2014/main" id="{EE9DF27D-D577-75FD-5DFA-42DCED0DB66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22" name="Shape 22">
            <a:extLst>
              <a:ext uri="{FF2B5EF4-FFF2-40B4-BE49-F238E27FC236}">
                <a16:creationId xmlns:a16="http://schemas.microsoft.com/office/drawing/2014/main" id="{01B53C84-91FE-C744-2409-93457C00378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23" name="Shape 23">
            <a:extLst>
              <a:ext uri="{FF2B5EF4-FFF2-40B4-BE49-F238E27FC236}">
                <a16:creationId xmlns:a16="http://schemas.microsoft.com/office/drawing/2014/main" id="{D43CECB5-B8AF-CF01-C348-CBFD3251F3C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24" name="Shape 24">
            <a:extLst>
              <a:ext uri="{FF2B5EF4-FFF2-40B4-BE49-F238E27FC236}">
                <a16:creationId xmlns:a16="http://schemas.microsoft.com/office/drawing/2014/main" id="{459D21D8-0FEA-DA23-B36C-861CC5B9470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25" name="Shape 25">
            <a:extLst>
              <a:ext uri="{FF2B5EF4-FFF2-40B4-BE49-F238E27FC236}">
                <a16:creationId xmlns:a16="http://schemas.microsoft.com/office/drawing/2014/main" id="{F66116D1-7059-4387-3361-E51A5DABE44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26" name="Shape 26">
            <a:extLst>
              <a:ext uri="{FF2B5EF4-FFF2-40B4-BE49-F238E27FC236}">
                <a16:creationId xmlns:a16="http://schemas.microsoft.com/office/drawing/2014/main" id="{D9F6CCBB-E749-E75A-4BA2-30125A73580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27" name="Shape 27">
            <a:extLst>
              <a:ext uri="{FF2B5EF4-FFF2-40B4-BE49-F238E27FC236}">
                <a16:creationId xmlns:a16="http://schemas.microsoft.com/office/drawing/2014/main" id="{3CFCA44D-B901-8550-A9D8-E3FD59196F8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28" name="Shape 28">
            <a:extLst>
              <a:ext uri="{FF2B5EF4-FFF2-40B4-BE49-F238E27FC236}">
                <a16:creationId xmlns:a16="http://schemas.microsoft.com/office/drawing/2014/main" id="{641DA5EB-C5AD-803D-3D3F-3DCF5A6FD55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29" name="Shape 29">
            <a:extLst>
              <a:ext uri="{FF2B5EF4-FFF2-40B4-BE49-F238E27FC236}">
                <a16:creationId xmlns:a16="http://schemas.microsoft.com/office/drawing/2014/main" id="{55E26104-343C-822D-DC55-BAFD41BE541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30" name="Shape 30">
            <a:extLst>
              <a:ext uri="{FF2B5EF4-FFF2-40B4-BE49-F238E27FC236}">
                <a16:creationId xmlns:a16="http://schemas.microsoft.com/office/drawing/2014/main" id="{80F8D34F-CF71-AFBE-6A24-F9A0615DA60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31" name="Shape 31">
            <a:extLst>
              <a:ext uri="{FF2B5EF4-FFF2-40B4-BE49-F238E27FC236}">
                <a16:creationId xmlns:a16="http://schemas.microsoft.com/office/drawing/2014/main" id="{95C601B6-DA11-E48F-B11F-F8DD1CA5857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201</xdr:row>
      <xdr:rowOff>160585</xdr:rowOff>
    </xdr:from>
    <xdr:ext cx="33655" cy="33655"/>
    <xdr:grpSp>
      <xdr:nvGrpSpPr>
        <xdr:cNvPr id="3032" name="Group 32">
          <a:extLst>
            <a:ext uri="{FF2B5EF4-FFF2-40B4-BE49-F238E27FC236}">
              <a16:creationId xmlns:a16="http://schemas.microsoft.com/office/drawing/2014/main" id="{6E213923-DC9F-44A7-8418-7612174D7544}"/>
            </a:ext>
          </a:extLst>
        </xdr:cNvPr>
        <xdr:cNvGrpSpPr/>
      </xdr:nvGrpSpPr>
      <xdr:grpSpPr>
        <a:xfrm>
          <a:off x="4603072" y="38816470"/>
          <a:ext cx="33655" cy="33655"/>
          <a:chOff x="0" y="0"/>
          <a:chExt cx="33655" cy="33655"/>
        </a:xfrm>
      </xdr:grpSpPr>
      <xdr:sp macro="" textlink="">
        <xdr:nvSpPr>
          <xdr:cNvPr id="3033" name="Shape 33">
            <a:extLst>
              <a:ext uri="{FF2B5EF4-FFF2-40B4-BE49-F238E27FC236}">
                <a16:creationId xmlns:a16="http://schemas.microsoft.com/office/drawing/2014/main" id="{E1228751-F9F8-D784-3517-B5561F1C2D2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34" name="Shape 34">
            <a:extLst>
              <a:ext uri="{FF2B5EF4-FFF2-40B4-BE49-F238E27FC236}">
                <a16:creationId xmlns:a16="http://schemas.microsoft.com/office/drawing/2014/main" id="{C738EED6-0CF2-A6FF-6527-C8E9F0632F7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35" name="Shape 35">
            <a:extLst>
              <a:ext uri="{FF2B5EF4-FFF2-40B4-BE49-F238E27FC236}">
                <a16:creationId xmlns:a16="http://schemas.microsoft.com/office/drawing/2014/main" id="{24B27688-A19B-C105-315D-803EEF66086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36" name="Shape 36">
            <a:extLst>
              <a:ext uri="{FF2B5EF4-FFF2-40B4-BE49-F238E27FC236}">
                <a16:creationId xmlns:a16="http://schemas.microsoft.com/office/drawing/2014/main" id="{C49D8E67-5839-9CEF-DA80-8D5410F6702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37" name="Shape 37">
            <a:extLst>
              <a:ext uri="{FF2B5EF4-FFF2-40B4-BE49-F238E27FC236}">
                <a16:creationId xmlns:a16="http://schemas.microsoft.com/office/drawing/2014/main" id="{5716FD3D-8D77-EBDF-6418-B131455463D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38" name="Shape 38">
            <a:extLst>
              <a:ext uri="{FF2B5EF4-FFF2-40B4-BE49-F238E27FC236}">
                <a16:creationId xmlns:a16="http://schemas.microsoft.com/office/drawing/2014/main" id="{A5F5F39A-314D-3BF8-8F9D-5E33918F780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39" name="Shape 39">
            <a:extLst>
              <a:ext uri="{FF2B5EF4-FFF2-40B4-BE49-F238E27FC236}">
                <a16:creationId xmlns:a16="http://schemas.microsoft.com/office/drawing/2014/main" id="{87395294-1208-492B-7D98-E149A3989FF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40" name="Shape 40">
            <a:extLst>
              <a:ext uri="{FF2B5EF4-FFF2-40B4-BE49-F238E27FC236}">
                <a16:creationId xmlns:a16="http://schemas.microsoft.com/office/drawing/2014/main" id="{1237154F-C9FB-97F1-1C27-739562F8480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41" name="Shape 41">
            <a:extLst>
              <a:ext uri="{FF2B5EF4-FFF2-40B4-BE49-F238E27FC236}">
                <a16:creationId xmlns:a16="http://schemas.microsoft.com/office/drawing/2014/main" id="{C21D21FC-5FA9-D0DC-B995-68E2C05DDB2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42" name="Shape 42">
            <a:extLst>
              <a:ext uri="{FF2B5EF4-FFF2-40B4-BE49-F238E27FC236}">
                <a16:creationId xmlns:a16="http://schemas.microsoft.com/office/drawing/2014/main" id="{B06E7519-D1FF-428A-D5F2-ADD61A0C21F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43" name="Shape 43">
            <a:extLst>
              <a:ext uri="{FF2B5EF4-FFF2-40B4-BE49-F238E27FC236}">
                <a16:creationId xmlns:a16="http://schemas.microsoft.com/office/drawing/2014/main" id="{8F419EEA-156C-E7EA-F5C1-1F52A43EA06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44" name="Shape 44">
            <a:extLst>
              <a:ext uri="{FF2B5EF4-FFF2-40B4-BE49-F238E27FC236}">
                <a16:creationId xmlns:a16="http://schemas.microsoft.com/office/drawing/2014/main" id="{B3207477-645F-F3D1-96D9-996D73FC275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45" name="Shape 45">
            <a:extLst>
              <a:ext uri="{FF2B5EF4-FFF2-40B4-BE49-F238E27FC236}">
                <a16:creationId xmlns:a16="http://schemas.microsoft.com/office/drawing/2014/main" id="{8043D9B0-5642-4A13-F89F-494974F8C58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46" name="Shape 46">
            <a:extLst>
              <a:ext uri="{FF2B5EF4-FFF2-40B4-BE49-F238E27FC236}">
                <a16:creationId xmlns:a16="http://schemas.microsoft.com/office/drawing/2014/main" id="{E7BB4557-6945-DAC4-18B1-BCD22F957B5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202</xdr:row>
      <xdr:rowOff>3409</xdr:rowOff>
    </xdr:from>
    <xdr:ext cx="33655" cy="33655"/>
    <xdr:grpSp>
      <xdr:nvGrpSpPr>
        <xdr:cNvPr id="3047" name="Group 47">
          <a:extLst>
            <a:ext uri="{FF2B5EF4-FFF2-40B4-BE49-F238E27FC236}">
              <a16:creationId xmlns:a16="http://schemas.microsoft.com/office/drawing/2014/main" id="{8DC4D2A3-D3DF-455A-9EB4-83F53F4F6DC1}"/>
            </a:ext>
          </a:extLst>
        </xdr:cNvPr>
        <xdr:cNvGrpSpPr/>
      </xdr:nvGrpSpPr>
      <xdr:grpSpPr>
        <a:xfrm>
          <a:off x="4603072" y="38827934"/>
          <a:ext cx="33655" cy="33655"/>
          <a:chOff x="0" y="0"/>
          <a:chExt cx="33655" cy="33655"/>
        </a:xfrm>
      </xdr:grpSpPr>
      <xdr:sp macro="" textlink="">
        <xdr:nvSpPr>
          <xdr:cNvPr id="3048" name="Shape 48">
            <a:extLst>
              <a:ext uri="{FF2B5EF4-FFF2-40B4-BE49-F238E27FC236}">
                <a16:creationId xmlns:a16="http://schemas.microsoft.com/office/drawing/2014/main" id="{01BF012C-A0CA-1A19-683B-C95F9C611E3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49" name="Shape 49">
            <a:extLst>
              <a:ext uri="{FF2B5EF4-FFF2-40B4-BE49-F238E27FC236}">
                <a16:creationId xmlns:a16="http://schemas.microsoft.com/office/drawing/2014/main" id="{85C40C8C-CE94-A44D-3439-A5891601B76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50" name="Shape 50">
            <a:extLst>
              <a:ext uri="{FF2B5EF4-FFF2-40B4-BE49-F238E27FC236}">
                <a16:creationId xmlns:a16="http://schemas.microsoft.com/office/drawing/2014/main" id="{3C54400C-6C36-A49D-A288-E01FD3553EF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51" name="Shape 51">
            <a:extLst>
              <a:ext uri="{FF2B5EF4-FFF2-40B4-BE49-F238E27FC236}">
                <a16:creationId xmlns:a16="http://schemas.microsoft.com/office/drawing/2014/main" id="{6B0B790F-AF12-1C5E-70DD-CA989AEB791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52" name="Shape 52">
            <a:extLst>
              <a:ext uri="{FF2B5EF4-FFF2-40B4-BE49-F238E27FC236}">
                <a16:creationId xmlns:a16="http://schemas.microsoft.com/office/drawing/2014/main" id="{6822C1DA-1036-61DE-2E5B-5EDB0A149B1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53" name="Shape 53">
            <a:extLst>
              <a:ext uri="{FF2B5EF4-FFF2-40B4-BE49-F238E27FC236}">
                <a16:creationId xmlns:a16="http://schemas.microsoft.com/office/drawing/2014/main" id="{DE5F683C-438C-8944-B622-FCC6717B4D1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54" name="Shape 54">
            <a:extLst>
              <a:ext uri="{FF2B5EF4-FFF2-40B4-BE49-F238E27FC236}">
                <a16:creationId xmlns:a16="http://schemas.microsoft.com/office/drawing/2014/main" id="{193CB8ED-E335-D898-4F12-2A51AD48F87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55" name="Shape 55">
            <a:extLst>
              <a:ext uri="{FF2B5EF4-FFF2-40B4-BE49-F238E27FC236}">
                <a16:creationId xmlns:a16="http://schemas.microsoft.com/office/drawing/2014/main" id="{1925E92B-5AB1-4966-1686-81F47A25DFD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56" name="Shape 56">
            <a:extLst>
              <a:ext uri="{FF2B5EF4-FFF2-40B4-BE49-F238E27FC236}">
                <a16:creationId xmlns:a16="http://schemas.microsoft.com/office/drawing/2014/main" id="{97087244-20F1-5F2B-6D0E-2B5E9AB71AF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57" name="Shape 57">
            <a:extLst>
              <a:ext uri="{FF2B5EF4-FFF2-40B4-BE49-F238E27FC236}">
                <a16:creationId xmlns:a16="http://schemas.microsoft.com/office/drawing/2014/main" id="{AF9A4643-C7A6-BB42-22D8-7F708E94569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58" name="Shape 58">
            <a:extLst>
              <a:ext uri="{FF2B5EF4-FFF2-40B4-BE49-F238E27FC236}">
                <a16:creationId xmlns:a16="http://schemas.microsoft.com/office/drawing/2014/main" id="{84ED9CC2-CA17-A9F7-0735-FF43FD743BD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59" name="Shape 59">
            <a:extLst>
              <a:ext uri="{FF2B5EF4-FFF2-40B4-BE49-F238E27FC236}">
                <a16:creationId xmlns:a16="http://schemas.microsoft.com/office/drawing/2014/main" id="{8A46739A-94CF-D773-035B-8A6C8A205BD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60" name="Shape 60">
            <a:extLst>
              <a:ext uri="{FF2B5EF4-FFF2-40B4-BE49-F238E27FC236}">
                <a16:creationId xmlns:a16="http://schemas.microsoft.com/office/drawing/2014/main" id="{A0DEA50A-8337-245F-1F25-C6DB3C978A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61" name="Shape 61">
            <a:extLst>
              <a:ext uri="{FF2B5EF4-FFF2-40B4-BE49-F238E27FC236}">
                <a16:creationId xmlns:a16="http://schemas.microsoft.com/office/drawing/2014/main" id="{67418CB9-4C56-4F8B-F2B5-BE877C5ADB5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201</xdr:row>
      <xdr:rowOff>160844</xdr:rowOff>
    </xdr:from>
    <xdr:ext cx="33655" cy="33655"/>
    <xdr:grpSp>
      <xdr:nvGrpSpPr>
        <xdr:cNvPr id="3062" name="Group 62">
          <a:extLst>
            <a:ext uri="{FF2B5EF4-FFF2-40B4-BE49-F238E27FC236}">
              <a16:creationId xmlns:a16="http://schemas.microsoft.com/office/drawing/2014/main" id="{3906D464-EAAC-4B85-AACF-EC20B9E770FA}"/>
            </a:ext>
          </a:extLst>
        </xdr:cNvPr>
        <xdr:cNvGrpSpPr/>
      </xdr:nvGrpSpPr>
      <xdr:grpSpPr>
        <a:xfrm>
          <a:off x="4603072" y="38816729"/>
          <a:ext cx="33655" cy="33655"/>
          <a:chOff x="0" y="0"/>
          <a:chExt cx="33655" cy="33655"/>
        </a:xfrm>
      </xdr:grpSpPr>
      <xdr:sp macro="" textlink="">
        <xdr:nvSpPr>
          <xdr:cNvPr id="3063" name="Shape 63">
            <a:extLst>
              <a:ext uri="{FF2B5EF4-FFF2-40B4-BE49-F238E27FC236}">
                <a16:creationId xmlns:a16="http://schemas.microsoft.com/office/drawing/2014/main" id="{DE2BDCE8-3AC3-841E-F918-238B382AE48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64" name="Shape 64">
            <a:extLst>
              <a:ext uri="{FF2B5EF4-FFF2-40B4-BE49-F238E27FC236}">
                <a16:creationId xmlns:a16="http://schemas.microsoft.com/office/drawing/2014/main" id="{27E5F20E-2408-E691-E56B-623059C448E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65" name="Shape 65">
            <a:extLst>
              <a:ext uri="{FF2B5EF4-FFF2-40B4-BE49-F238E27FC236}">
                <a16:creationId xmlns:a16="http://schemas.microsoft.com/office/drawing/2014/main" id="{AF6FEACE-2250-D633-4E58-75C26E5258F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66" name="Shape 66">
            <a:extLst>
              <a:ext uri="{FF2B5EF4-FFF2-40B4-BE49-F238E27FC236}">
                <a16:creationId xmlns:a16="http://schemas.microsoft.com/office/drawing/2014/main" id="{0B3C0F1E-1CBF-6B9E-77B9-4CE782AACFD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67" name="Shape 67">
            <a:extLst>
              <a:ext uri="{FF2B5EF4-FFF2-40B4-BE49-F238E27FC236}">
                <a16:creationId xmlns:a16="http://schemas.microsoft.com/office/drawing/2014/main" id="{7781921A-0D11-F2D4-6B84-AC3E397AF83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68" name="Shape 68">
            <a:extLst>
              <a:ext uri="{FF2B5EF4-FFF2-40B4-BE49-F238E27FC236}">
                <a16:creationId xmlns:a16="http://schemas.microsoft.com/office/drawing/2014/main" id="{C812B999-9F4D-1059-67F9-C033A697B68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69" name="Shape 69">
            <a:extLst>
              <a:ext uri="{FF2B5EF4-FFF2-40B4-BE49-F238E27FC236}">
                <a16:creationId xmlns:a16="http://schemas.microsoft.com/office/drawing/2014/main" id="{6E2BD69C-CE26-9747-C3EB-55F8B8C55F1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70" name="Shape 70">
            <a:extLst>
              <a:ext uri="{FF2B5EF4-FFF2-40B4-BE49-F238E27FC236}">
                <a16:creationId xmlns:a16="http://schemas.microsoft.com/office/drawing/2014/main" id="{C2FDD38E-58BF-BD7F-CE0A-E1E505D01CB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71" name="Shape 71">
            <a:extLst>
              <a:ext uri="{FF2B5EF4-FFF2-40B4-BE49-F238E27FC236}">
                <a16:creationId xmlns:a16="http://schemas.microsoft.com/office/drawing/2014/main" id="{D542C7D3-5EC5-C3C6-18C4-C73EBD0A33B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72" name="Shape 72">
            <a:extLst>
              <a:ext uri="{FF2B5EF4-FFF2-40B4-BE49-F238E27FC236}">
                <a16:creationId xmlns:a16="http://schemas.microsoft.com/office/drawing/2014/main" id="{DA62F67C-330D-0D27-654F-5CEBBE3E13E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73" name="Shape 73">
            <a:extLst>
              <a:ext uri="{FF2B5EF4-FFF2-40B4-BE49-F238E27FC236}">
                <a16:creationId xmlns:a16="http://schemas.microsoft.com/office/drawing/2014/main" id="{309A8355-7464-87E9-8DAA-B5AD6B2A2B5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74" name="Shape 74">
            <a:extLst>
              <a:ext uri="{FF2B5EF4-FFF2-40B4-BE49-F238E27FC236}">
                <a16:creationId xmlns:a16="http://schemas.microsoft.com/office/drawing/2014/main" id="{267391DD-33D9-B8C5-FF39-4F50E997092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75" name="Shape 75">
            <a:extLst>
              <a:ext uri="{FF2B5EF4-FFF2-40B4-BE49-F238E27FC236}">
                <a16:creationId xmlns:a16="http://schemas.microsoft.com/office/drawing/2014/main" id="{BCB92072-7EC9-6378-3E75-3D5F9161764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076" name="Shape 76">
            <a:extLst>
              <a:ext uri="{FF2B5EF4-FFF2-40B4-BE49-F238E27FC236}">
                <a16:creationId xmlns:a16="http://schemas.microsoft.com/office/drawing/2014/main" id="{AEA714A3-2DE4-FB61-7D7F-0C3DE7D8F5C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213</xdr:row>
      <xdr:rowOff>2978</xdr:rowOff>
    </xdr:from>
    <xdr:ext cx="33655" cy="33655"/>
    <xdr:grpSp>
      <xdr:nvGrpSpPr>
        <xdr:cNvPr id="3077" name="Group 2">
          <a:extLst>
            <a:ext uri="{FF2B5EF4-FFF2-40B4-BE49-F238E27FC236}">
              <a16:creationId xmlns:a16="http://schemas.microsoft.com/office/drawing/2014/main" id="{BE2E44E9-6F53-461C-96B6-33AEBB467745}"/>
            </a:ext>
          </a:extLst>
        </xdr:cNvPr>
        <xdr:cNvGrpSpPr/>
      </xdr:nvGrpSpPr>
      <xdr:grpSpPr>
        <a:xfrm>
          <a:off x="4603072" y="40988585"/>
          <a:ext cx="33655" cy="33655"/>
          <a:chOff x="0" y="0"/>
          <a:chExt cx="33655" cy="33655"/>
        </a:xfrm>
      </xdr:grpSpPr>
      <xdr:sp macro="" textlink="">
        <xdr:nvSpPr>
          <xdr:cNvPr id="3078" name="Shape 3">
            <a:extLst>
              <a:ext uri="{FF2B5EF4-FFF2-40B4-BE49-F238E27FC236}">
                <a16:creationId xmlns:a16="http://schemas.microsoft.com/office/drawing/2014/main" id="{C81DC847-75C6-6275-5D88-90E025B2B19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79" name="Shape 4">
            <a:extLst>
              <a:ext uri="{FF2B5EF4-FFF2-40B4-BE49-F238E27FC236}">
                <a16:creationId xmlns:a16="http://schemas.microsoft.com/office/drawing/2014/main" id="{25FE0255-777C-B61B-8C67-D653A46D278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80" name="Shape 5">
            <a:extLst>
              <a:ext uri="{FF2B5EF4-FFF2-40B4-BE49-F238E27FC236}">
                <a16:creationId xmlns:a16="http://schemas.microsoft.com/office/drawing/2014/main" id="{CBD951B2-98E8-00CE-C6C1-5FDDB5FC276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81" name="Shape 6">
            <a:extLst>
              <a:ext uri="{FF2B5EF4-FFF2-40B4-BE49-F238E27FC236}">
                <a16:creationId xmlns:a16="http://schemas.microsoft.com/office/drawing/2014/main" id="{EF2F0198-0400-6328-5F96-6DE25315E9E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82" name="Shape 7">
            <a:extLst>
              <a:ext uri="{FF2B5EF4-FFF2-40B4-BE49-F238E27FC236}">
                <a16:creationId xmlns:a16="http://schemas.microsoft.com/office/drawing/2014/main" id="{6C8D448C-B9BB-3FBE-7A33-5E4E39253AA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83" name="Shape 8">
            <a:extLst>
              <a:ext uri="{FF2B5EF4-FFF2-40B4-BE49-F238E27FC236}">
                <a16:creationId xmlns:a16="http://schemas.microsoft.com/office/drawing/2014/main" id="{2BC9383D-FB12-64B2-CDEB-537CCA1ADC7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84" name="Shape 9">
            <a:extLst>
              <a:ext uri="{FF2B5EF4-FFF2-40B4-BE49-F238E27FC236}">
                <a16:creationId xmlns:a16="http://schemas.microsoft.com/office/drawing/2014/main" id="{292E1551-9325-0611-21F9-0F15818BEC0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85" name="Shape 10">
            <a:extLst>
              <a:ext uri="{FF2B5EF4-FFF2-40B4-BE49-F238E27FC236}">
                <a16:creationId xmlns:a16="http://schemas.microsoft.com/office/drawing/2014/main" id="{38EE75A9-5E6F-C4F3-8B50-0A5CEE5075B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86" name="Shape 11">
            <a:extLst>
              <a:ext uri="{FF2B5EF4-FFF2-40B4-BE49-F238E27FC236}">
                <a16:creationId xmlns:a16="http://schemas.microsoft.com/office/drawing/2014/main" id="{43E436F3-F247-60A3-BA36-CB063E33A3E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87" name="Shape 12">
            <a:extLst>
              <a:ext uri="{FF2B5EF4-FFF2-40B4-BE49-F238E27FC236}">
                <a16:creationId xmlns:a16="http://schemas.microsoft.com/office/drawing/2014/main" id="{B895559E-0F6B-2012-1538-44F2FFE5AA9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88" name="Shape 13">
            <a:extLst>
              <a:ext uri="{FF2B5EF4-FFF2-40B4-BE49-F238E27FC236}">
                <a16:creationId xmlns:a16="http://schemas.microsoft.com/office/drawing/2014/main" id="{D60628E2-6297-7329-CCBE-551C77E9183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89" name="Shape 14">
            <a:extLst>
              <a:ext uri="{FF2B5EF4-FFF2-40B4-BE49-F238E27FC236}">
                <a16:creationId xmlns:a16="http://schemas.microsoft.com/office/drawing/2014/main" id="{FD1B5410-2184-79ED-7B39-DF1B9EE4E17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90" name="Shape 15">
            <a:extLst>
              <a:ext uri="{FF2B5EF4-FFF2-40B4-BE49-F238E27FC236}">
                <a16:creationId xmlns:a16="http://schemas.microsoft.com/office/drawing/2014/main" id="{39F59287-E1EF-DCCE-6DDE-38CBF679252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91" name="Shape 16">
            <a:extLst>
              <a:ext uri="{FF2B5EF4-FFF2-40B4-BE49-F238E27FC236}">
                <a16:creationId xmlns:a16="http://schemas.microsoft.com/office/drawing/2014/main" id="{281C32DC-7D76-3F45-8422-54859FF61F5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213</xdr:row>
      <xdr:rowOff>3246</xdr:rowOff>
    </xdr:from>
    <xdr:ext cx="33655" cy="33655"/>
    <xdr:grpSp>
      <xdr:nvGrpSpPr>
        <xdr:cNvPr id="3092" name="Group 17">
          <a:extLst>
            <a:ext uri="{FF2B5EF4-FFF2-40B4-BE49-F238E27FC236}">
              <a16:creationId xmlns:a16="http://schemas.microsoft.com/office/drawing/2014/main" id="{FCC890FE-A9A3-4E73-A5AE-8B4E648D774C}"/>
            </a:ext>
          </a:extLst>
        </xdr:cNvPr>
        <xdr:cNvGrpSpPr/>
      </xdr:nvGrpSpPr>
      <xdr:grpSpPr>
        <a:xfrm>
          <a:off x="4603072" y="40988853"/>
          <a:ext cx="33655" cy="33655"/>
          <a:chOff x="0" y="0"/>
          <a:chExt cx="33655" cy="33655"/>
        </a:xfrm>
      </xdr:grpSpPr>
      <xdr:sp macro="" textlink="">
        <xdr:nvSpPr>
          <xdr:cNvPr id="3093" name="Shape 18">
            <a:extLst>
              <a:ext uri="{FF2B5EF4-FFF2-40B4-BE49-F238E27FC236}">
                <a16:creationId xmlns:a16="http://schemas.microsoft.com/office/drawing/2014/main" id="{A273F654-7EF8-2B9A-3644-2F55AD350F3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94" name="Shape 19">
            <a:extLst>
              <a:ext uri="{FF2B5EF4-FFF2-40B4-BE49-F238E27FC236}">
                <a16:creationId xmlns:a16="http://schemas.microsoft.com/office/drawing/2014/main" id="{01F23E7B-5F07-5D16-F01A-719B304429C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95" name="Shape 20">
            <a:extLst>
              <a:ext uri="{FF2B5EF4-FFF2-40B4-BE49-F238E27FC236}">
                <a16:creationId xmlns:a16="http://schemas.microsoft.com/office/drawing/2014/main" id="{9324F7EC-FAE5-B897-8830-A83192E61CD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96" name="Shape 21">
            <a:extLst>
              <a:ext uri="{FF2B5EF4-FFF2-40B4-BE49-F238E27FC236}">
                <a16:creationId xmlns:a16="http://schemas.microsoft.com/office/drawing/2014/main" id="{8F0525CB-E434-FCCC-6157-D1BC1443B5C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97" name="Shape 22">
            <a:extLst>
              <a:ext uri="{FF2B5EF4-FFF2-40B4-BE49-F238E27FC236}">
                <a16:creationId xmlns:a16="http://schemas.microsoft.com/office/drawing/2014/main" id="{C992EAD8-81E3-3C76-8EB0-85B7732EC25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098" name="Shape 23">
            <a:extLst>
              <a:ext uri="{FF2B5EF4-FFF2-40B4-BE49-F238E27FC236}">
                <a16:creationId xmlns:a16="http://schemas.microsoft.com/office/drawing/2014/main" id="{7F77DAE0-913B-DCE1-3F2C-D95CC0EA6A9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099" name="Shape 24">
            <a:extLst>
              <a:ext uri="{FF2B5EF4-FFF2-40B4-BE49-F238E27FC236}">
                <a16:creationId xmlns:a16="http://schemas.microsoft.com/office/drawing/2014/main" id="{1B207F78-AD1A-C61B-34B3-7C30384DFF3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00" name="Shape 25">
            <a:extLst>
              <a:ext uri="{FF2B5EF4-FFF2-40B4-BE49-F238E27FC236}">
                <a16:creationId xmlns:a16="http://schemas.microsoft.com/office/drawing/2014/main" id="{75D06504-07E0-C8FD-80FB-6F06B1C3339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01" name="Shape 26">
            <a:extLst>
              <a:ext uri="{FF2B5EF4-FFF2-40B4-BE49-F238E27FC236}">
                <a16:creationId xmlns:a16="http://schemas.microsoft.com/office/drawing/2014/main" id="{0CA33A90-FE0B-140D-1B69-5CCA427706E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02" name="Shape 27">
            <a:extLst>
              <a:ext uri="{FF2B5EF4-FFF2-40B4-BE49-F238E27FC236}">
                <a16:creationId xmlns:a16="http://schemas.microsoft.com/office/drawing/2014/main" id="{7885D982-ACCA-E4D9-1517-83352901D7D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03" name="Shape 28">
            <a:extLst>
              <a:ext uri="{FF2B5EF4-FFF2-40B4-BE49-F238E27FC236}">
                <a16:creationId xmlns:a16="http://schemas.microsoft.com/office/drawing/2014/main" id="{BF80FCBE-A982-23A4-6E1A-F5F16758C36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04" name="Shape 29">
            <a:extLst>
              <a:ext uri="{FF2B5EF4-FFF2-40B4-BE49-F238E27FC236}">
                <a16:creationId xmlns:a16="http://schemas.microsoft.com/office/drawing/2014/main" id="{3D5401CB-B942-A01E-ADB8-ADE063B4296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05" name="Shape 30">
            <a:extLst>
              <a:ext uri="{FF2B5EF4-FFF2-40B4-BE49-F238E27FC236}">
                <a16:creationId xmlns:a16="http://schemas.microsoft.com/office/drawing/2014/main" id="{2550729F-77F3-7B5B-DCB2-BC8A05C247E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06" name="Shape 31">
            <a:extLst>
              <a:ext uri="{FF2B5EF4-FFF2-40B4-BE49-F238E27FC236}">
                <a16:creationId xmlns:a16="http://schemas.microsoft.com/office/drawing/2014/main" id="{EE8FE4F1-24B3-1A9A-880E-AEB37757376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212</xdr:row>
      <xdr:rowOff>160585</xdr:rowOff>
    </xdr:from>
    <xdr:ext cx="33655" cy="33655"/>
    <xdr:grpSp>
      <xdr:nvGrpSpPr>
        <xdr:cNvPr id="3107" name="Group 32">
          <a:extLst>
            <a:ext uri="{FF2B5EF4-FFF2-40B4-BE49-F238E27FC236}">
              <a16:creationId xmlns:a16="http://schemas.microsoft.com/office/drawing/2014/main" id="{5C0AF0DB-C9A8-4030-8A0F-E23B35B4AF13}"/>
            </a:ext>
          </a:extLst>
        </xdr:cNvPr>
        <xdr:cNvGrpSpPr/>
      </xdr:nvGrpSpPr>
      <xdr:grpSpPr>
        <a:xfrm>
          <a:off x="4603072" y="40977552"/>
          <a:ext cx="33655" cy="33655"/>
          <a:chOff x="0" y="0"/>
          <a:chExt cx="33655" cy="33655"/>
        </a:xfrm>
      </xdr:grpSpPr>
      <xdr:sp macro="" textlink="">
        <xdr:nvSpPr>
          <xdr:cNvPr id="3108" name="Shape 33">
            <a:extLst>
              <a:ext uri="{FF2B5EF4-FFF2-40B4-BE49-F238E27FC236}">
                <a16:creationId xmlns:a16="http://schemas.microsoft.com/office/drawing/2014/main" id="{E7C77B06-9191-5E93-6EAF-FB0DEE19795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09" name="Shape 34">
            <a:extLst>
              <a:ext uri="{FF2B5EF4-FFF2-40B4-BE49-F238E27FC236}">
                <a16:creationId xmlns:a16="http://schemas.microsoft.com/office/drawing/2014/main" id="{E0DBE238-BB8C-EDC8-B677-9A1AE15675D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10" name="Shape 35">
            <a:extLst>
              <a:ext uri="{FF2B5EF4-FFF2-40B4-BE49-F238E27FC236}">
                <a16:creationId xmlns:a16="http://schemas.microsoft.com/office/drawing/2014/main" id="{D3E0959A-FCEB-0D59-4B91-27C9CA33A0B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11" name="Shape 36">
            <a:extLst>
              <a:ext uri="{FF2B5EF4-FFF2-40B4-BE49-F238E27FC236}">
                <a16:creationId xmlns:a16="http://schemas.microsoft.com/office/drawing/2014/main" id="{CA10C5D6-082B-0FE7-BB55-38B10ACC881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12" name="Shape 37">
            <a:extLst>
              <a:ext uri="{FF2B5EF4-FFF2-40B4-BE49-F238E27FC236}">
                <a16:creationId xmlns:a16="http://schemas.microsoft.com/office/drawing/2014/main" id="{EC0F4CB6-014F-304B-C46B-65CB1B169D1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13" name="Shape 38">
            <a:extLst>
              <a:ext uri="{FF2B5EF4-FFF2-40B4-BE49-F238E27FC236}">
                <a16:creationId xmlns:a16="http://schemas.microsoft.com/office/drawing/2014/main" id="{84E8ED88-F92C-BD1C-ECD9-EE1AE187B9F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14" name="Shape 39">
            <a:extLst>
              <a:ext uri="{FF2B5EF4-FFF2-40B4-BE49-F238E27FC236}">
                <a16:creationId xmlns:a16="http://schemas.microsoft.com/office/drawing/2014/main" id="{3D4EC193-05C1-9C1F-34B3-EA2E1161514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15" name="Shape 40">
            <a:extLst>
              <a:ext uri="{FF2B5EF4-FFF2-40B4-BE49-F238E27FC236}">
                <a16:creationId xmlns:a16="http://schemas.microsoft.com/office/drawing/2014/main" id="{F7FFE4AA-2896-FE1D-A8B0-47E4BFB73F4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16" name="Shape 41">
            <a:extLst>
              <a:ext uri="{FF2B5EF4-FFF2-40B4-BE49-F238E27FC236}">
                <a16:creationId xmlns:a16="http://schemas.microsoft.com/office/drawing/2014/main" id="{1F3BB1B6-24A4-13BC-6241-7F7D4C4E82E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17" name="Shape 42">
            <a:extLst>
              <a:ext uri="{FF2B5EF4-FFF2-40B4-BE49-F238E27FC236}">
                <a16:creationId xmlns:a16="http://schemas.microsoft.com/office/drawing/2014/main" id="{A983264D-C083-24D4-70D1-5780F613846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18" name="Shape 43">
            <a:extLst>
              <a:ext uri="{FF2B5EF4-FFF2-40B4-BE49-F238E27FC236}">
                <a16:creationId xmlns:a16="http://schemas.microsoft.com/office/drawing/2014/main" id="{31AFA61B-6126-78E7-59CC-DC93A50F816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19" name="Shape 44">
            <a:extLst>
              <a:ext uri="{FF2B5EF4-FFF2-40B4-BE49-F238E27FC236}">
                <a16:creationId xmlns:a16="http://schemas.microsoft.com/office/drawing/2014/main" id="{B45BABF3-BE5A-8144-B8D5-D0C70AD799B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20" name="Shape 45">
            <a:extLst>
              <a:ext uri="{FF2B5EF4-FFF2-40B4-BE49-F238E27FC236}">
                <a16:creationId xmlns:a16="http://schemas.microsoft.com/office/drawing/2014/main" id="{A15152FB-3FF5-0725-329C-9CFF09F6856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21" name="Shape 46">
            <a:extLst>
              <a:ext uri="{FF2B5EF4-FFF2-40B4-BE49-F238E27FC236}">
                <a16:creationId xmlns:a16="http://schemas.microsoft.com/office/drawing/2014/main" id="{F2CC2D31-DC42-2761-45D4-B997CFCC221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213</xdr:row>
      <xdr:rowOff>3409</xdr:rowOff>
    </xdr:from>
    <xdr:ext cx="33655" cy="33655"/>
    <xdr:grpSp>
      <xdr:nvGrpSpPr>
        <xdr:cNvPr id="3122" name="Group 47">
          <a:extLst>
            <a:ext uri="{FF2B5EF4-FFF2-40B4-BE49-F238E27FC236}">
              <a16:creationId xmlns:a16="http://schemas.microsoft.com/office/drawing/2014/main" id="{92444E67-0B11-41DC-82D8-1599362713FF}"/>
            </a:ext>
          </a:extLst>
        </xdr:cNvPr>
        <xdr:cNvGrpSpPr/>
      </xdr:nvGrpSpPr>
      <xdr:grpSpPr>
        <a:xfrm>
          <a:off x="4603072" y="40989016"/>
          <a:ext cx="33655" cy="33655"/>
          <a:chOff x="0" y="0"/>
          <a:chExt cx="33655" cy="33655"/>
        </a:xfrm>
      </xdr:grpSpPr>
      <xdr:sp macro="" textlink="">
        <xdr:nvSpPr>
          <xdr:cNvPr id="3123" name="Shape 48">
            <a:extLst>
              <a:ext uri="{FF2B5EF4-FFF2-40B4-BE49-F238E27FC236}">
                <a16:creationId xmlns:a16="http://schemas.microsoft.com/office/drawing/2014/main" id="{F0843F1B-E0D7-6F3C-00DF-52DF5D6667A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24" name="Shape 49">
            <a:extLst>
              <a:ext uri="{FF2B5EF4-FFF2-40B4-BE49-F238E27FC236}">
                <a16:creationId xmlns:a16="http://schemas.microsoft.com/office/drawing/2014/main" id="{61F67983-4500-CB81-A960-5937B5F61CD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25" name="Shape 50">
            <a:extLst>
              <a:ext uri="{FF2B5EF4-FFF2-40B4-BE49-F238E27FC236}">
                <a16:creationId xmlns:a16="http://schemas.microsoft.com/office/drawing/2014/main" id="{95B3A4B1-230C-0626-5B40-CD839F6DD4E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26" name="Shape 51">
            <a:extLst>
              <a:ext uri="{FF2B5EF4-FFF2-40B4-BE49-F238E27FC236}">
                <a16:creationId xmlns:a16="http://schemas.microsoft.com/office/drawing/2014/main" id="{A6918AC3-8489-3FEE-359C-AB6A6B70EAA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27" name="Shape 52">
            <a:extLst>
              <a:ext uri="{FF2B5EF4-FFF2-40B4-BE49-F238E27FC236}">
                <a16:creationId xmlns:a16="http://schemas.microsoft.com/office/drawing/2014/main" id="{0F9BDB6C-CD43-B51A-64B3-B13690E7BB9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28" name="Shape 53">
            <a:extLst>
              <a:ext uri="{FF2B5EF4-FFF2-40B4-BE49-F238E27FC236}">
                <a16:creationId xmlns:a16="http://schemas.microsoft.com/office/drawing/2014/main" id="{039CDB2B-EB49-CD7A-DF52-2CD575CC8AC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29" name="Shape 54">
            <a:extLst>
              <a:ext uri="{FF2B5EF4-FFF2-40B4-BE49-F238E27FC236}">
                <a16:creationId xmlns:a16="http://schemas.microsoft.com/office/drawing/2014/main" id="{FAB1C8D7-FDAB-B255-D9B9-7376E845445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30" name="Shape 55">
            <a:extLst>
              <a:ext uri="{FF2B5EF4-FFF2-40B4-BE49-F238E27FC236}">
                <a16:creationId xmlns:a16="http://schemas.microsoft.com/office/drawing/2014/main" id="{54F94A89-AEC9-7803-FF3F-80F452BA480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31" name="Shape 56">
            <a:extLst>
              <a:ext uri="{FF2B5EF4-FFF2-40B4-BE49-F238E27FC236}">
                <a16:creationId xmlns:a16="http://schemas.microsoft.com/office/drawing/2014/main" id="{E41C5B5D-390C-B68A-20A1-99B30C41D51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32" name="Shape 57">
            <a:extLst>
              <a:ext uri="{FF2B5EF4-FFF2-40B4-BE49-F238E27FC236}">
                <a16:creationId xmlns:a16="http://schemas.microsoft.com/office/drawing/2014/main" id="{B6F6518A-CD2A-72FB-8771-0F62C8B6B7E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33" name="Shape 58">
            <a:extLst>
              <a:ext uri="{FF2B5EF4-FFF2-40B4-BE49-F238E27FC236}">
                <a16:creationId xmlns:a16="http://schemas.microsoft.com/office/drawing/2014/main" id="{4771247B-8B01-9237-2D9E-BA558F10E85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34" name="Shape 59">
            <a:extLst>
              <a:ext uri="{FF2B5EF4-FFF2-40B4-BE49-F238E27FC236}">
                <a16:creationId xmlns:a16="http://schemas.microsoft.com/office/drawing/2014/main" id="{B75496F9-D60E-6C6F-F31E-855C9CCC9BB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35" name="Shape 60">
            <a:extLst>
              <a:ext uri="{FF2B5EF4-FFF2-40B4-BE49-F238E27FC236}">
                <a16:creationId xmlns:a16="http://schemas.microsoft.com/office/drawing/2014/main" id="{D1C154D2-3C76-6BCA-18D4-3FE94BCEB76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36" name="Shape 61">
            <a:extLst>
              <a:ext uri="{FF2B5EF4-FFF2-40B4-BE49-F238E27FC236}">
                <a16:creationId xmlns:a16="http://schemas.microsoft.com/office/drawing/2014/main" id="{7663FF93-3B6F-C88E-F12B-B721759E997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212</xdr:row>
      <xdr:rowOff>160844</xdr:rowOff>
    </xdr:from>
    <xdr:ext cx="33655" cy="33655"/>
    <xdr:grpSp>
      <xdr:nvGrpSpPr>
        <xdr:cNvPr id="3137" name="Group 62">
          <a:extLst>
            <a:ext uri="{FF2B5EF4-FFF2-40B4-BE49-F238E27FC236}">
              <a16:creationId xmlns:a16="http://schemas.microsoft.com/office/drawing/2014/main" id="{BC542C8B-A79A-4013-B18D-B33E3CA2D732}"/>
            </a:ext>
          </a:extLst>
        </xdr:cNvPr>
        <xdr:cNvGrpSpPr/>
      </xdr:nvGrpSpPr>
      <xdr:grpSpPr>
        <a:xfrm>
          <a:off x="4603072" y="40977811"/>
          <a:ext cx="33655" cy="33655"/>
          <a:chOff x="0" y="0"/>
          <a:chExt cx="33655" cy="33655"/>
        </a:xfrm>
      </xdr:grpSpPr>
      <xdr:sp macro="" textlink="">
        <xdr:nvSpPr>
          <xdr:cNvPr id="3138" name="Shape 63">
            <a:extLst>
              <a:ext uri="{FF2B5EF4-FFF2-40B4-BE49-F238E27FC236}">
                <a16:creationId xmlns:a16="http://schemas.microsoft.com/office/drawing/2014/main" id="{37A1B5B2-313B-7A60-0258-455B99A21B7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39" name="Shape 64">
            <a:extLst>
              <a:ext uri="{FF2B5EF4-FFF2-40B4-BE49-F238E27FC236}">
                <a16:creationId xmlns:a16="http://schemas.microsoft.com/office/drawing/2014/main" id="{E41DBED5-1090-C893-6AD2-E957862C068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140" name="Shape 65">
            <a:extLst>
              <a:ext uri="{FF2B5EF4-FFF2-40B4-BE49-F238E27FC236}">
                <a16:creationId xmlns:a16="http://schemas.microsoft.com/office/drawing/2014/main" id="{0163DBF3-1E83-C126-4E3F-DB883998AE4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41" name="Shape 66">
            <a:extLst>
              <a:ext uri="{FF2B5EF4-FFF2-40B4-BE49-F238E27FC236}">
                <a16:creationId xmlns:a16="http://schemas.microsoft.com/office/drawing/2014/main" id="{7B0B1EF3-DA2F-9D44-D563-BCEBDD6C49E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142" name="Shape 67">
            <a:extLst>
              <a:ext uri="{FF2B5EF4-FFF2-40B4-BE49-F238E27FC236}">
                <a16:creationId xmlns:a16="http://schemas.microsoft.com/office/drawing/2014/main" id="{08C2B6E1-163F-6BEA-AB77-CF4DE103476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43" name="Shape 68">
            <a:extLst>
              <a:ext uri="{FF2B5EF4-FFF2-40B4-BE49-F238E27FC236}">
                <a16:creationId xmlns:a16="http://schemas.microsoft.com/office/drawing/2014/main" id="{4DCBD0CA-950F-6F8E-759A-0741B5DEC90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144" name="Shape 69">
            <a:extLst>
              <a:ext uri="{FF2B5EF4-FFF2-40B4-BE49-F238E27FC236}">
                <a16:creationId xmlns:a16="http://schemas.microsoft.com/office/drawing/2014/main" id="{83840436-E745-0228-364F-149C15D456C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45" name="Shape 70">
            <a:extLst>
              <a:ext uri="{FF2B5EF4-FFF2-40B4-BE49-F238E27FC236}">
                <a16:creationId xmlns:a16="http://schemas.microsoft.com/office/drawing/2014/main" id="{87D64BD3-A2C2-ABBB-0182-CB314003B4B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146" name="Shape 71">
            <a:extLst>
              <a:ext uri="{FF2B5EF4-FFF2-40B4-BE49-F238E27FC236}">
                <a16:creationId xmlns:a16="http://schemas.microsoft.com/office/drawing/2014/main" id="{44C78A81-D7FF-432C-8C2E-D4CBDC56765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47" name="Shape 72">
            <a:extLst>
              <a:ext uri="{FF2B5EF4-FFF2-40B4-BE49-F238E27FC236}">
                <a16:creationId xmlns:a16="http://schemas.microsoft.com/office/drawing/2014/main" id="{AE66F7E6-63E1-FAA8-2A17-BA63459C14F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148" name="Shape 73">
            <a:extLst>
              <a:ext uri="{FF2B5EF4-FFF2-40B4-BE49-F238E27FC236}">
                <a16:creationId xmlns:a16="http://schemas.microsoft.com/office/drawing/2014/main" id="{16335866-13C9-8F11-0755-68EFACD01B4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49" name="Shape 74">
            <a:extLst>
              <a:ext uri="{FF2B5EF4-FFF2-40B4-BE49-F238E27FC236}">
                <a16:creationId xmlns:a16="http://schemas.microsoft.com/office/drawing/2014/main" id="{F8AF8323-55C7-1F55-649B-D63EBCD8CE0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150" name="Shape 75">
            <a:extLst>
              <a:ext uri="{FF2B5EF4-FFF2-40B4-BE49-F238E27FC236}">
                <a16:creationId xmlns:a16="http://schemas.microsoft.com/office/drawing/2014/main" id="{AA0900D7-7B61-E86F-FA46-261DD7C5F8C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151" name="Shape 76">
            <a:extLst>
              <a:ext uri="{FF2B5EF4-FFF2-40B4-BE49-F238E27FC236}">
                <a16:creationId xmlns:a16="http://schemas.microsoft.com/office/drawing/2014/main" id="{82A26DC1-D6AE-A539-FBE8-506419B0C45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224</xdr:row>
      <xdr:rowOff>2978</xdr:rowOff>
    </xdr:from>
    <xdr:ext cx="33655" cy="33655"/>
    <xdr:grpSp>
      <xdr:nvGrpSpPr>
        <xdr:cNvPr id="3152" name="Group 2">
          <a:extLst>
            <a:ext uri="{FF2B5EF4-FFF2-40B4-BE49-F238E27FC236}">
              <a16:creationId xmlns:a16="http://schemas.microsoft.com/office/drawing/2014/main" id="{84B01C9F-9990-4B7D-8CFA-A22ECD37166B}"/>
            </a:ext>
          </a:extLst>
        </xdr:cNvPr>
        <xdr:cNvGrpSpPr/>
      </xdr:nvGrpSpPr>
      <xdr:grpSpPr>
        <a:xfrm>
          <a:off x="4603072" y="43149667"/>
          <a:ext cx="33655" cy="33655"/>
          <a:chOff x="0" y="0"/>
          <a:chExt cx="33655" cy="33655"/>
        </a:xfrm>
      </xdr:grpSpPr>
      <xdr:sp macro="" textlink="">
        <xdr:nvSpPr>
          <xdr:cNvPr id="3153" name="Shape 3">
            <a:extLst>
              <a:ext uri="{FF2B5EF4-FFF2-40B4-BE49-F238E27FC236}">
                <a16:creationId xmlns:a16="http://schemas.microsoft.com/office/drawing/2014/main" id="{BA147BC0-ACC8-8BF3-7AA2-15446C842E1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54" name="Shape 4">
            <a:extLst>
              <a:ext uri="{FF2B5EF4-FFF2-40B4-BE49-F238E27FC236}">
                <a16:creationId xmlns:a16="http://schemas.microsoft.com/office/drawing/2014/main" id="{910DF7DB-3988-515D-857F-CE1C8CFA4F3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55" name="Shape 5">
            <a:extLst>
              <a:ext uri="{FF2B5EF4-FFF2-40B4-BE49-F238E27FC236}">
                <a16:creationId xmlns:a16="http://schemas.microsoft.com/office/drawing/2014/main" id="{D7F1A880-21AF-FB70-43D6-F9A28E7AE94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56" name="Shape 6">
            <a:extLst>
              <a:ext uri="{FF2B5EF4-FFF2-40B4-BE49-F238E27FC236}">
                <a16:creationId xmlns:a16="http://schemas.microsoft.com/office/drawing/2014/main" id="{8BACC727-239C-A557-D732-3AE638BA357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57" name="Shape 7">
            <a:extLst>
              <a:ext uri="{FF2B5EF4-FFF2-40B4-BE49-F238E27FC236}">
                <a16:creationId xmlns:a16="http://schemas.microsoft.com/office/drawing/2014/main" id="{0C5357FA-D611-A290-A6F3-A35782E7E52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58" name="Shape 8">
            <a:extLst>
              <a:ext uri="{FF2B5EF4-FFF2-40B4-BE49-F238E27FC236}">
                <a16:creationId xmlns:a16="http://schemas.microsoft.com/office/drawing/2014/main" id="{F304173E-80C4-DC2C-515F-5E32B11906D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59" name="Shape 9">
            <a:extLst>
              <a:ext uri="{FF2B5EF4-FFF2-40B4-BE49-F238E27FC236}">
                <a16:creationId xmlns:a16="http://schemas.microsoft.com/office/drawing/2014/main" id="{DE3C7DB4-3EFA-AE9C-C016-47624D0CDE8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60" name="Shape 10">
            <a:extLst>
              <a:ext uri="{FF2B5EF4-FFF2-40B4-BE49-F238E27FC236}">
                <a16:creationId xmlns:a16="http://schemas.microsoft.com/office/drawing/2014/main" id="{C12605E2-DE30-8E2F-9CDD-F7353D8BD5B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61" name="Shape 11">
            <a:extLst>
              <a:ext uri="{FF2B5EF4-FFF2-40B4-BE49-F238E27FC236}">
                <a16:creationId xmlns:a16="http://schemas.microsoft.com/office/drawing/2014/main" id="{EA81D9B1-211B-E8E8-36B1-7FA3B8808AE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62" name="Shape 12">
            <a:extLst>
              <a:ext uri="{FF2B5EF4-FFF2-40B4-BE49-F238E27FC236}">
                <a16:creationId xmlns:a16="http://schemas.microsoft.com/office/drawing/2014/main" id="{C5529270-587D-8CD0-0506-5CE4CC15BF5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63" name="Shape 13">
            <a:extLst>
              <a:ext uri="{FF2B5EF4-FFF2-40B4-BE49-F238E27FC236}">
                <a16:creationId xmlns:a16="http://schemas.microsoft.com/office/drawing/2014/main" id="{4C8AFF9D-477B-20E5-814F-4D5BB16C897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64" name="Shape 14">
            <a:extLst>
              <a:ext uri="{FF2B5EF4-FFF2-40B4-BE49-F238E27FC236}">
                <a16:creationId xmlns:a16="http://schemas.microsoft.com/office/drawing/2014/main" id="{42672E77-0BD9-53F5-2F0C-360B7946B96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65" name="Shape 15">
            <a:extLst>
              <a:ext uri="{FF2B5EF4-FFF2-40B4-BE49-F238E27FC236}">
                <a16:creationId xmlns:a16="http://schemas.microsoft.com/office/drawing/2014/main" id="{400E231C-7BD9-9F6E-4F4C-6CC186FACD8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66" name="Shape 16">
            <a:extLst>
              <a:ext uri="{FF2B5EF4-FFF2-40B4-BE49-F238E27FC236}">
                <a16:creationId xmlns:a16="http://schemas.microsoft.com/office/drawing/2014/main" id="{77270F0B-CEFE-DFF3-8BF1-F2FC512B1C9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224</xdr:row>
      <xdr:rowOff>3246</xdr:rowOff>
    </xdr:from>
    <xdr:ext cx="33655" cy="33655"/>
    <xdr:grpSp>
      <xdr:nvGrpSpPr>
        <xdr:cNvPr id="3167" name="Group 17">
          <a:extLst>
            <a:ext uri="{FF2B5EF4-FFF2-40B4-BE49-F238E27FC236}">
              <a16:creationId xmlns:a16="http://schemas.microsoft.com/office/drawing/2014/main" id="{29A6145F-261E-46B6-BFAD-E1DC33CF9C11}"/>
            </a:ext>
          </a:extLst>
        </xdr:cNvPr>
        <xdr:cNvGrpSpPr/>
      </xdr:nvGrpSpPr>
      <xdr:grpSpPr>
        <a:xfrm>
          <a:off x="4603072" y="43149935"/>
          <a:ext cx="33655" cy="33655"/>
          <a:chOff x="0" y="0"/>
          <a:chExt cx="33655" cy="33655"/>
        </a:xfrm>
      </xdr:grpSpPr>
      <xdr:sp macro="" textlink="">
        <xdr:nvSpPr>
          <xdr:cNvPr id="3168" name="Shape 18">
            <a:extLst>
              <a:ext uri="{FF2B5EF4-FFF2-40B4-BE49-F238E27FC236}">
                <a16:creationId xmlns:a16="http://schemas.microsoft.com/office/drawing/2014/main" id="{4D53C4DB-4FD7-57BD-1B00-4BB202D3ABB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69" name="Shape 19">
            <a:extLst>
              <a:ext uri="{FF2B5EF4-FFF2-40B4-BE49-F238E27FC236}">
                <a16:creationId xmlns:a16="http://schemas.microsoft.com/office/drawing/2014/main" id="{9821E501-9251-99B3-1C69-D5D7EC0E7F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70" name="Shape 20">
            <a:extLst>
              <a:ext uri="{FF2B5EF4-FFF2-40B4-BE49-F238E27FC236}">
                <a16:creationId xmlns:a16="http://schemas.microsoft.com/office/drawing/2014/main" id="{3D2593F4-0E0B-3103-42D3-27E34C89C30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71" name="Shape 21">
            <a:extLst>
              <a:ext uri="{FF2B5EF4-FFF2-40B4-BE49-F238E27FC236}">
                <a16:creationId xmlns:a16="http://schemas.microsoft.com/office/drawing/2014/main" id="{0CF253D8-723D-2BD4-4576-921ADA4F398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72" name="Shape 22">
            <a:extLst>
              <a:ext uri="{FF2B5EF4-FFF2-40B4-BE49-F238E27FC236}">
                <a16:creationId xmlns:a16="http://schemas.microsoft.com/office/drawing/2014/main" id="{DDB9834B-6AA2-603E-3FE0-57168935135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73" name="Shape 23">
            <a:extLst>
              <a:ext uri="{FF2B5EF4-FFF2-40B4-BE49-F238E27FC236}">
                <a16:creationId xmlns:a16="http://schemas.microsoft.com/office/drawing/2014/main" id="{5278C39F-EA97-2C69-725D-A77E468DD7A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74" name="Shape 24">
            <a:extLst>
              <a:ext uri="{FF2B5EF4-FFF2-40B4-BE49-F238E27FC236}">
                <a16:creationId xmlns:a16="http://schemas.microsoft.com/office/drawing/2014/main" id="{FE0AF478-3973-C81A-C654-93E17DB9E1A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75" name="Shape 25">
            <a:extLst>
              <a:ext uri="{FF2B5EF4-FFF2-40B4-BE49-F238E27FC236}">
                <a16:creationId xmlns:a16="http://schemas.microsoft.com/office/drawing/2014/main" id="{84B1D0CD-FA27-95DD-D365-5922437001C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76" name="Shape 26">
            <a:extLst>
              <a:ext uri="{FF2B5EF4-FFF2-40B4-BE49-F238E27FC236}">
                <a16:creationId xmlns:a16="http://schemas.microsoft.com/office/drawing/2014/main" id="{D52795B9-D5FF-DE80-69BC-0668B10FC20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77" name="Shape 27">
            <a:extLst>
              <a:ext uri="{FF2B5EF4-FFF2-40B4-BE49-F238E27FC236}">
                <a16:creationId xmlns:a16="http://schemas.microsoft.com/office/drawing/2014/main" id="{66AF8C7C-BF44-CB87-CB9D-06AF4C1933E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78" name="Shape 28">
            <a:extLst>
              <a:ext uri="{FF2B5EF4-FFF2-40B4-BE49-F238E27FC236}">
                <a16:creationId xmlns:a16="http://schemas.microsoft.com/office/drawing/2014/main" id="{97F9D4A7-9EBB-A16A-D3BB-88F25570666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79" name="Shape 29">
            <a:extLst>
              <a:ext uri="{FF2B5EF4-FFF2-40B4-BE49-F238E27FC236}">
                <a16:creationId xmlns:a16="http://schemas.microsoft.com/office/drawing/2014/main" id="{4A00B025-A6D9-1763-6D81-672091661DE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80" name="Shape 30">
            <a:extLst>
              <a:ext uri="{FF2B5EF4-FFF2-40B4-BE49-F238E27FC236}">
                <a16:creationId xmlns:a16="http://schemas.microsoft.com/office/drawing/2014/main" id="{D2E64A8A-E1BF-404B-21F6-B6CD3A82579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81" name="Shape 31">
            <a:extLst>
              <a:ext uri="{FF2B5EF4-FFF2-40B4-BE49-F238E27FC236}">
                <a16:creationId xmlns:a16="http://schemas.microsoft.com/office/drawing/2014/main" id="{64B45211-A51E-1681-5440-B55851C13A0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223</xdr:row>
      <xdr:rowOff>160585</xdr:rowOff>
    </xdr:from>
    <xdr:ext cx="33655" cy="33655"/>
    <xdr:grpSp>
      <xdr:nvGrpSpPr>
        <xdr:cNvPr id="3182" name="Group 32">
          <a:extLst>
            <a:ext uri="{FF2B5EF4-FFF2-40B4-BE49-F238E27FC236}">
              <a16:creationId xmlns:a16="http://schemas.microsoft.com/office/drawing/2014/main" id="{AF3BEF20-11BA-482F-985B-39BA2C36868C}"/>
            </a:ext>
          </a:extLst>
        </xdr:cNvPr>
        <xdr:cNvGrpSpPr/>
      </xdr:nvGrpSpPr>
      <xdr:grpSpPr>
        <a:xfrm>
          <a:off x="4603072" y="43138634"/>
          <a:ext cx="33655" cy="33655"/>
          <a:chOff x="0" y="0"/>
          <a:chExt cx="33655" cy="33655"/>
        </a:xfrm>
      </xdr:grpSpPr>
      <xdr:sp macro="" textlink="">
        <xdr:nvSpPr>
          <xdr:cNvPr id="3183" name="Shape 33">
            <a:extLst>
              <a:ext uri="{FF2B5EF4-FFF2-40B4-BE49-F238E27FC236}">
                <a16:creationId xmlns:a16="http://schemas.microsoft.com/office/drawing/2014/main" id="{3F24A112-FEAF-F3FD-9A5E-85B16FDB67A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84" name="Shape 34">
            <a:extLst>
              <a:ext uri="{FF2B5EF4-FFF2-40B4-BE49-F238E27FC236}">
                <a16:creationId xmlns:a16="http://schemas.microsoft.com/office/drawing/2014/main" id="{D8C8A848-538F-1684-F5A8-C7B40CF22A7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85" name="Shape 35">
            <a:extLst>
              <a:ext uri="{FF2B5EF4-FFF2-40B4-BE49-F238E27FC236}">
                <a16:creationId xmlns:a16="http://schemas.microsoft.com/office/drawing/2014/main" id="{4A135228-7224-0FA6-AE85-9152D16D939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86" name="Shape 36">
            <a:extLst>
              <a:ext uri="{FF2B5EF4-FFF2-40B4-BE49-F238E27FC236}">
                <a16:creationId xmlns:a16="http://schemas.microsoft.com/office/drawing/2014/main" id="{0B2AC0CB-2CBD-FD56-29B8-9802822C02B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87" name="Shape 37">
            <a:extLst>
              <a:ext uri="{FF2B5EF4-FFF2-40B4-BE49-F238E27FC236}">
                <a16:creationId xmlns:a16="http://schemas.microsoft.com/office/drawing/2014/main" id="{C3C02C2B-B292-D676-78DF-875B2403FDD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88" name="Shape 38">
            <a:extLst>
              <a:ext uri="{FF2B5EF4-FFF2-40B4-BE49-F238E27FC236}">
                <a16:creationId xmlns:a16="http://schemas.microsoft.com/office/drawing/2014/main" id="{E19F82C7-D08D-39F6-9192-81CD4F4FCE7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89" name="Shape 39">
            <a:extLst>
              <a:ext uri="{FF2B5EF4-FFF2-40B4-BE49-F238E27FC236}">
                <a16:creationId xmlns:a16="http://schemas.microsoft.com/office/drawing/2014/main" id="{F89C3ABA-B04F-54DB-9B7C-B27B30B01A4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90" name="Shape 40">
            <a:extLst>
              <a:ext uri="{FF2B5EF4-FFF2-40B4-BE49-F238E27FC236}">
                <a16:creationId xmlns:a16="http://schemas.microsoft.com/office/drawing/2014/main" id="{A5F5710E-DFD8-A9C3-B30D-6C4242BA1FF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91" name="Shape 41">
            <a:extLst>
              <a:ext uri="{FF2B5EF4-FFF2-40B4-BE49-F238E27FC236}">
                <a16:creationId xmlns:a16="http://schemas.microsoft.com/office/drawing/2014/main" id="{1FCE88D7-8F65-56AC-CF87-AF9D142007B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92" name="Shape 42">
            <a:extLst>
              <a:ext uri="{FF2B5EF4-FFF2-40B4-BE49-F238E27FC236}">
                <a16:creationId xmlns:a16="http://schemas.microsoft.com/office/drawing/2014/main" id="{CE72A5DA-1F63-D91C-E84F-C93C3F65AFA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93" name="Shape 43">
            <a:extLst>
              <a:ext uri="{FF2B5EF4-FFF2-40B4-BE49-F238E27FC236}">
                <a16:creationId xmlns:a16="http://schemas.microsoft.com/office/drawing/2014/main" id="{7A3A2650-F9B8-E26B-2993-4765BB63E41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94" name="Shape 44">
            <a:extLst>
              <a:ext uri="{FF2B5EF4-FFF2-40B4-BE49-F238E27FC236}">
                <a16:creationId xmlns:a16="http://schemas.microsoft.com/office/drawing/2014/main" id="{9A77D6AC-B354-700F-1678-D9D30AD220B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95" name="Shape 45">
            <a:extLst>
              <a:ext uri="{FF2B5EF4-FFF2-40B4-BE49-F238E27FC236}">
                <a16:creationId xmlns:a16="http://schemas.microsoft.com/office/drawing/2014/main" id="{501DD01E-668F-DC6C-F5C2-F0A7E0FBF32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196" name="Shape 46">
            <a:extLst>
              <a:ext uri="{FF2B5EF4-FFF2-40B4-BE49-F238E27FC236}">
                <a16:creationId xmlns:a16="http://schemas.microsoft.com/office/drawing/2014/main" id="{9C495F4D-B2CD-FEEA-088F-126C9BE6802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224</xdr:row>
      <xdr:rowOff>3409</xdr:rowOff>
    </xdr:from>
    <xdr:ext cx="33655" cy="33655"/>
    <xdr:grpSp>
      <xdr:nvGrpSpPr>
        <xdr:cNvPr id="3197" name="Group 47">
          <a:extLst>
            <a:ext uri="{FF2B5EF4-FFF2-40B4-BE49-F238E27FC236}">
              <a16:creationId xmlns:a16="http://schemas.microsoft.com/office/drawing/2014/main" id="{9A5494D9-CAEA-48A2-94E6-0E027BCDED44}"/>
            </a:ext>
          </a:extLst>
        </xdr:cNvPr>
        <xdr:cNvGrpSpPr/>
      </xdr:nvGrpSpPr>
      <xdr:grpSpPr>
        <a:xfrm>
          <a:off x="4603072" y="43150098"/>
          <a:ext cx="33655" cy="33655"/>
          <a:chOff x="0" y="0"/>
          <a:chExt cx="33655" cy="33655"/>
        </a:xfrm>
      </xdr:grpSpPr>
      <xdr:sp macro="" textlink="">
        <xdr:nvSpPr>
          <xdr:cNvPr id="3198" name="Shape 48">
            <a:extLst>
              <a:ext uri="{FF2B5EF4-FFF2-40B4-BE49-F238E27FC236}">
                <a16:creationId xmlns:a16="http://schemas.microsoft.com/office/drawing/2014/main" id="{1AF6C02D-AB2E-CFAF-3163-0F1329B37EC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199" name="Shape 49">
            <a:extLst>
              <a:ext uri="{FF2B5EF4-FFF2-40B4-BE49-F238E27FC236}">
                <a16:creationId xmlns:a16="http://schemas.microsoft.com/office/drawing/2014/main" id="{D8899012-CF0A-7848-DE32-E2B11AF83D2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00" name="Shape 50">
            <a:extLst>
              <a:ext uri="{FF2B5EF4-FFF2-40B4-BE49-F238E27FC236}">
                <a16:creationId xmlns:a16="http://schemas.microsoft.com/office/drawing/2014/main" id="{1D78DA4F-41BF-CC4A-F6C5-4D5B61B6B86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01" name="Shape 51">
            <a:extLst>
              <a:ext uri="{FF2B5EF4-FFF2-40B4-BE49-F238E27FC236}">
                <a16:creationId xmlns:a16="http://schemas.microsoft.com/office/drawing/2014/main" id="{9C643ECC-876B-B642-9CF8-9079686719E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02" name="Shape 52">
            <a:extLst>
              <a:ext uri="{FF2B5EF4-FFF2-40B4-BE49-F238E27FC236}">
                <a16:creationId xmlns:a16="http://schemas.microsoft.com/office/drawing/2014/main" id="{371E2576-6184-8406-08B7-7D4C223E97E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03" name="Shape 53">
            <a:extLst>
              <a:ext uri="{FF2B5EF4-FFF2-40B4-BE49-F238E27FC236}">
                <a16:creationId xmlns:a16="http://schemas.microsoft.com/office/drawing/2014/main" id="{33F8D2FF-3799-C5D1-31F4-C043DA7E1CD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04" name="Shape 54">
            <a:extLst>
              <a:ext uri="{FF2B5EF4-FFF2-40B4-BE49-F238E27FC236}">
                <a16:creationId xmlns:a16="http://schemas.microsoft.com/office/drawing/2014/main" id="{596FD590-54C1-FB67-102B-1B29B8DBFEA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05" name="Shape 55">
            <a:extLst>
              <a:ext uri="{FF2B5EF4-FFF2-40B4-BE49-F238E27FC236}">
                <a16:creationId xmlns:a16="http://schemas.microsoft.com/office/drawing/2014/main" id="{7E1C5992-F1ED-699D-909D-1AE1591C797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06" name="Shape 56">
            <a:extLst>
              <a:ext uri="{FF2B5EF4-FFF2-40B4-BE49-F238E27FC236}">
                <a16:creationId xmlns:a16="http://schemas.microsoft.com/office/drawing/2014/main" id="{75D75BDF-DFA6-144A-7B42-0B9C39499F2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07" name="Shape 57">
            <a:extLst>
              <a:ext uri="{FF2B5EF4-FFF2-40B4-BE49-F238E27FC236}">
                <a16:creationId xmlns:a16="http://schemas.microsoft.com/office/drawing/2014/main" id="{54E34DD4-84A0-033D-9AC6-FA97DC35AAB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08" name="Shape 58">
            <a:extLst>
              <a:ext uri="{FF2B5EF4-FFF2-40B4-BE49-F238E27FC236}">
                <a16:creationId xmlns:a16="http://schemas.microsoft.com/office/drawing/2014/main" id="{6E2D996A-F215-9151-A819-449A2555C7F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09" name="Shape 59">
            <a:extLst>
              <a:ext uri="{FF2B5EF4-FFF2-40B4-BE49-F238E27FC236}">
                <a16:creationId xmlns:a16="http://schemas.microsoft.com/office/drawing/2014/main" id="{E6EC9CE1-A5D0-162B-4896-56E8EEB2193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10" name="Shape 60">
            <a:extLst>
              <a:ext uri="{FF2B5EF4-FFF2-40B4-BE49-F238E27FC236}">
                <a16:creationId xmlns:a16="http://schemas.microsoft.com/office/drawing/2014/main" id="{BE8DC498-BB27-F4FB-61F8-DD33B2E29DA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11" name="Shape 61">
            <a:extLst>
              <a:ext uri="{FF2B5EF4-FFF2-40B4-BE49-F238E27FC236}">
                <a16:creationId xmlns:a16="http://schemas.microsoft.com/office/drawing/2014/main" id="{67C5D83D-9768-79F0-1BB8-7E0B6070452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223</xdr:row>
      <xdr:rowOff>160844</xdr:rowOff>
    </xdr:from>
    <xdr:ext cx="33655" cy="33655"/>
    <xdr:grpSp>
      <xdr:nvGrpSpPr>
        <xdr:cNvPr id="3212" name="Group 62">
          <a:extLst>
            <a:ext uri="{FF2B5EF4-FFF2-40B4-BE49-F238E27FC236}">
              <a16:creationId xmlns:a16="http://schemas.microsoft.com/office/drawing/2014/main" id="{C5060718-F5C9-45DC-BF2D-6C6FC7D51F21}"/>
            </a:ext>
          </a:extLst>
        </xdr:cNvPr>
        <xdr:cNvGrpSpPr/>
      </xdr:nvGrpSpPr>
      <xdr:grpSpPr>
        <a:xfrm>
          <a:off x="4603072" y="43138893"/>
          <a:ext cx="33655" cy="33655"/>
          <a:chOff x="0" y="0"/>
          <a:chExt cx="33655" cy="33655"/>
        </a:xfrm>
      </xdr:grpSpPr>
      <xdr:sp macro="" textlink="">
        <xdr:nvSpPr>
          <xdr:cNvPr id="3213" name="Shape 63">
            <a:extLst>
              <a:ext uri="{FF2B5EF4-FFF2-40B4-BE49-F238E27FC236}">
                <a16:creationId xmlns:a16="http://schemas.microsoft.com/office/drawing/2014/main" id="{57A0CC21-62C4-03E2-DED2-27393E359CC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14" name="Shape 64">
            <a:extLst>
              <a:ext uri="{FF2B5EF4-FFF2-40B4-BE49-F238E27FC236}">
                <a16:creationId xmlns:a16="http://schemas.microsoft.com/office/drawing/2014/main" id="{67CAE96D-40A4-02DB-54E4-748D2FC2682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15" name="Shape 65">
            <a:extLst>
              <a:ext uri="{FF2B5EF4-FFF2-40B4-BE49-F238E27FC236}">
                <a16:creationId xmlns:a16="http://schemas.microsoft.com/office/drawing/2014/main" id="{C3D5E9BC-BC79-AB04-412C-1922B348499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16" name="Shape 66">
            <a:extLst>
              <a:ext uri="{FF2B5EF4-FFF2-40B4-BE49-F238E27FC236}">
                <a16:creationId xmlns:a16="http://schemas.microsoft.com/office/drawing/2014/main" id="{3EC1F563-3128-8E2B-B70A-5790F115B18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17" name="Shape 67">
            <a:extLst>
              <a:ext uri="{FF2B5EF4-FFF2-40B4-BE49-F238E27FC236}">
                <a16:creationId xmlns:a16="http://schemas.microsoft.com/office/drawing/2014/main" id="{FAF13986-860D-002A-358F-9F177E6117E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18" name="Shape 68">
            <a:extLst>
              <a:ext uri="{FF2B5EF4-FFF2-40B4-BE49-F238E27FC236}">
                <a16:creationId xmlns:a16="http://schemas.microsoft.com/office/drawing/2014/main" id="{FE9C6436-B007-A605-04C6-630E7985E42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19" name="Shape 69">
            <a:extLst>
              <a:ext uri="{FF2B5EF4-FFF2-40B4-BE49-F238E27FC236}">
                <a16:creationId xmlns:a16="http://schemas.microsoft.com/office/drawing/2014/main" id="{653DF306-ACA0-180F-2018-5FD0E3DBA09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20" name="Shape 70">
            <a:extLst>
              <a:ext uri="{FF2B5EF4-FFF2-40B4-BE49-F238E27FC236}">
                <a16:creationId xmlns:a16="http://schemas.microsoft.com/office/drawing/2014/main" id="{F7C7BB32-BB67-7469-B27F-D9ADE2D764C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21" name="Shape 71">
            <a:extLst>
              <a:ext uri="{FF2B5EF4-FFF2-40B4-BE49-F238E27FC236}">
                <a16:creationId xmlns:a16="http://schemas.microsoft.com/office/drawing/2014/main" id="{C15FE752-0F2B-85E7-E1DB-2788082D6F1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22" name="Shape 72">
            <a:extLst>
              <a:ext uri="{FF2B5EF4-FFF2-40B4-BE49-F238E27FC236}">
                <a16:creationId xmlns:a16="http://schemas.microsoft.com/office/drawing/2014/main" id="{CDEEF5C7-9B30-00BD-0584-C8F61B0555C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23" name="Shape 73">
            <a:extLst>
              <a:ext uri="{FF2B5EF4-FFF2-40B4-BE49-F238E27FC236}">
                <a16:creationId xmlns:a16="http://schemas.microsoft.com/office/drawing/2014/main" id="{6BFEFAA7-48FB-BF6A-E942-DC716AB7503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24" name="Shape 74">
            <a:extLst>
              <a:ext uri="{FF2B5EF4-FFF2-40B4-BE49-F238E27FC236}">
                <a16:creationId xmlns:a16="http://schemas.microsoft.com/office/drawing/2014/main" id="{3215CC06-4EAF-83F9-4147-206F692BEF0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25" name="Shape 75">
            <a:extLst>
              <a:ext uri="{FF2B5EF4-FFF2-40B4-BE49-F238E27FC236}">
                <a16:creationId xmlns:a16="http://schemas.microsoft.com/office/drawing/2014/main" id="{26D2F14A-7CF1-E3BE-D94D-5BD405D16F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26" name="Shape 76">
            <a:extLst>
              <a:ext uri="{FF2B5EF4-FFF2-40B4-BE49-F238E27FC236}">
                <a16:creationId xmlns:a16="http://schemas.microsoft.com/office/drawing/2014/main" id="{DB317B21-42CB-A0B1-8976-73A2BABA746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235</xdr:row>
      <xdr:rowOff>2978</xdr:rowOff>
    </xdr:from>
    <xdr:ext cx="33655" cy="33655"/>
    <xdr:grpSp>
      <xdr:nvGrpSpPr>
        <xdr:cNvPr id="3227" name="Group 2">
          <a:extLst>
            <a:ext uri="{FF2B5EF4-FFF2-40B4-BE49-F238E27FC236}">
              <a16:creationId xmlns:a16="http://schemas.microsoft.com/office/drawing/2014/main" id="{4EA2DA40-7022-445B-A471-D91E91424CAF}"/>
            </a:ext>
          </a:extLst>
        </xdr:cNvPr>
        <xdr:cNvGrpSpPr/>
      </xdr:nvGrpSpPr>
      <xdr:grpSpPr>
        <a:xfrm>
          <a:off x="4603072" y="45310748"/>
          <a:ext cx="33655" cy="33655"/>
          <a:chOff x="0" y="0"/>
          <a:chExt cx="33655" cy="33655"/>
        </a:xfrm>
      </xdr:grpSpPr>
      <xdr:sp macro="" textlink="">
        <xdr:nvSpPr>
          <xdr:cNvPr id="3228" name="Shape 3">
            <a:extLst>
              <a:ext uri="{FF2B5EF4-FFF2-40B4-BE49-F238E27FC236}">
                <a16:creationId xmlns:a16="http://schemas.microsoft.com/office/drawing/2014/main" id="{D845432A-B571-49C2-421D-E1970512DD0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29" name="Shape 4">
            <a:extLst>
              <a:ext uri="{FF2B5EF4-FFF2-40B4-BE49-F238E27FC236}">
                <a16:creationId xmlns:a16="http://schemas.microsoft.com/office/drawing/2014/main" id="{75415450-A551-453C-7EE6-E0B801982D6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30" name="Shape 5">
            <a:extLst>
              <a:ext uri="{FF2B5EF4-FFF2-40B4-BE49-F238E27FC236}">
                <a16:creationId xmlns:a16="http://schemas.microsoft.com/office/drawing/2014/main" id="{A83A9612-B368-5B02-64B7-BDD46317EEA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31" name="Shape 6">
            <a:extLst>
              <a:ext uri="{FF2B5EF4-FFF2-40B4-BE49-F238E27FC236}">
                <a16:creationId xmlns:a16="http://schemas.microsoft.com/office/drawing/2014/main" id="{D0174FD3-57A0-A5FC-1122-032ABE3056F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32" name="Shape 7">
            <a:extLst>
              <a:ext uri="{FF2B5EF4-FFF2-40B4-BE49-F238E27FC236}">
                <a16:creationId xmlns:a16="http://schemas.microsoft.com/office/drawing/2014/main" id="{4C01C61E-313E-CB0F-F674-15C04084ECB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33" name="Shape 8">
            <a:extLst>
              <a:ext uri="{FF2B5EF4-FFF2-40B4-BE49-F238E27FC236}">
                <a16:creationId xmlns:a16="http://schemas.microsoft.com/office/drawing/2014/main" id="{506BF77A-4C6A-A79C-0231-E4D29EF5A15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34" name="Shape 9">
            <a:extLst>
              <a:ext uri="{FF2B5EF4-FFF2-40B4-BE49-F238E27FC236}">
                <a16:creationId xmlns:a16="http://schemas.microsoft.com/office/drawing/2014/main" id="{842F180E-3441-A1B3-3F66-96200634BAF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35" name="Shape 10">
            <a:extLst>
              <a:ext uri="{FF2B5EF4-FFF2-40B4-BE49-F238E27FC236}">
                <a16:creationId xmlns:a16="http://schemas.microsoft.com/office/drawing/2014/main" id="{3CA3E5C6-7D2F-F731-A873-663BA90AE16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36" name="Shape 11">
            <a:extLst>
              <a:ext uri="{FF2B5EF4-FFF2-40B4-BE49-F238E27FC236}">
                <a16:creationId xmlns:a16="http://schemas.microsoft.com/office/drawing/2014/main" id="{DD3DA318-9F7C-6442-3763-093293C3766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37" name="Shape 12">
            <a:extLst>
              <a:ext uri="{FF2B5EF4-FFF2-40B4-BE49-F238E27FC236}">
                <a16:creationId xmlns:a16="http://schemas.microsoft.com/office/drawing/2014/main" id="{AB2836FD-6E19-F43F-1C24-9371936E387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38" name="Shape 13">
            <a:extLst>
              <a:ext uri="{FF2B5EF4-FFF2-40B4-BE49-F238E27FC236}">
                <a16:creationId xmlns:a16="http://schemas.microsoft.com/office/drawing/2014/main" id="{69BBD0B1-3A16-9840-0F5A-FB3B0731F7F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39" name="Shape 14">
            <a:extLst>
              <a:ext uri="{FF2B5EF4-FFF2-40B4-BE49-F238E27FC236}">
                <a16:creationId xmlns:a16="http://schemas.microsoft.com/office/drawing/2014/main" id="{0D0DC7D7-5335-FFDD-445C-CC098DF4856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40" name="Shape 15">
            <a:extLst>
              <a:ext uri="{FF2B5EF4-FFF2-40B4-BE49-F238E27FC236}">
                <a16:creationId xmlns:a16="http://schemas.microsoft.com/office/drawing/2014/main" id="{659FB3EC-EC63-9031-420A-4825C2CFA5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41" name="Shape 16">
            <a:extLst>
              <a:ext uri="{FF2B5EF4-FFF2-40B4-BE49-F238E27FC236}">
                <a16:creationId xmlns:a16="http://schemas.microsoft.com/office/drawing/2014/main" id="{F9F6891B-0CB8-56C7-B00E-DC0479E55B3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235</xdr:row>
      <xdr:rowOff>3246</xdr:rowOff>
    </xdr:from>
    <xdr:ext cx="33655" cy="33655"/>
    <xdr:grpSp>
      <xdr:nvGrpSpPr>
        <xdr:cNvPr id="3242" name="Group 17">
          <a:extLst>
            <a:ext uri="{FF2B5EF4-FFF2-40B4-BE49-F238E27FC236}">
              <a16:creationId xmlns:a16="http://schemas.microsoft.com/office/drawing/2014/main" id="{AD99E7E7-6FF4-4CB3-BE1F-6FA2E1871214}"/>
            </a:ext>
          </a:extLst>
        </xdr:cNvPr>
        <xdr:cNvGrpSpPr/>
      </xdr:nvGrpSpPr>
      <xdr:grpSpPr>
        <a:xfrm>
          <a:off x="4603072" y="45311016"/>
          <a:ext cx="33655" cy="33655"/>
          <a:chOff x="0" y="0"/>
          <a:chExt cx="33655" cy="33655"/>
        </a:xfrm>
      </xdr:grpSpPr>
      <xdr:sp macro="" textlink="">
        <xdr:nvSpPr>
          <xdr:cNvPr id="3243" name="Shape 18">
            <a:extLst>
              <a:ext uri="{FF2B5EF4-FFF2-40B4-BE49-F238E27FC236}">
                <a16:creationId xmlns:a16="http://schemas.microsoft.com/office/drawing/2014/main" id="{5FF23ECB-2A8E-2D7D-62FF-89C924B96D4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44" name="Shape 19">
            <a:extLst>
              <a:ext uri="{FF2B5EF4-FFF2-40B4-BE49-F238E27FC236}">
                <a16:creationId xmlns:a16="http://schemas.microsoft.com/office/drawing/2014/main" id="{C2EB74B4-CA03-B445-7892-F02FA14E68E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45" name="Shape 20">
            <a:extLst>
              <a:ext uri="{FF2B5EF4-FFF2-40B4-BE49-F238E27FC236}">
                <a16:creationId xmlns:a16="http://schemas.microsoft.com/office/drawing/2014/main" id="{8A5F11B5-8061-0142-DE47-E28499EC0EA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46" name="Shape 21">
            <a:extLst>
              <a:ext uri="{FF2B5EF4-FFF2-40B4-BE49-F238E27FC236}">
                <a16:creationId xmlns:a16="http://schemas.microsoft.com/office/drawing/2014/main" id="{EF5EB30F-80EF-44A4-8F0F-F2BF7CCE409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47" name="Shape 22">
            <a:extLst>
              <a:ext uri="{FF2B5EF4-FFF2-40B4-BE49-F238E27FC236}">
                <a16:creationId xmlns:a16="http://schemas.microsoft.com/office/drawing/2014/main" id="{B2C7B99D-5C5C-A6B0-D416-A4189E160D6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48" name="Shape 23">
            <a:extLst>
              <a:ext uri="{FF2B5EF4-FFF2-40B4-BE49-F238E27FC236}">
                <a16:creationId xmlns:a16="http://schemas.microsoft.com/office/drawing/2014/main" id="{58153973-4B1D-1512-7636-9586E318338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49" name="Shape 24">
            <a:extLst>
              <a:ext uri="{FF2B5EF4-FFF2-40B4-BE49-F238E27FC236}">
                <a16:creationId xmlns:a16="http://schemas.microsoft.com/office/drawing/2014/main" id="{9A19FD59-5F14-3B8C-F453-1E17DFC016E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50" name="Shape 25">
            <a:extLst>
              <a:ext uri="{FF2B5EF4-FFF2-40B4-BE49-F238E27FC236}">
                <a16:creationId xmlns:a16="http://schemas.microsoft.com/office/drawing/2014/main" id="{5FF9FB0B-9B23-8145-6844-E3E8D06761B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51" name="Shape 26">
            <a:extLst>
              <a:ext uri="{FF2B5EF4-FFF2-40B4-BE49-F238E27FC236}">
                <a16:creationId xmlns:a16="http://schemas.microsoft.com/office/drawing/2014/main" id="{72D4B90E-6B47-1BAA-CFE9-BCD21B72119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52" name="Shape 27">
            <a:extLst>
              <a:ext uri="{FF2B5EF4-FFF2-40B4-BE49-F238E27FC236}">
                <a16:creationId xmlns:a16="http://schemas.microsoft.com/office/drawing/2014/main" id="{E9461389-7B2A-F3D2-11DC-8C7FF5F21A1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53" name="Shape 28">
            <a:extLst>
              <a:ext uri="{FF2B5EF4-FFF2-40B4-BE49-F238E27FC236}">
                <a16:creationId xmlns:a16="http://schemas.microsoft.com/office/drawing/2014/main" id="{CF1EB2D6-7094-8DE1-BFFA-BEEC6B865B5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54" name="Shape 29">
            <a:extLst>
              <a:ext uri="{FF2B5EF4-FFF2-40B4-BE49-F238E27FC236}">
                <a16:creationId xmlns:a16="http://schemas.microsoft.com/office/drawing/2014/main" id="{097CC1B3-A759-71A8-9AA2-DFF7D6A134B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55" name="Shape 30">
            <a:extLst>
              <a:ext uri="{FF2B5EF4-FFF2-40B4-BE49-F238E27FC236}">
                <a16:creationId xmlns:a16="http://schemas.microsoft.com/office/drawing/2014/main" id="{CEBC941A-1FA1-9519-55F7-019F1D7F8A4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56" name="Shape 31">
            <a:extLst>
              <a:ext uri="{FF2B5EF4-FFF2-40B4-BE49-F238E27FC236}">
                <a16:creationId xmlns:a16="http://schemas.microsoft.com/office/drawing/2014/main" id="{B7E76B5A-155F-DB45-A878-A7292CF737D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234</xdr:row>
      <xdr:rowOff>160585</xdr:rowOff>
    </xdr:from>
    <xdr:ext cx="33655" cy="33655"/>
    <xdr:grpSp>
      <xdr:nvGrpSpPr>
        <xdr:cNvPr id="3257" name="Group 32">
          <a:extLst>
            <a:ext uri="{FF2B5EF4-FFF2-40B4-BE49-F238E27FC236}">
              <a16:creationId xmlns:a16="http://schemas.microsoft.com/office/drawing/2014/main" id="{33E2425C-4D9A-411C-9944-7E7B1422BE26}"/>
            </a:ext>
          </a:extLst>
        </xdr:cNvPr>
        <xdr:cNvGrpSpPr/>
      </xdr:nvGrpSpPr>
      <xdr:grpSpPr>
        <a:xfrm>
          <a:off x="4603072" y="45299716"/>
          <a:ext cx="33655" cy="33655"/>
          <a:chOff x="0" y="0"/>
          <a:chExt cx="33655" cy="33655"/>
        </a:xfrm>
      </xdr:grpSpPr>
      <xdr:sp macro="" textlink="">
        <xdr:nvSpPr>
          <xdr:cNvPr id="3258" name="Shape 33">
            <a:extLst>
              <a:ext uri="{FF2B5EF4-FFF2-40B4-BE49-F238E27FC236}">
                <a16:creationId xmlns:a16="http://schemas.microsoft.com/office/drawing/2014/main" id="{FE148FE7-ACE2-674E-D071-4269D13A5DC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59" name="Shape 34">
            <a:extLst>
              <a:ext uri="{FF2B5EF4-FFF2-40B4-BE49-F238E27FC236}">
                <a16:creationId xmlns:a16="http://schemas.microsoft.com/office/drawing/2014/main" id="{F6AA2F2B-FF1B-D3A3-11C5-BA60A705B85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60" name="Shape 35">
            <a:extLst>
              <a:ext uri="{FF2B5EF4-FFF2-40B4-BE49-F238E27FC236}">
                <a16:creationId xmlns:a16="http://schemas.microsoft.com/office/drawing/2014/main" id="{F8F2F58F-4946-1823-6262-96D8FDB4C75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61" name="Shape 36">
            <a:extLst>
              <a:ext uri="{FF2B5EF4-FFF2-40B4-BE49-F238E27FC236}">
                <a16:creationId xmlns:a16="http://schemas.microsoft.com/office/drawing/2014/main" id="{C21CCBCB-3138-5A76-A95C-304DDB417F4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62" name="Shape 37">
            <a:extLst>
              <a:ext uri="{FF2B5EF4-FFF2-40B4-BE49-F238E27FC236}">
                <a16:creationId xmlns:a16="http://schemas.microsoft.com/office/drawing/2014/main" id="{7AD9D784-4318-7EF7-51C3-B867D2377EE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63" name="Shape 38">
            <a:extLst>
              <a:ext uri="{FF2B5EF4-FFF2-40B4-BE49-F238E27FC236}">
                <a16:creationId xmlns:a16="http://schemas.microsoft.com/office/drawing/2014/main" id="{70E5248A-86D8-2F6C-5B93-1D04D7E6B14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64" name="Shape 39">
            <a:extLst>
              <a:ext uri="{FF2B5EF4-FFF2-40B4-BE49-F238E27FC236}">
                <a16:creationId xmlns:a16="http://schemas.microsoft.com/office/drawing/2014/main" id="{70BB4A58-6292-8CB7-F00D-2CBF44DA012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65" name="Shape 40">
            <a:extLst>
              <a:ext uri="{FF2B5EF4-FFF2-40B4-BE49-F238E27FC236}">
                <a16:creationId xmlns:a16="http://schemas.microsoft.com/office/drawing/2014/main" id="{52BBEDA8-CBFB-79CE-D65B-EAB281EF37B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66" name="Shape 41">
            <a:extLst>
              <a:ext uri="{FF2B5EF4-FFF2-40B4-BE49-F238E27FC236}">
                <a16:creationId xmlns:a16="http://schemas.microsoft.com/office/drawing/2014/main" id="{C217F800-AD12-1AE6-8BF1-627D75566A6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67" name="Shape 42">
            <a:extLst>
              <a:ext uri="{FF2B5EF4-FFF2-40B4-BE49-F238E27FC236}">
                <a16:creationId xmlns:a16="http://schemas.microsoft.com/office/drawing/2014/main" id="{87C0779C-9607-6948-5229-40C680911D8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68" name="Shape 43">
            <a:extLst>
              <a:ext uri="{FF2B5EF4-FFF2-40B4-BE49-F238E27FC236}">
                <a16:creationId xmlns:a16="http://schemas.microsoft.com/office/drawing/2014/main" id="{3785D137-4647-2782-40FF-2AC1A4BF89A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69" name="Shape 44">
            <a:extLst>
              <a:ext uri="{FF2B5EF4-FFF2-40B4-BE49-F238E27FC236}">
                <a16:creationId xmlns:a16="http://schemas.microsoft.com/office/drawing/2014/main" id="{BA2A812D-C500-42BB-6DB5-BD118A5BDF8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70" name="Shape 45">
            <a:extLst>
              <a:ext uri="{FF2B5EF4-FFF2-40B4-BE49-F238E27FC236}">
                <a16:creationId xmlns:a16="http://schemas.microsoft.com/office/drawing/2014/main" id="{B806087D-C823-0E86-B4D9-AB94303C0F4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71" name="Shape 46">
            <a:extLst>
              <a:ext uri="{FF2B5EF4-FFF2-40B4-BE49-F238E27FC236}">
                <a16:creationId xmlns:a16="http://schemas.microsoft.com/office/drawing/2014/main" id="{D4A4A110-9E04-7395-8449-57884271646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235</xdr:row>
      <xdr:rowOff>3409</xdr:rowOff>
    </xdr:from>
    <xdr:ext cx="33655" cy="33655"/>
    <xdr:grpSp>
      <xdr:nvGrpSpPr>
        <xdr:cNvPr id="3272" name="Group 47">
          <a:extLst>
            <a:ext uri="{FF2B5EF4-FFF2-40B4-BE49-F238E27FC236}">
              <a16:creationId xmlns:a16="http://schemas.microsoft.com/office/drawing/2014/main" id="{FA64B2F8-1833-4612-AE7D-6D7E8F433330}"/>
            </a:ext>
          </a:extLst>
        </xdr:cNvPr>
        <xdr:cNvGrpSpPr/>
      </xdr:nvGrpSpPr>
      <xdr:grpSpPr>
        <a:xfrm>
          <a:off x="4603072" y="45311179"/>
          <a:ext cx="33655" cy="33655"/>
          <a:chOff x="0" y="0"/>
          <a:chExt cx="33655" cy="33655"/>
        </a:xfrm>
      </xdr:grpSpPr>
      <xdr:sp macro="" textlink="">
        <xdr:nvSpPr>
          <xdr:cNvPr id="3273" name="Shape 48">
            <a:extLst>
              <a:ext uri="{FF2B5EF4-FFF2-40B4-BE49-F238E27FC236}">
                <a16:creationId xmlns:a16="http://schemas.microsoft.com/office/drawing/2014/main" id="{FC9D3545-BC7B-D898-97A7-2758074C203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74" name="Shape 49">
            <a:extLst>
              <a:ext uri="{FF2B5EF4-FFF2-40B4-BE49-F238E27FC236}">
                <a16:creationId xmlns:a16="http://schemas.microsoft.com/office/drawing/2014/main" id="{711264F1-4C98-FC8A-5821-FAF066FF7B8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75" name="Shape 50">
            <a:extLst>
              <a:ext uri="{FF2B5EF4-FFF2-40B4-BE49-F238E27FC236}">
                <a16:creationId xmlns:a16="http://schemas.microsoft.com/office/drawing/2014/main" id="{7194B6AA-3D95-AA35-178E-22586BCB767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76" name="Shape 51">
            <a:extLst>
              <a:ext uri="{FF2B5EF4-FFF2-40B4-BE49-F238E27FC236}">
                <a16:creationId xmlns:a16="http://schemas.microsoft.com/office/drawing/2014/main" id="{C7ECC1B4-7FD7-77E4-97CA-F249E9931AE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77" name="Shape 52">
            <a:extLst>
              <a:ext uri="{FF2B5EF4-FFF2-40B4-BE49-F238E27FC236}">
                <a16:creationId xmlns:a16="http://schemas.microsoft.com/office/drawing/2014/main" id="{DE68EEC0-3210-0FE1-6BA2-A3BCB6FFC96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78" name="Shape 53">
            <a:extLst>
              <a:ext uri="{FF2B5EF4-FFF2-40B4-BE49-F238E27FC236}">
                <a16:creationId xmlns:a16="http://schemas.microsoft.com/office/drawing/2014/main" id="{30DD966D-AB21-D8AB-8F1B-6C76F0130C2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79" name="Shape 54">
            <a:extLst>
              <a:ext uri="{FF2B5EF4-FFF2-40B4-BE49-F238E27FC236}">
                <a16:creationId xmlns:a16="http://schemas.microsoft.com/office/drawing/2014/main" id="{BA268EF4-FF72-77C9-E5AB-D3FDFEEA5D6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80" name="Shape 55">
            <a:extLst>
              <a:ext uri="{FF2B5EF4-FFF2-40B4-BE49-F238E27FC236}">
                <a16:creationId xmlns:a16="http://schemas.microsoft.com/office/drawing/2014/main" id="{4E84972B-98D4-8841-A1D4-3AC49379233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81" name="Shape 56">
            <a:extLst>
              <a:ext uri="{FF2B5EF4-FFF2-40B4-BE49-F238E27FC236}">
                <a16:creationId xmlns:a16="http://schemas.microsoft.com/office/drawing/2014/main" id="{44C5E1C8-648C-9EDE-E8A8-5CFCE7B84AC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82" name="Shape 57">
            <a:extLst>
              <a:ext uri="{FF2B5EF4-FFF2-40B4-BE49-F238E27FC236}">
                <a16:creationId xmlns:a16="http://schemas.microsoft.com/office/drawing/2014/main" id="{AFC3C661-B47C-794F-EC73-0F8D474FE44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83" name="Shape 58">
            <a:extLst>
              <a:ext uri="{FF2B5EF4-FFF2-40B4-BE49-F238E27FC236}">
                <a16:creationId xmlns:a16="http://schemas.microsoft.com/office/drawing/2014/main" id="{401802E5-D246-91DD-8EAE-B397FBCAA06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84" name="Shape 59">
            <a:extLst>
              <a:ext uri="{FF2B5EF4-FFF2-40B4-BE49-F238E27FC236}">
                <a16:creationId xmlns:a16="http://schemas.microsoft.com/office/drawing/2014/main" id="{D15759CA-B2E4-F4BF-4257-593653C046B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85" name="Shape 60">
            <a:extLst>
              <a:ext uri="{FF2B5EF4-FFF2-40B4-BE49-F238E27FC236}">
                <a16:creationId xmlns:a16="http://schemas.microsoft.com/office/drawing/2014/main" id="{EE0B8A88-6277-D47C-9F84-F48589EF2E2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286" name="Shape 61">
            <a:extLst>
              <a:ext uri="{FF2B5EF4-FFF2-40B4-BE49-F238E27FC236}">
                <a16:creationId xmlns:a16="http://schemas.microsoft.com/office/drawing/2014/main" id="{18C9D57D-1AC9-2394-34C2-2BE0BE97887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234</xdr:row>
      <xdr:rowOff>160844</xdr:rowOff>
    </xdr:from>
    <xdr:ext cx="33655" cy="33655"/>
    <xdr:grpSp>
      <xdr:nvGrpSpPr>
        <xdr:cNvPr id="3287" name="Group 62">
          <a:extLst>
            <a:ext uri="{FF2B5EF4-FFF2-40B4-BE49-F238E27FC236}">
              <a16:creationId xmlns:a16="http://schemas.microsoft.com/office/drawing/2014/main" id="{518DC665-047A-4186-B1A2-7D6AB1B2BB80}"/>
            </a:ext>
          </a:extLst>
        </xdr:cNvPr>
        <xdr:cNvGrpSpPr/>
      </xdr:nvGrpSpPr>
      <xdr:grpSpPr>
        <a:xfrm>
          <a:off x="4603072" y="45299975"/>
          <a:ext cx="33655" cy="33655"/>
          <a:chOff x="0" y="0"/>
          <a:chExt cx="33655" cy="33655"/>
        </a:xfrm>
      </xdr:grpSpPr>
      <xdr:sp macro="" textlink="">
        <xdr:nvSpPr>
          <xdr:cNvPr id="3288" name="Shape 63">
            <a:extLst>
              <a:ext uri="{FF2B5EF4-FFF2-40B4-BE49-F238E27FC236}">
                <a16:creationId xmlns:a16="http://schemas.microsoft.com/office/drawing/2014/main" id="{E0670A07-3C16-413B-CDF8-12989954F21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89" name="Shape 64">
            <a:extLst>
              <a:ext uri="{FF2B5EF4-FFF2-40B4-BE49-F238E27FC236}">
                <a16:creationId xmlns:a16="http://schemas.microsoft.com/office/drawing/2014/main" id="{F553E64E-8902-760E-B070-1782BF69829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90" name="Shape 65">
            <a:extLst>
              <a:ext uri="{FF2B5EF4-FFF2-40B4-BE49-F238E27FC236}">
                <a16:creationId xmlns:a16="http://schemas.microsoft.com/office/drawing/2014/main" id="{9998CB5A-3981-3D71-16B6-646EF16692F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91" name="Shape 66">
            <a:extLst>
              <a:ext uri="{FF2B5EF4-FFF2-40B4-BE49-F238E27FC236}">
                <a16:creationId xmlns:a16="http://schemas.microsoft.com/office/drawing/2014/main" id="{214E832C-7D5B-5D87-916D-821A13EA1A1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92" name="Shape 67">
            <a:extLst>
              <a:ext uri="{FF2B5EF4-FFF2-40B4-BE49-F238E27FC236}">
                <a16:creationId xmlns:a16="http://schemas.microsoft.com/office/drawing/2014/main" id="{43F7A141-C5E2-E1EF-851E-E29C7AE517E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93" name="Shape 68">
            <a:extLst>
              <a:ext uri="{FF2B5EF4-FFF2-40B4-BE49-F238E27FC236}">
                <a16:creationId xmlns:a16="http://schemas.microsoft.com/office/drawing/2014/main" id="{056F30E6-90A8-FA52-B60D-E6DE6C02E54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94" name="Shape 69">
            <a:extLst>
              <a:ext uri="{FF2B5EF4-FFF2-40B4-BE49-F238E27FC236}">
                <a16:creationId xmlns:a16="http://schemas.microsoft.com/office/drawing/2014/main" id="{796C43F5-0762-CDA1-60B4-3F0BC9EA014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95" name="Shape 70">
            <a:extLst>
              <a:ext uri="{FF2B5EF4-FFF2-40B4-BE49-F238E27FC236}">
                <a16:creationId xmlns:a16="http://schemas.microsoft.com/office/drawing/2014/main" id="{E5089ADE-57BB-8494-A4C4-2F61B7F1845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96" name="Shape 71">
            <a:extLst>
              <a:ext uri="{FF2B5EF4-FFF2-40B4-BE49-F238E27FC236}">
                <a16:creationId xmlns:a16="http://schemas.microsoft.com/office/drawing/2014/main" id="{D0E993B3-F085-5E04-7BED-CBE2C13AB26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97" name="Shape 72">
            <a:extLst>
              <a:ext uri="{FF2B5EF4-FFF2-40B4-BE49-F238E27FC236}">
                <a16:creationId xmlns:a16="http://schemas.microsoft.com/office/drawing/2014/main" id="{BD548C58-605D-9142-6A64-D07B017A9BD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298" name="Shape 73">
            <a:extLst>
              <a:ext uri="{FF2B5EF4-FFF2-40B4-BE49-F238E27FC236}">
                <a16:creationId xmlns:a16="http://schemas.microsoft.com/office/drawing/2014/main" id="{94D4C83D-265D-5CC5-37B9-E053C346039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299" name="Shape 74">
            <a:extLst>
              <a:ext uri="{FF2B5EF4-FFF2-40B4-BE49-F238E27FC236}">
                <a16:creationId xmlns:a16="http://schemas.microsoft.com/office/drawing/2014/main" id="{9420F7FD-A002-E099-130A-92A4CFF34A4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00" name="Shape 75">
            <a:extLst>
              <a:ext uri="{FF2B5EF4-FFF2-40B4-BE49-F238E27FC236}">
                <a16:creationId xmlns:a16="http://schemas.microsoft.com/office/drawing/2014/main" id="{D0CB951B-9775-4AE0-A252-20FCE09BA46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01" name="Shape 76">
            <a:extLst>
              <a:ext uri="{FF2B5EF4-FFF2-40B4-BE49-F238E27FC236}">
                <a16:creationId xmlns:a16="http://schemas.microsoft.com/office/drawing/2014/main" id="{5FA7D15B-F750-2391-8E5E-843BC742567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246</xdr:row>
      <xdr:rowOff>2978</xdr:rowOff>
    </xdr:from>
    <xdr:ext cx="33655" cy="33655"/>
    <xdr:grpSp>
      <xdr:nvGrpSpPr>
        <xdr:cNvPr id="3302" name="Group 2">
          <a:extLst>
            <a:ext uri="{FF2B5EF4-FFF2-40B4-BE49-F238E27FC236}">
              <a16:creationId xmlns:a16="http://schemas.microsoft.com/office/drawing/2014/main" id="{5AD3D7AF-908E-4364-BD86-6DDA95D7DED3}"/>
            </a:ext>
          </a:extLst>
        </xdr:cNvPr>
        <xdr:cNvGrpSpPr/>
      </xdr:nvGrpSpPr>
      <xdr:grpSpPr>
        <a:xfrm>
          <a:off x="4603072" y="47471830"/>
          <a:ext cx="33655" cy="33655"/>
          <a:chOff x="0" y="0"/>
          <a:chExt cx="33655" cy="33655"/>
        </a:xfrm>
      </xdr:grpSpPr>
      <xdr:sp macro="" textlink="">
        <xdr:nvSpPr>
          <xdr:cNvPr id="3303" name="Shape 3">
            <a:extLst>
              <a:ext uri="{FF2B5EF4-FFF2-40B4-BE49-F238E27FC236}">
                <a16:creationId xmlns:a16="http://schemas.microsoft.com/office/drawing/2014/main" id="{8B5587A6-B7D2-CB46-3D49-EC67C30ADD8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04" name="Shape 4">
            <a:extLst>
              <a:ext uri="{FF2B5EF4-FFF2-40B4-BE49-F238E27FC236}">
                <a16:creationId xmlns:a16="http://schemas.microsoft.com/office/drawing/2014/main" id="{AD009A38-C4DF-7247-1BB4-FD8E30314AA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05" name="Shape 5">
            <a:extLst>
              <a:ext uri="{FF2B5EF4-FFF2-40B4-BE49-F238E27FC236}">
                <a16:creationId xmlns:a16="http://schemas.microsoft.com/office/drawing/2014/main" id="{56C6A40E-2DDA-A613-DA3A-C7DAEF19A55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06" name="Shape 6">
            <a:extLst>
              <a:ext uri="{FF2B5EF4-FFF2-40B4-BE49-F238E27FC236}">
                <a16:creationId xmlns:a16="http://schemas.microsoft.com/office/drawing/2014/main" id="{14432F76-A7D6-C2DA-AAAC-66EDD2213A1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07" name="Shape 7">
            <a:extLst>
              <a:ext uri="{FF2B5EF4-FFF2-40B4-BE49-F238E27FC236}">
                <a16:creationId xmlns:a16="http://schemas.microsoft.com/office/drawing/2014/main" id="{E576DB17-6996-0BD1-6C8D-28D53E0ED3B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08" name="Shape 8">
            <a:extLst>
              <a:ext uri="{FF2B5EF4-FFF2-40B4-BE49-F238E27FC236}">
                <a16:creationId xmlns:a16="http://schemas.microsoft.com/office/drawing/2014/main" id="{1D0627AA-BC2E-4028-7098-B95D43E1289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09" name="Shape 9">
            <a:extLst>
              <a:ext uri="{FF2B5EF4-FFF2-40B4-BE49-F238E27FC236}">
                <a16:creationId xmlns:a16="http://schemas.microsoft.com/office/drawing/2014/main" id="{4F65BEF6-1993-4452-24B5-2D0D0966F4A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10" name="Shape 10">
            <a:extLst>
              <a:ext uri="{FF2B5EF4-FFF2-40B4-BE49-F238E27FC236}">
                <a16:creationId xmlns:a16="http://schemas.microsoft.com/office/drawing/2014/main" id="{7F7D1030-7EA0-2889-7EF2-A5D11ED8095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11" name="Shape 11">
            <a:extLst>
              <a:ext uri="{FF2B5EF4-FFF2-40B4-BE49-F238E27FC236}">
                <a16:creationId xmlns:a16="http://schemas.microsoft.com/office/drawing/2014/main" id="{1E7723CB-F844-CF2B-65B9-2507001E26C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12" name="Shape 12">
            <a:extLst>
              <a:ext uri="{FF2B5EF4-FFF2-40B4-BE49-F238E27FC236}">
                <a16:creationId xmlns:a16="http://schemas.microsoft.com/office/drawing/2014/main" id="{127B6D59-D3CE-BBA5-D84A-C00B33297B2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13" name="Shape 13">
            <a:extLst>
              <a:ext uri="{FF2B5EF4-FFF2-40B4-BE49-F238E27FC236}">
                <a16:creationId xmlns:a16="http://schemas.microsoft.com/office/drawing/2014/main" id="{33142BF0-E3F4-6EE4-84BC-155CAA184C6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14" name="Shape 14">
            <a:extLst>
              <a:ext uri="{FF2B5EF4-FFF2-40B4-BE49-F238E27FC236}">
                <a16:creationId xmlns:a16="http://schemas.microsoft.com/office/drawing/2014/main" id="{10473DCB-723D-860A-E642-776D0D1A51E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15" name="Shape 15">
            <a:extLst>
              <a:ext uri="{FF2B5EF4-FFF2-40B4-BE49-F238E27FC236}">
                <a16:creationId xmlns:a16="http://schemas.microsoft.com/office/drawing/2014/main" id="{23D68CA4-2495-DC50-EDBB-D4275F06567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16" name="Shape 16">
            <a:extLst>
              <a:ext uri="{FF2B5EF4-FFF2-40B4-BE49-F238E27FC236}">
                <a16:creationId xmlns:a16="http://schemas.microsoft.com/office/drawing/2014/main" id="{7E55B33D-3E1C-2790-D1BB-9AE55841F40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246</xdr:row>
      <xdr:rowOff>3246</xdr:rowOff>
    </xdr:from>
    <xdr:ext cx="33655" cy="33655"/>
    <xdr:grpSp>
      <xdr:nvGrpSpPr>
        <xdr:cNvPr id="3317" name="Group 17">
          <a:extLst>
            <a:ext uri="{FF2B5EF4-FFF2-40B4-BE49-F238E27FC236}">
              <a16:creationId xmlns:a16="http://schemas.microsoft.com/office/drawing/2014/main" id="{8D40E0E7-F631-4E8D-923A-7D3B3EA080E7}"/>
            </a:ext>
          </a:extLst>
        </xdr:cNvPr>
        <xdr:cNvGrpSpPr/>
      </xdr:nvGrpSpPr>
      <xdr:grpSpPr>
        <a:xfrm>
          <a:off x="4603072" y="47472098"/>
          <a:ext cx="33655" cy="33655"/>
          <a:chOff x="0" y="0"/>
          <a:chExt cx="33655" cy="33655"/>
        </a:xfrm>
      </xdr:grpSpPr>
      <xdr:sp macro="" textlink="">
        <xdr:nvSpPr>
          <xdr:cNvPr id="3318" name="Shape 18">
            <a:extLst>
              <a:ext uri="{FF2B5EF4-FFF2-40B4-BE49-F238E27FC236}">
                <a16:creationId xmlns:a16="http://schemas.microsoft.com/office/drawing/2014/main" id="{B8308D92-CC52-26A9-7DC0-84BC79507AF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19" name="Shape 19">
            <a:extLst>
              <a:ext uri="{FF2B5EF4-FFF2-40B4-BE49-F238E27FC236}">
                <a16:creationId xmlns:a16="http://schemas.microsoft.com/office/drawing/2014/main" id="{93C3630F-14E8-F8ED-749E-AEE2E90B97E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20" name="Shape 20">
            <a:extLst>
              <a:ext uri="{FF2B5EF4-FFF2-40B4-BE49-F238E27FC236}">
                <a16:creationId xmlns:a16="http://schemas.microsoft.com/office/drawing/2014/main" id="{BFAB9697-876C-4953-59CC-652BF14D1F4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21" name="Shape 21">
            <a:extLst>
              <a:ext uri="{FF2B5EF4-FFF2-40B4-BE49-F238E27FC236}">
                <a16:creationId xmlns:a16="http://schemas.microsoft.com/office/drawing/2014/main" id="{5F43CFA8-AE46-805A-8AF6-F23E7CD20D6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22" name="Shape 22">
            <a:extLst>
              <a:ext uri="{FF2B5EF4-FFF2-40B4-BE49-F238E27FC236}">
                <a16:creationId xmlns:a16="http://schemas.microsoft.com/office/drawing/2014/main" id="{E38502F6-BD42-5B5B-8253-26F579BC05E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23" name="Shape 23">
            <a:extLst>
              <a:ext uri="{FF2B5EF4-FFF2-40B4-BE49-F238E27FC236}">
                <a16:creationId xmlns:a16="http://schemas.microsoft.com/office/drawing/2014/main" id="{1759FFB0-2321-4350-8BCF-2F2892B6CAD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24" name="Shape 24">
            <a:extLst>
              <a:ext uri="{FF2B5EF4-FFF2-40B4-BE49-F238E27FC236}">
                <a16:creationId xmlns:a16="http://schemas.microsoft.com/office/drawing/2014/main" id="{99013EDD-FA77-3815-7B69-A22585BBF41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25" name="Shape 25">
            <a:extLst>
              <a:ext uri="{FF2B5EF4-FFF2-40B4-BE49-F238E27FC236}">
                <a16:creationId xmlns:a16="http://schemas.microsoft.com/office/drawing/2014/main" id="{F0C64D0C-84F3-36A6-D469-F36E94EF64B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26" name="Shape 26">
            <a:extLst>
              <a:ext uri="{FF2B5EF4-FFF2-40B4-BE49-F238E27FC236}">
                <a16:creationId xmlns:a16="http://schemas.microsoft.com/office/drawing/2014/main" id="{F920D44C-A0A4-4DDB-FE7C-47C6966812F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27" name="Shape 27">
            <a:extLst>
              <a:ext uri="{FF2B5EF4-FFF2-40B4-BE49-F238E27FC236}">
                <a16:creationId xmlns:a16="http://schemas.microsoft.com/office/drawing/2014/main" id="{C2BA5133-B164-1A51-3E6F-19D1EC735AE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28" name="Shape 28">
            <a:extLst>
              <a:ext uri="{FF2B5EF4-FFF2-40B4-BE49-F238E27FC236}">
                <a16:creationId xmlns:a16="http://schemas.microsoft.com/office/drawing/2014/main" id="{2A877549-8A66-9EE7-ECF1-0E6C66C7E77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29" name="Shape 29">
            <a:extLst>
              <a:ext uri="{FF2B5EF4-FFF2-40B4-BE49-F238E27FC236}">
                <a16:creationId xmlns:a16="http://schemas.microsoft.com/office/drawing/2014/main" id="{338B280E-B0AC-AC20-8E98-F9D78DED763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30" name="Shape 30">
            <a:extLst>
              <a:ext uri="{FF2B5EF4-FFF2-40B4-BE49-F238E27FC236}">
                <a16:creationId xmlns:a16="http://schemas.microsoft.com/office/drawing/2014/main" id="{6B1B387B-52C9-1BBA-CDE2-3A3055F5C6B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31" name="Shape 31">
            <a:extLst>
              <a:ext uri="{FF2B5EF4-FFF2-40B4-BE49-F238E27FC236}">
                <a16:creationId xmlns:a16="http://schemas.microsoft.com/office/drawing/2014/main" id="{13EE2C6B-CE3A-78A7-0705-B075E0478B7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245</xdr:row>
      <xdr:rowOff>160585</xdr:rowOff>
    </xdr:from>
    <xdr:ext cx="33655" cy="33655"/>
    <xdr:grpSp>
      <xdr:nvGrpSpPr>
        <xdr:cNvPr id="3332" name="Group 32">
          <a:extLst>
            <a:ext uri="{FF2B5EF4-FFF2-40B4-BE49-F238E27FC236}">
              <a16:creationId xmlns:a16="http://schemas.microsoft.com/office/drawing/2014/main" id="{8F13E422-CB0E-4051-9BB9-5A4AA0D0C6D3}"/>
            </a:ext>
          </a:extLst>
        </xdr:cNvPr>
        <xdr:cNvGrpSpPr/>
      </xdr:nvGrpSpPr>
      <xdr:grpSpPr>
        <a:xfrm>
          <a:off x="4603072" y="47460798"/>
          <a:ext cx="33655" cy="33655"/>
          <a:chOff x="0" y="0"/>
          <a:chExt cx="33655" cy="33655"/>
        </a:xfrm>
      </xdr:grpSpPr>
      <xdr:sp macro="" textlink="">
        <xdr:nvSpPr>
          <xdr:cNvPr id="3333" name="Shape 33">
            <a:extLst>
              <a:ext uri="{FF2B5EF4-FFF2-40B4-BE49-F238E27FC236}">
                <a16:creationId xmlns:a16="http://schemas.microsoft.com/office/drawing/2014/main" id="{F45BC25F-F90B-A292-8B68-D48B8202C1E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34" name="Shape 34">
            <a:extLst>
              <a:ext uri="{FF2B5EF4-FFF2-40B4-BE49-F238E27FC236}">
                <a16:creationId xmlns:a16="http://schemas.microsoft.com/office/drawing/2014/main" id="{BFD57DA0-0DF7-773B-9C0E-3B553090449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35" name="Shape 35">
            <a:extLst>
              <a:ext uri="{FF2B5EF4-FFF2-40B4-BE49-F238E27FC236}">
                <a16:creationId xmlns:a16="http://schemas.microsoft.com/office/drawing/2014/main" id="{38FFFDFE-5D28-497B-31F3-92EA2182BEC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36" name="Shape 36">
            <a:extLst>
              <a:ext uri="{FF2B5EF4-FFF2-40B4-BE49-F238E27FC236}">
                <a16:creationId xmlns:a16="http://schemas.microsoft.com/office/drawing/2014/main" id="{D9455335-D95A-5981-4A7D-C3FD734D983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37" name="Shape 37">
            <a:extLst>
              <a:ext uri="{FF2B5EF4-FFF2-40B4-BE49-F238E27FC236}">
                <a16:creationId xmlns:a16="http://schemas.microsoft.com/office/drawing/2014/main" id="{02C28E6D-96E6-D917-EFCA-B10954B5430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38" name="Shape 38">
            <a:extLst>
              <a:ext uri="{FF2B5EF4-FFF2-40B4-BE49-F238E27FC236}">
                <a16:creationId xmlns:a16="http://schemas.microsoft.com/office/drawing/2014/main" id="{E3A6EB90-3FE4-9875-1412-4E41261DE12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39" name="Shape 39">
            <a:extLst>
              <a:ext uri="{FF2B5EF4-FFF2-40B4-BE49-F238E27FC236}">
                <a16:creationId xmlns:a16="http://schemas.microsoft.com/office/drawing/2014/main" id="{3657CAA0-CECD-390F-36D3-B6FFCFA3833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40" name="Shape 40">
            <a:extLst>
              <a:ext uri="{FF2B5EF4-FFF2-40B4-BE49-F238E27FC236}">
                <a16:creationId xmlns:a16="http://schemas.microsoft.com/office/drawing/2014/main" id="{CE80BBE2-B4BB-5E92-5BFE-F9F6FF2AE01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41" name="Shape 41">
            <a:extLst>
              <a:ext uri="{FF2B5EF4-FFF2-40B4-BE49-F238E27FC236}">
                <a16:creationId xmlns:a16="http://schemas.microsoft.com/office/drawing/2014/main" id="{C13833D7-316D-2BC4-F643-0E5880AD273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42" name="Shape 42">
            <a:extLst>
              <a:ext uri="{FF2B5EF4-FFF2-40B4-BE49-F238E27FC236}">
                <a16:creationId xmlns:a16="http://schemas.microsoft.com/office/drawing/2014/main" id="{D807D59A-9377-FB18-63D0-C7A4DA51F5B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43" name="Shape 43">
            <a:extLst>
              <a:ext uri="{FF2B5EF4-FFF2-40B4-BE49-F238E27FC236}">
                <a16:creationId xmlns:a16="http://schemas.microsoft.com/office/drawing/2014/main" id="{5669E513-02A8-6C86-A6D8-0F0233F5A33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44" name="Shape 44">
            <a:extLst>
              <a:ext uri="{FF2B5EF4-FFF2-40B4-BE49-F238E27FC236}">
                <a16:creationId xmlns:a16="http://schemas.microsoft.com/office/drawing/2014/main" id="{43A188FC-6429-F5F1-BCC2-6AD021AC8C8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45" name="Shape 45">
            <a:extLst>
              <a:ext uri="{FF2B5EF4-FFF2-40B4-BE49-F238E27FC236}">
                <a16:creationId xmlns:a16="http://schemas.microsoft.com/office/drawing/2014/main" id="{4C6C41CE-A51E-CC16-46BB-1A6EA6BB74B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46" name="Shape 46">
            <a:extLst>
              <a:ext uri="{FF2B5EF4-FFF2-40B4-BE49-F238E27FC236}">
                <a16:creationId xmlns:a16="http://schemas.microsoft.com/office/drawing/2014/main" id="{465F6691-7CB0-5472-75A3-9E04DE8BCFB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246</xdr:row>
      <xdr:rowOff>3409</xdr:rowOff>
    </xdr:from>
    <xdr:ext cx="33655" cy="33655"/>
    <xdr:grpSp>
      <xdr:nvGrpSpPr>
        <xdr:cNvPr id="3347" name="Group 47">
          <a:extLst>
            <a:ext uri="{FF2B5EF4-FFF2-40B4-BE49-F238E27FC236}">
              <a16:creationId xmlns:a16="http://schemas.microsoft.com/office/drawing/2014/main" id="{B54BD7D4-2D87-4181-B994-C4BAA54A9635}"/>
            </a:ext>
          </a:extLst>
        </xdr:cNvPr>
        <xdr:cNvGrpSpPr/>
      </xdr:nvGrpSpPr>
      <xdr:grpSpPr>
        <a:xfrm>
          <a:off x="4603072" y="47472261"/>
          <a:ext cx="33655" cy="33655"/>
          <a:chOff x="0" y="0"/>
          <a:chExt cx="33655" cy="33655"/>
        </a:xfrm>
      </xdr:grpSpPr>
      <xdr:sp macro="" textlink="">
        <xdr:nvSpPr>
          <xdr:cNvPr id="3348" name="Shape 48">
            <a:extLst>
              <a:ext uri="{FF2B5EF4-FFF2-40B4-BE49-F238E27FC236}">
                <a16:creationId xmlns:a16="http://schemas.microsoft.com/office/drawing/2014/main" id="{A94F9450-A92A-B1DF-90C6-9BE8AF85F98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49" name="Shape 49">
            <a:extLst>
              <a:ext uri="{FF2B5EF4-FFF2-40B4-BE49-F238E27FC236}">
                <a16:creationId xmlns:a16="http://schemas.microsoft.com/office/drawing/2014/main" id="{FAAB69AC-313F-5537-5B21-A2BC3466C15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50" name="Shape 50">
            <a:extLst>
              <a:ext uri="{FF2B5EF4-FFF2-40B4-BE49-F238E27FC236}">
                <a16:creationId xmlns:a16="http://schemas.microsoft.com/office/drawing/2014/main" id="{46E99529-5A8A-123A-5A1B-5BA79BCF0D8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51" name="Shape 51">
            <a:extLst>
              <a:ext uri="{FF2B5EF4-FFF2-40B4-BE49-F238E27FC236}">
                <a16:creationId xmlns:a16="http://schemas.microsoft.com/office/drawing/2014/main" id="{328F90DB-80C3-CE03-A3EC-9D2BA35AC57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52" name="Shape 52">
            <a:extLst>
              <a:ext uri="{FF2B5EF4-FFF2-40B4-BE49-F238E27FC236}">
                <a16:creationId xmlns:a16="http://schemas.microsoft.com/office/drawing/2014/main" id="{86DA264E-24C6-D9D5-5154-42764B93EDB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53" name="Shape 53">
            <a:extLst>
              <a:ext uri="{FF2B5EF4-FFF2-40B4-BE49-F238E27FC236}">
                <a16:creationId xmlns:a16="http://schemas.microsoft.com/office/drawing/2014/main" id="{AC2F06A8-0346-42D0-45E4-77BEECE51B3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54" name="Shape 54">
            <a:extLst>
              <a:ext uri="{FF2B5EF4-FFF2-40B4-BE49-F238E27FC236}">
                <a16:creationId xmlns:a16="http://schemas.microsoft.com/office/drawing/2014/main" id="{8FB92439-8351-9E27-5F74-A4C5CDA000D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55" name="Shape 55">
            <a:extLst>
              <a:ext uri="{FF2B5EF4-FFF2-40B4-BE49-F238E27FC236}">
                <a16:creationId xmlns:a16="http://schemas.microsoft.com/office/drawing/2014/main" id="{23D3841D-06ED-2005-40EC-78C9DB497B3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56" name="Shape 56">
            <a:extLst>
              <a:ext uri="{FF2B5EF4-FFF2-40B4-BE49-F238E27FC236}">
                <a16:creationId xmlns:a16="http://schemas.microsoft.com/office/drawing/2014/main" id="{4F5A8788-4760-6A71-0EE0-767AEADB667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57" name="Shape 57">
            <a:extLst>
              <a:ext uri="{FF2B5EF4-FFF2-40B4-BE49-F238E27FC236}">
                <a16:creationId xmlns:a16="http://schemas.microsoft.com/office/drawing/2014/main" id="{B10AC959-C562-AE1B-1471-98043AD403D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58" name="Shape 58">
            <a:extLst>
              <a:ext uri="{FF2B5EF4-FFF2-40B4-BE49-F238E27FC236}">
                <a16:creationId xmlns:a16="http://schemas.microsoft.com/office/drawing/2014/main" id="{AEC1ED9A-E39A-E12D-6E20-2098AF2B976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59" name="Shape 59">
            <a:extLst>
              <a:ext uri="{FF2B5EF4-FFF2-40B4-BE49-F238E27FC236}">
                <a16:creationId xmlns:a16="http://schemas.microsoft.com/office/drawing/2014/main" id="{BB8C7D6C-4266-E51B-88A0-39613862ACE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60" name="Shape 60">
            <a:extLst>
              <a:ext uri="{FF2B5EF4-FFF2-40B4-BE49-F238E27FC236}">
                <a16:creationId xmlns:a16="http://schemas.microsoft.com/office/drawing/2014/main" id="{8029448A-EDCF-EBE5-3E2D-9F2CBD6F6BA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61" name="Shape 61">
            <a:extLst>
              <a:ext uri="{FF2B5EF4-FFF2-40B4-BE49-F238E27FC236}">
                <a16:creationId xmlns:a16="http://schemas.microsoft.com/office/drawing/2014/main" id="{0D7D8A76-FBF5-E004-A1A3-B6CF76C86C7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245</xdr:row>
      <xdr:rowOff>160844</xdr:rowOff>
    </xdr:from>
    <xdr:ext cx="33655" cy="33655"/>
    <xdr:grpSp>
      <xdr:nvGrpSpPr>
        <xdr:cNvPr id="3362" name="Group 62">
          <a:extLst>
            <a:ext uri="{FF2B5EF4-FFF2-40B4-BE49-F238E27FC236}">
              <a16:creationId xmlns:a16="http://schemas.microsoft.com/office/drawing/2014/main" id="{2AB8C83C-9A86-448B-B40B-F22F57217450}"/>
            </a:ext>
          </a:extLst>
        </xdr:cNvPr>
        <xdr:cNvGrpSpPr/>
      </xdr:nvGrpSpPr>
      <xdr:grpSpPr>
        <a:xfrm>
          <a:off x="4603072" y="47461057"/>
          <a:ext cx="33655" cy="33655"/>
          <a:chOff x="0" y="0"/>
          <a:chExt cx="33655" cy="33655"/>
        </a:xfrm>
      </xdr:grpSpPr>
      <xdr:sp macro="" textlink="">
        <xdr:nvSpPr>
          <xdr:cNvPr id="3363" name="Shape 63">
            <a:extLst>
              <a:ext uri="{FF2B5EF4-FFF2-40B4-BE49-F238E27FC236}">
                <a16:creationId xmlns:a16="http://schemas.microsoft.com/office/drawing/2014/main" id="{81C8B472-AD02-20AF-362D-48805C30339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64" name="Shape 64">
            <a:extLst>
              <a:ext uri="{FF2B5EF4-FFF2-40B4-BE49-F238E27FC236}">
                <a16:creationId xmlns:a16="http://schemas.microsoft.com/office/drawing/2014/main" id="{9B6F9D95-BF08-3FE0-1E1C-C009A1D437F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65" name="Shape 65">
            <a:extLst>
              <a:ext uri="{FF2B5EF4-FFF2-40B4-BE49-F238E27FC236}">
                <a16:creationId xmlns:a16="http://schemas.microsoft.com/office/drawing/2014/main" id="{F887494D-D16E-E230-14D2-407E65E5BCF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66" name="Shape 66">
            <a:extLst>
              <a:ext uri="{FF2B5EF4-FFF2-40B4-BE49-F238E27FC236}">
                <a16:creationId xmlns:a16="http://schemas.microsoft.com/office/drawing/2014/main" id="{08955442-4F62-ABE3-2ED9-4CD6C5EC5C3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67" name="Shape 67">
            <a:extLst>
              <a:ext uri="{FF2B5EF4-FFF2-40B4-BE49-F238E27FC236}">
                <a16:creationId xmlns:a16="http://schemas.microsoft.com/office/drawing/2014/main" id="{9ADF8B19-2D7B-325D-7210-CC835FC9139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68" name="Shape 68">
            <a:extLst>
              <a:ext uri="{FF2B5EF4-FFF2-40B4-BE49-F238E27FC236}">
                <a16:creationId xmlns:a16="http://schemas.microsoft.com/office/drawing/2014/main" id="{F841E4EB-0AEA-6C1C-5B3F-DC2ED009083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69" name="Shape 69">
            <a:extLst>
              <a:ext uri="{FF2B5EF4-FFF2-40B4-BE49-F238E27FC236}">
                <a16:creationId xmlns:a16="http://schemas.microsoft.com/office/drawing/2014/main" id="{E0FF45EE-C410-84EF-C922-CE37646C46C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70" name="Shape 70">
            <a:extLst>
              <a:ext uri="{FF2B5EF4-FFF2-40B4-BE49-F238E27FC236}">
                <a16:creationId xmlns:a16="http://schemas.microsoft.com/office/drawing/2014/main" id="{506916F4-5814-F81C-1D62-4988868C451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71" name="Shape 71">
            <a:extLst>
              <a:ext uri="{FF2B5EF4-FFF2-40B4-BE49-F238E27FC236}">
                <a16:creationId xmlns:a16="http://schemas.microsoft.com/office/drawing/2014/main" id="{F42FC474-E8C1-79F8-51C8-D3B87B43CE9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72" name="Shape 72">
            <a:extLst>
              <a:ext uri="{FF2B5EF4-FFF2-40B4-BE49-F238E27FC236}">
                <a16:creationId xmlns:a16="http://schemas.microsoft.com/office/drawing/2014/main" id="{C62AD524-1D25-057C-F7B3-2E2B5D48F2A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73" name="Shape 73">
            <a:extLst>
              <a:ext uri="{FF2B5EF4-FFF2-40B4-BE49-F238E27FC236}">
                <a16:creationId xmlns:a16="http://schemas.microsoft.com/office/drawing/2014/main" id="{D955E96A-77E3-309B-1143-40E4F497811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74" name="Shape 74">
            <a:extLst>
              <a:ext uri="{FF2B5EF4-FFF2-40B4-BE49-F238E27FC236}">
                <a16:creationId xmlns:a16="http://schemas.microsoft.com/office/drawing/2014/main" id="{5A756E17-F4D5-4D04-500A-DB32ECD06E1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75" name="Shape 75">
            <a:extLst>
              <a:ext uri="{FF2B5EF4-FFF2-40B4-BE49-F238E27FC236}">
                <a16:creationId xmlns:a16="http://schemas.microsoft.com/office/drawing/2014/main" id="{ABAD16CC-9908-0978-5636-9DA39AB2DF7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376" name="Shape 76">
            <a:extLst>
              <a:ext uri="{FF2B5EF4-FFF2-40B4-BE49-F238E27FC236}">
                <a16:creationId xmlns:a16="http://schemas.microsoft.com/office/drawing/2014/main" id="{B2AF0E2E-E66D-45BA-D9A2-1E997CD6127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257</xdr:row>
      <xdr:rowOff>2978</xdr:rowOff>
    </xdr:from>
    <xdr:ext cx="33655" cy="33655"/>
    <xdr:grpSp>
      <xdr:nvGrpSpPr>
        <xdr:cNvPr id="3377" name="Group 2">
          <a:extLst>
            <a:ext uri="{FF2B5EF4-FFF2-40B4-BE49-F238E27FC236}">
              <a16:creationId xmlns:a16="http://schemas.microsoft.com/office/drawing/2014/main" id="{438B2BC0-7EDE-4CFF-91BF-72F033B986F5}"/>
            </a:ext>
          </a:extLst>
        </xdr:cNvPr>
        <xdr:cNvGrpSpPr/>
      </xdr:nvGrpSpPr>
      <xdr:grpSpPr>
        <a:xfrm>
          <a:off x="4603072" y="49632912"/>
          <a:ext cx="33655" cy="33655"/>
          <a:chOff x="0" y="0"/>
          <a:chExt cx="33655" cy="33655"/>
        </a:xfrm>
      </xdr:grpSpPr>
      <xdr:sp macro="" textlink="">
        <xdr:nvSpPr>
          <xdr:cNvPr id="3378" name="Shape 3">
            <a:extLst>
              <a:ext uri="{FF2B5EF4-FFF2-40B4-BE49-F238E27FC236}">
                <a16:creationId xmlns:a16="http://schemas.microsoft.com/office/drawing/2014/main" id="{2DD0BABB-7A00-62B6-1D43-5D736C9A046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79" name="Shape 4">
            <a:extLst>
              <a:ext uri="{FF2B5EF4-FFF2-40B4-BE49-F238E27FC236}">
                <a16:creationId xmlns:a16="http://schemas.microsoft.com/office/drawing/2014/main" id="{334509C2-C729-409D-11CD-A1576180215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80" name="Shape 5">
            <a:extLst>
              <a:ext uri="{FF2B5EF4-FFF2-40B4-BE49-F238E27FC236}">
                <a16:creationId xmlns:a16="http://schemas.microsoft.com/office/drawing/2014/main" id="{D45706E6-851E-DD69-33EF-5DFE0C40EEE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81" name="Shape 6">
            <a:extLst>
              <a:ext uri="{FF2B5EF4-FFF2-40B4-BE49-F238E27FC236}">
                <a16:creationId xmlns:a16="http://schemas.microsoft.com/office/drawing/2014/main" id="{3F70F5C2-2846-8856-E0D2-AE903B6504C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82" name="Shape 7">
            <a:extLst>
              <a:ext uri="{FF2B5EF4-FFF2-40B4-BE49-F238E27FC236}">
                <a16:creationId xmlns:a16="http://schemas.microsoft.com/office/drawing/2014/main" id="{75027732-11F2-5FF4-FAA7-87E82A8A873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83" name="Shape 8">
            <a:extLst>
              <a:ext uri="{FF2B5EF4-FFF2-40B4-BE49-F238E27FC236}">
                <a16:creationId xmlns:a16="http://schemas.microsoft.com/office/drawing/2014/main" id="{E14D15EB-EF88-690A-343B-B01CF259338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84" name="Shape 9">
            <a:extLst>
              <a:ext uri="{FF2B5EF4-FFF2-40B4-BE49-F238E27FC236}">
                <a16:creationId xmlns:a16="http://schemas.microsoft.com/office/drawing/2014/main" id="{89B1A081-AD78-418B-8F6C-D98D7645ECF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85" name="Shape 10">
            <a:extLst>
              <a:ext uri="{FF2B5EF4-FFF2-40B4-BE49-F238E27FC236}">
                <a16:creationId xmlns:a16="http://schemas.microsoft.com/office/drawing/2014/main" id="{176D6D06-1780-97A6-C7DD-0BEA6C816FC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86" name="Shape 11">
            <a:extLst>
              <a:ext uri="{FF2B5EF4-FFF2-40B4-BE49-F238E27FC236}">
                <a16:creationId xmlns:a16="http://schemas.microsoft.com/office/drawing/2014/main" id="{134D7262-AC1B-DA15-0A11-B0C401A1462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87" name="Shape 12">
            <a:extLst>
              <a:ext uri="{FF2B5EF4-FFF2-40B4-BE49-F238E27FC236}">
                <a16:creationId xmlns:a16="http://schemas.microsoft.com/office/drawing/2014/main" id="{9057F07A-AB28-B0FA-2CA5-D252CD31A73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88" name="Shape 13">
            <a:extLst>
              <a:ext uri="{FF2B5EF4-FFF2-40B4-BE49-F238E27FC236}">
                <a16:creationId xmlns:a16="http://schemas.microsoft.com/office/drawing/2014/main" id="{2B17BD63-0A4B-A06B-66E9-E6BBD690C37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89" name="Shape 14">
            <a:extLst>
              <a:ext uri="{FF2B5EF4-FFF2-40B4-BE49-F238E27FC236}">
                <a16:creationId xmlns:a16="http://schemas.microsoft.com/office/drawing/2014/main" id="{19D9A76A-12C1-A1DA-5A9A-2D0C65C4EFE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90" name="Shape 15">
            <a:extLst>
              <a:ext uri="{FF2B5EF4-FFF2-40B4-BE49-F238E27FC236}">
                <a16:creationId xmlns:a16="http://schemas.microsoft.com/office/drawing/2014/main" id="{8AD139C2-EBC9-375C-93E7-38607F327BE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91" name="Shape 16">
            <a:extLst>
              <a:ext uri="{FF2B5EF4-FFF2-40B4-BE49-F238E27FC236}">
                <a16:creationId xmlns:a16="http://schemas.microsoft.com/office/drawing/2014/main" id="{34A34DED-F62F-7C48-C4B2-DABC52CEB6D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257</xdr:row>
      <xdr:rowOff>3246</xdr:rowOff>
    </xdr:from>
    <xdr:ext cx="33655" cy="33655"/>
    <xdr:grpSp>
      <xdr:nvGrpSpPr>
        <xdr:cNvPr id="3392" name="Group 17">
          <a:extLst>
            <a:ext uri="{FF2B5EF4-FFF2-40B4-BE49-F238E27FC236}">
              <a16:creationId xmlns:a16="http://schemas.microsoft.com/office/drawing/2014/main" id="{4537F36E-8C34-48BD-B897-6E93C381C622}"/>
            </a:ext>
          </a:extLst>
        </xdr:cNvPr>
        <xdr:cNvGrpSpPr/>
      </xdr:nvGrpSpPr>
      <xdr:grpSpPr>
        <a:xfrm>
          <a:off x="4603072" y="49633180"/>
          <a:ext cx="33655" cy="33655"/>
          <a:chOff x="0" y="0"/>
          <a:chExt cx="33655" cy="33655"/>
        </a:xfrm>
      </xdr:grpSpPr>
      <xdr:sp macro="" textlink="">
        <xdr:nvSpPr>
          <xdr:cNvPr id="3393" name="Shape 18">
            <a:extLst>
              <a:ext uri="{FF2B5EF4-FFF2-40B4-BE49-F238E27FC236}">
                <a16:creationId xmlns:a16="http://schemas.microsoft.com/office/drawing/2014/main" id="{74758DFD-FA5B-CAC5-C8DD-35D8CDB6AEF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94" name="Shape 19">
            <a:extLst>
              <a:ext uri="{FF2B5EF4-FFF2-40B4-BE49-F238E27FC236}">
                <a16:creationId xmlns:a16="http://schemas.microsoft.com/office/drawing/2014/main" id="{57698065-7FFA-19A3-E221-8BED05CC70D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95" name="Shape 20">
            <a:extLst>
              <a:ext uri="{FF2B5EF4-FFF2-40B4-BE49-F238E27FC236}">
                <a16:creationId xmlns:a16="http://schemas.microsoft.com/office/drawing/2014/main" id="{FDC460F5-7BCC-72D7-859F-757D9B2F574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96" name="Shape 21">
            <a:extLst>
              <a:ext uri="{FF2B5EF4-FFF2-40B4-BE49-F238E27FC236}">
                <a16:creationId xmlns:a16="http://schemas.microsoft.com/office/drawing/2014/main" id="{C901B7F0-B9B1-BFD4-345B-6FFDB9F4FB3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97" name="Shape 22">
            <a:extLst>
              <a:ext uri="{FF2B5EF4-FFF2-40B4-BE49-F238E27FC236}">
                <a16:creationId xmlns:a16="http://schemas.microsoft.com/office/drawing/2014/main" id="{4306BB74-E774-5807-B22B-966A175713E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398" name="Shape 23">
            <a:extLst>
              <a:ext uri="{FF2B5EF4-FFF2-40B4-BE49-F238E27FC236}">
                <a16:creationId xmlns:a16="http://schemas.microsoft.com/office/drawing/2014/main" id="{9DC8FC97-F7B9-4A46-E1A8-6F7D79CBD7F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399" name="Shape 24">
            <a:extLst>
              <a:ext uri="{FF2B5EF4-FFF2-40B4-BE49-F238E27FC236}">
                <a16:creationId xmlns:a16="http://schemas.microsoft.com/office/drawing/2014/main" id="{C2761873-D8B8-4401-47BB-2C2E654193C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00" name="Shape 25">
            <a:extLst>
              <a:ext uri="{FF2B5EF4-FFF2-40B4-BE49-F238E27FC236}">
                <a16:creationId xmlns:a16="http://schemas.microsoft.com/office/drawing/2014/main" id="{248E6EC9-713C-CD67-3B7A-4AB098099E3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01" name="Shape 26">
            <a:extLst>
              <a:ext uri="{FF2B5EF4-FFF2-40B4-BE49-F238E27FC236}">
                <a16:creationId xmlns:a16="http://schemas.microsoft.com/office/drawing/2014/main" id="{45C21C37-7FAA-436C-D157-0127542870F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02" name="Shape 27">
            <a:extLst>
              <a:ext uri="{FF2B5EF4-FFF2-40B4-BE49-F238E27FC236}">
                <a16:creationId xmlns:a16="http://schemas.microsoft.com/office/drawing/2014/main" id="{0E43F838-B2A2-48D8-8148-C6563A6E901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03" name="Shape 28">
            <a:extLst>
              <a:ext uri="{FF2B5EF4-FFF2-40B4-BE49-F238E27FC236}">
                <a16:creationId xmlns:a16="http://schemas.microsoft.com/office/drawing/2014/main" id="{46194CC5-CC4A-F151-BEA4-5DB23A630A2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04" name="Shape 29">
            <a:extLst>
              <a:ext uri="{FF2B5EF4-FFF2-40B4-BE49-F238E27FC236}">
                <a16:creationId xmlns:a16="http://schemas.microsoft.com/office/drawing/2014/main" id="{4AFD859B-B84F-9A48-58FD-ED7A42533AF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05" name="Shape 30">
            <a:extLst>
              <a:ext uri="{FF2B5EF4-FFF2-40B4-BE49-F238E27FC236}">
                <a16:creationId xmlns:a16="http://schemas.microsoft.com/office/drawing/2014/main" id="{0232AAAF-8F31-E073-DD8A-601C7953D0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06" name="Shape 31">
            <a:extLst>
              <a:ext uri="{FF2B5EF4-FFF2-40B4-BE49-F238E27FC236}">
                <a16:creationId xmlns:a16="http://schemas.microsoft.com/office/drawing/2014/main" id="{BCA28964-01D6-CA4F-DE0F-31FA3DE8BB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256</xdr:row>
      <xdr:rowOff>160585</xdr:rowOff>
    </xdr:from>
    <xdr:ext cx="33655" cy="33655"/>
    <xdr:grpSp>
      <xdr:nvGrpSpPr>
        <xdr:cNvPr id="3407" name="Group 32">
          <a:extLst>
            <a:ext uri="{FF2B5EF4-FFF2-40B4-BE49-F238E27FC236}">
              <a16:creationId xmlns:a16="http://schemas.microsoft.com/office/drawing/2014/main" id="{A46CA19F-BA40-42F6-8466-B541EDB13EDC}"/>
            </a:ext>
          </a:extLst>
        </xdr:cNvPr>
        <xdr:cNvGrpSpPr/>
      </xdr:nvGrpSpPr>
      <xdr:grpSpPr>
        <a:xfrm>
          <a:off x="4603072" y="49621880"/>
          <a:ext cx="33655" cy="33655"/>
          <a:chOff x="0" y="0"/>
          <a:chExt cx="33655" cy="33655"/>
        </a:xfrm>
      </xdr:grpSpPr>
      <xdr:sp macro="" textlink="">
        <xdr:nvSpPr>
          <xdr:cNvPr id="3408" name="Shape 33">
            <a:extLst>
              <a:ext uri="{FF2B5EF4-FFF2-40B4-BE49-F238E27FC236}">
                <a16:creationId xmlns:a16="http://schemas.microsoft.com/office/drawing/2014/main" id="{20D8266A-0A77-4E15-FFE3-482D3D5F040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09" name="Shape 34">
            <a:extLst>
              <a:ext uri="{FF2B5EF4-FFF2-40B4-BE49-F238E27FC236}">
                <a16:creationId xmlns:a16="http://schemas.microsoft.com/office/drawing/2014/main" id="{8CBA5925-2A14-61A3-55FB-EAA14824E00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10" name="Shape 35">
            <a:extLst>
              <a:ext uri="{FF2B5EF4-FFF2-40B4-BE49-F238E27FC236}">
                <a16:creationId xmlns:a16="http://schemas.microsoft.com/office/drawing/2014/main" id="{E7FCFC71-F73A-80FC-D86A-CB93F262B2B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11" name="Shape 36">
            <a:extLst>
              <a:ext uri="{FF2B5EF4-FFF2-40B4-BE49-F238E27FC236}">
                <a16:creationId xmlns:a16="http://schemas.microsoft.com/office/drawing/2014/main" id="{5F37C23B-E025-3806-FA88-DD150554214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12" name="Shape 37">
            <a:extLst>
              <a:ext uri="{FF2B5EF4-FFF2-40B4-BE49-F238E27FC236}">
                <a16:creationId xmlns:a16="http://schemas.microsoft.com/office/drawing/2014/main" id="{762AC7B1-8F75-304C-45A4-B78E3049A7A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13" name="Shape 38">
            <a:extLst>
              <a:ext uri="{FF2B5EF4-FFF2-40B4-BE49-F238E27FC236}">
                <a16:creationId xmlns:a16="http://schemas.microsoft.com/office/drawing/2014/main" id="{063B200D-DFD6-46F3-6684-10AC09CCD8C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14" name="Shape 39">
            <a:extLst>
              <a:ext uri="{FF2B5EF4-FFF2-40B4-BE49-F238E27FC236}">
                <a16:creationId xmlns:a16="http://schemas.microsoft.com/office/drawing/2014/main" id="{BC74773E-35BB-4BD1-2F6E-0DD4AE645F3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15" name="Shape 40">
            <a:extLst>
              <a:ext uri="{FF2B5EF4-FFF2-40B4-BE49-F238E27FC236}">
                <a16:creationId xmlns:a16="http://schemas.microsoft.com/office/drawing/2014/main" id="{E7F95B88-0AA6-2EB6-4C11-8D4B57378C7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16" name="Shape 41">
            <a:extLst>
              <a:ext uri="{FF2B5EF4-FFF2-40B4-BE49-F238E27FC236}">
                <a16:creationId xmlns:a16="http://schemas.microsoft.com/office/drawing/2014/main" id="{4CCDED6A-D362-6BD0-4A04-F2D36E3F7CA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17" name="Shape 42">
            <a:extLst>
              <a:ext uri="{FF2B5EF4-FFF2-40B4-BE49-F238E27FC236}">
                <a16:creationId xmlns:a16="http://schemas.microsoft.com/office/drawing/2014/main" id="{0EC8C655-C908-4561-02EC-39EA45D3F76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18" name="Shape 43">
            <a:extLst>
              <a:ext uri="{FF2B5EF4-FFF2-40B4-BE49-F238E27FC236}">
                <a16:creationId xmlns:a16="http://schemas.microsoft.com/office/drawing/2014/main" id="{CCF72E66-2606-DDC3-07D8-C15DE48627B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19" name="Shape 44">
            <a:extLst>
              <a:ext uri="{FF2B5EF4-FFF2-40B4-BE49-F238E27FC236}">
                <a16:creationId xmlns:a16="http://schemas.microsoft.com/office/drawing/2014/main" id="{0E080A7D-CF73-DC39-19D3-6D5B50DA01D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20" name="Shape 45">
            <a:extLst>
              <a:ext uri="{FF2B5EF4-FFF2-40B4-BE49-F238E27FC236}">
                <a16:creationId xmlns:a16="http://schemas.microsoft.com/office/drawing/2014/main" id="{A1989E3F-6904-1E53-B033-1C565B55D43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21" name="Shape 46">
            <a:extLst>
              <a:ext uri="{FF2B5EF4-FFF2-40B4-BE49-F238E27FC236}">
                <a16:creationId xmlns:a16="http://schemas.microsoft.com/office/drawing/2014/main" id="{876C1B23-39D5-82B9-185E-C3A40C9682D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257</xdr:row>
      <xdr:rowOff>3409</xdr:rowOff>
    </xdr:from>
    <xdr:ext cx="33655" cy="33655"/>
    <xdr:grpSp>
      <xdr:nvGrpSpPr>
        <xdr:cNvPr id="3422" name="Group 47">
          <a:extLst>
            <a:ext uri="{FF2B5EF4-FFF2-40B4-BE49-F238E27FC236}">
              <a16:creationId xmlns:a16="http://schemas.microsoft.com/office/drawing/2014/main" id="{1953A064-E0DC-4945-8817-FC68119D36AF}"/>
            </a:ext>
          </a:extLst>
        </xdr:cNvPr>
        <xdr:cNvGrpSpPr/>
      </xdr:nvGrpSpPr>
      <xdr:grpSpPr>
        <a:xfrm>
          <a:off x="4603072" y="49633343"/>
          <a:ext cx="33655" cy="33655"/>
          <a:chOff x="0" y="0"/>
          <a:chExt cx="33655" cy="33655"/>
        </a:xfrm>
      </xdr:grpSpPr>
      <xdr:sp macro="" textlink="">
        <xdr:nvSpPr>
          <xdr:cNvPr id="3423" name="Shape 48">
            <a:extLst>
              <a:ext uri="{FF2B5EF4-FFF2-40B4-BE49-F238E27FC236}">
                <a16:creationId xmlns:a16="http://schemas.microsoft.com/office/drawing/2014/main" id="{3E013B72-1B8D-D486-15CC-3B307FAB38B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24" name="Shape 49">
            <a:extLst>
              <a:ext uri="{FF2B5EF4-FFF2-40B4-BE49-F238E27FC236}">
                <a16:creationId xmlns:a16="http://schemas.microsoft.com/office/drawing/2014/main" id="{BFDBAD0F-FE5B-BDFA-9E2A-FD808096230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25" name="Shape 50">
            <a:extLst>
              <a:ext uri="{FF2B5EF4-FFF2-40B4-BE49-F238E27FC236}">
                <a16:creationId xmlns:a16="http://schemas.microsoft.com/office/drawing/2014/main" id="{5DB91958-B1EE-2B66-E858-551D76ED27B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26" name="Shape 51">
            <a:extLst>
              <a:ext uri="{FF2B5EF4-FFF2-40B4-BE49-F238E27FC236}">
                <a16:creationId xmlns:a16="http://schemas.microsoft.com/office/drawing/2014/main" id="{E8301672-8502-546F-9A6A-704FFCE8746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27" name="Shape 52">
            <a:extLst>
              <a:ext uri="{FF2B5EF4-FFF2-40B4-BE49-F238E27FC236}">
                <a16:creationId xmlns:a16="http://schemas.microsoft.com/office/drawing/2014/main" id="{3DD9F2FA-F71C-2AF5-53F8-EACEA42800C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28" name="Shape 53">
            <a:extLst>
              <a:ext uri="{FF2B5EF4-FFF2-40B4-BE49-F238E27FC236}">
                <a16:creationId xmlns:a16="http://schemas.microsoft.com/office/drawing/2014/main" id="{29E4BE46-0BE2-E2DA-5833-28235C3DC6F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29" name="Shape 54">
            <a:extLst>
              <a:ext uri="{FF2B5EF4-FFF2-40B4-BE49-F238E27FC236}">
                <a16:creationId xmlns:a16="http://schemas.microsoft.com/office/drawing/2014/main" id="{37E586FA-C4E9-21E9-C082-60B24519F38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30" name="Shape 55">
            <a:extLst>
              <a:ext uri="{FF2B5EF4-FFF2-40B4-BE49-F238E27FC236}">
                <a16:creationId xmlns:a16="http://schemas.microsoft.com/office/drawing/2014/main" id="{D4276817-C87C-7239-CC93-F3962EFF033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31" name="Shape 56">
            <a:extLst>
              <a:ext uri="{FF2B5EF4-FFF2-40B4-BE49-F238E27FC236}">
                <a16:creationId xmlns:a16="http://schemas.microsoft.com/office/drawing/2014/main" id="{F5220113-4494-CA36-21A4-548EC6CEBAD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32" name="Shape 57">
            <a:extLst>
              <a:ext uri="{FF2B5EF4-FFF2-40B4-BE49-F238E27FC236}">
                <a16:creationId xmlns:a16="http://schemas.microsoft.com/office/drawing/2014/main" id="{A8839ED3-3713-0FF7-E63B-25779D70E15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33" name="Shape 58">
            <a:extLst>
              <a:ext uri="{FF2B5EF4-FFF2-40B4-BE49-F238E27FC236}">
                <a16:creationId xmlns:a16="http://schemas.microsoft.com/office/drawing/2014/main" id="{B959C9C4-21EB-AF25-5341-B5D9DF02885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34" name="Shape 59">
            <a:extLst>
              <a:ext uri="{FF2B5EF4-FFF2-40B4-BE49-F238E27FC236}">
                <a16:creationId xmlns:a16="http://schemas.microsoft.com/office/drawing/2014/main" id="{F12FA7E0-0C99-3726-937D-F1C96D18CF2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35" name="Shape 60">
            <a:extLst>
              <a:ext uri="{FF2B5EF4-FFF2-40B4-BE49-F238E27FC236}">
                <a16:creationId xmlns:a16="http://schemas.microsoft.com/office/drawing/2014/main" id="{973014D6-65DB-1C43-D877-5007C3473E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36" name="Shape 61">
            <a:extLst>
              <a:ext uri="{FF2B5EF4-FFF2-40B4-BE49-F238E27FC236}">
                <a16:creationId xmlns:a16="http://schemas.microsoft.com/office/drawing/2014/main" id="{D08E8D46-01D8-203E-6AFF-E6C714C2334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256</xdr:row>
      <xdr:rowOff>160844</xdr:rowOff>
    </xdr:from>
    <xdr:ext cx="33655" cy="33655"/>
    <xdr:grpSp>
      <xdr:nvGrpSpPr>
        <xdr:cNvPr id="3437" name="Group 62">
          <a:extLst>
            <a:ext uri="{FF2B5EF4-FFF2-40B4-BE49-F238E27FC236}">
              <a16:creationId xmlns:a16="http://schemas.microsoft.com/office/drawing/2014/main" id="{5C992E16-BB8B-44E5-A236-DA23718DE579}"/>
            </a:ext>
          </a:extLst>
        </xdr:cNvPr>
        <xdr:cNvGrpSpPr/>
      </xdr:nvGrpSpPr>
      <xdr:grpSpPr>
        <a:xfrm>
          <a:off x="4603072" y="49622139"/>
          <a:ext cx="33655" cy="33655"/>
          <a:chOff x="0" y="0"/>
          <a:chExt cx="33655" cy="33655"/>
        </a:xfrm>
      </xdr:grpSpPr>
      <xdr:sp macro="" textlink="">
        <xdr:nvSpPr>
          <xdr:cNvPr id="3438" name="Shape 63">
            <a:extLst>
              <a:ext uri="{FF2B5EF4-FFF2-40B4-BE49-F238E27FC236}">
                <a16:creationId xmlns:a16="http://schemas.microsoft.com/office/drawing/2014/main" id="{1FC99145-BE6B-A75A-E639-9F4B53DFEE0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39" name="Shape 64">
            <a:extLst>
              <a:ext uri="{FF2B5EF4-FFF2-40B4-BE49-F238E27FC236}">
                <a16:creationId xmlns:a16="http://schemas.microsoft.com/office/drawing/2014/main" id="{51A4DFDA-D3D1-5B41-B17C-95792F6D5C0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440" name="Shape 65">
            <a:extLst>
              <a:ext uri="{FF2B5EF4-FFF2-40B4-BE49-F238E27FC236}">
                <a16:creationId xmlns:a16="http://schemas.microsoft.com/office/drawing/2014/main" id="{5BD6E1A0-9B20-1705-E6E2-27187351B8C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41" name="Shape 66">
            <a:extLst>
              <a:ext uri="{FF2B5EF4-FFF2-40B4-BE49-F238E27FC236}">
                <a16:creationId xmlns:a16="http://schemas.microsoft.com/office/drawing/2014/main" id="{9B803B8F-95FA-6C5E-0698-025C38B9CBD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442" name="Shape 67">
            <a:extLst>
              <a:ext uri="{FF2B5EF4-FFF2-40B4-BE49-F238E27FC236}">
                <a16:creationId xmlns:a16="http://schemas.microsoft.com/office/drawing/2014/main" id="{F711AB42-F314-5F2B-F4EA-CA5D6E7AC55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43" name="Shape 68">
            <a:extLst>
              <a:ext uri="{FF2B5EF4-FFF2-40B4-BE49-F238E27FC236}">
                <a16:creationId xmlns:a16="http://schemas.microsoft.com/office/drawing/2014/main" id="{1729EED6-E0F4-1CFA-9EEB-A307F2A1569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444" name="Shape 69">
            <a:extLst>
              <a:ext uri="{FF2B5EF4-FFF2-40B4-BE49-F238E27FC236}">
                <a16:creationId xmlns:a16="http://schemas.microsoft.com/office/drawing/2014/main" id="{B62D3AE1-796F-0F4D-39DA-F2A560C4114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45" name="Shape 70">
            <a:extLst>
              <a:ext uri="{FF2B5EF4-FFF2-40B4-BE49-F238E27FC236}">
                <a16:creationId xmlns:a16="http://schemas.microsoft.com/office/drawing/2014/main" id="{E4218B8E-8045-A8AB-7650-F36130406B2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446" name="Shape 71">
            <a:extLst>
              <a:ext uri="{FF2B5EF4-FFF2-40B4-BE49-F238E27FC236}">
                <a16:creationId xmlns:a16="http://schemas.microsoft.com/office/drawing/2014/main" id="{34E6B215-A752-5E48-9ECC-7970079E213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47" name="Shape 72">
            <a:extLst>
              <a:ext uri="{FF2B5EF4-FFF2-40B4-BE49-F238E27FC236}">
                <a16:creationId xmlns:a16="http://schemas.microsoft.com/office/drawing/2014/main" id="{F09A24F3-5942-BB62-F38D-4DBB07C6A48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448" name="Shape 73">
            <a:extLst>
              <a:ext uri="{FF2B5EF4-FFF2-40B4-BE49-F238E27FC236}">
                <a16:creationId xmlns:a16="http://schemas.microsoft.com/office/drawing/2014/main" id="{166F51A5-53F0-D037-200C-15AF23DCE61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49" name="Shape 74">
            <a:extLst>
              <a:ext uri="{FF2B5EF4-FFF2-40B4-BE49-F238E27FC236}">
                <a16:creationId xmlns:a16="http://schemas.microsoft.com/office/drawing/2014/main" id="{93CB0AB4-F248-A10A-BE08-D62C8743AFB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450" name="Shape 75">
            <a:extLst>
              <a:ext uri="{FF2B5EF4-FFF2-40B4-BE49-F238E27FC236}">
                <a16:creationId xmlns:a16="http://schemas.microsoft.com/office/drawing/2014/main" id="{B1C7A08B-5D08-8AB5-A119-B2CC1A25452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451" name="Shape 76">
            <a:extLst>
              <a:ext uri="{FF2B5EF4-FFF2-40B4-BE49-F238E27FC236}">
                <a16:creationId xmlns:a16="http://schemas.microsoft.com/office/drawing/2014/main" id="{A6705FED-EDE0-0AEB-C042-715A6581C96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268</xdr:row>
      <xdr:rowOff>2978</xdr:rowOff>
    </xdr:from>
    <xdr:ext cx="33655" cy="33655"/>
    <xdr:grpSp>
      <xdr:nvGrpSpPr>
        <xdr:cNvPr id="3452" name="Group 2">
          <a:extLst>
            <a:ext uri="{FF2B5EF4-FFF2-40B4-BE49-F238E27FC236}">
              <a16:creationId xmlns:a16="http://schemas.microsoft.com/office/drawing/2014/main" id="{6C33085C-C975-4ED9-8B1F-2EF2B7BA49B5}"/>
            </a:ext>
          </a:extLst>
        </xdr:cNvPr>
        <xdr:cNvGrpSpPr/>
      </xdr:nvGrpSpPr>
      <xdr:grpSpPr>
        <a:xfrm>
          <a:off x="4603072" y="51793994"/>
          <a:ext cx="33655" cy="33655"/>
          <a:chOff x="0" y="0"/>
          <a:chExt cx="33655" cy="33655"/>
        </a:xfrm>
      </xdr:grpSpPr>
      <xdr:sp macro="" textlink="">
        <xdr:nvSpPr>
          <xdr:cNvPr id="3453" name="Shape 3">
            <a:extLst>
              <a:ext uri="{FF2B5EF4-FFF2-40B4-BE49-F238E27FC236}">
                <a16:creationId xmlns:a16="http://schemas.microsoft.com/office/drawing/2014/main" id="{78786889-691D-9329-17A2-49291530854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54" name="Shape 4">
            <a:extLst>
              <a:ext uri="{FF2B5EF4-FFF2-40B4-BE49-F238E27FC236}">
                <a16:creationId xmlns:a16="http://schemas.microsoft.com/office/drawing/2014/main" id="{62000EFB-7E27-F1AF-4B6B-1CBC3CBE90D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55" name="Shape 5">
            <a:extLst>
              <a:ext uri="{FF2B5EF4-FFF2-40B4-BE49-F238E27FC236}">
                <a16:creationId xmlns:a16="http://schemas.microsoft.com/office/drawing/2014/main" id="{D19DAE77-2476-D0B7-2A5B-0F6FED29B39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56" name="Shape 6">
            <a:extLst>
              <a:ext uri="{FF2B5EF4-FFF2-40B4-BE49-F238E27FC236}">
                <a16:creationId xmlns:a16="http://schemas.microsoft.com/office/drawing/2014/main" id="{83DB6C9D-B6EB-0887-25E5-512179130EF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57" name="Shape 7">
            <a:extLst>
              <a:ext uri="{FF2B5EF4-FFF2-40B4-BE49-F238E27FC236}">
                <a16:creationId xmlns:a16="http://schemas.microsoft.com/office/drawing/2014/main" id="{21758AA2-186B-CD80-38DA-0DC75B07CA4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58" name="Shape 8">
            <a:extLst>
              <a:ext uri="{FF2B5EF4-FFF2-40B4-BE49-F238E27FC236}">
                <a16:creationId xmlns:a16="http://schemas.microsoft.com/office/drawing/2014/main" id="{300485A4-841A-23B7-9EBA-F64425D202B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59" name="Shape 9">
            <a:extLst>
              <a:ext uri="{FF2B5EF4-FFF2-40B4-BE49-F238E27FC236}">
                <a16:creationId xmlns:a16="http://schemas.microsoft.com/office/drawing/2014/main" id="{B72B008C-BEB1-21D8-2EF9-025E7A69822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60" name="Shape 10">
            <a:extLst>
              <a:ext uri="{FF2B5EF4-FFF2-40B4-BE49-F238E27FC236}">
                <a16:creationId xmlns:a16="http://schemas.microsoft.com/office/drawing/2014/main" id="{5085A72E-E9F9-AC0A-F8CE-ED7D4602356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61" name="Shape 11">
            <a:extLst>
              <a:ext uri="{FF2B5EF4-FFF2-40B4-BE49-F238E27FC236}">
                <a16:creationId xmlns:a16="http://schemas.microsoft.com/office/drawing/2014/main" id="{23569D2F-2387-8448-918D-F74BB94761D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62" name="Shape 12">
            <a:extLst>
              <a:ext uri="{FF2B5EF4-FFF2-40B4-BE49-F238E27FC236}">
                <a16:creationId xmlns:a16="http://schemas.microsoft.com/office/drawing/2014/main" id="{5E82FE0A-AE79-5741-A665-E6B057ADA89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63" name="Shape 13">
            <a:extLst>
              <a:ext uri="{FF2B5EF4-FFF2-40B4-BE49-F238E27FC236}">
                <a16:creationId xmlns:a16="http://schemas.microsoft.com/office/drawing/2014/main" id="{40FF7B80-B98E-139B-C43B-E608B01965B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64" name="Shape 14">
            <a:extLst>
              <a:ext uri="{FF2B5EF4-FFF2-40B4-BE49-F238E27FC236}">
                <a16:creationId xmlns:a16="http://schemas.microsoft.com/office/drawing/2014/main" id="{E2FA5EE3-8E9B-C319-F8B9-4A3D2220EAE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65" name="Shape 15">
            <a:extLst>
              <a:ext uri="{FF2B5EF4-FFF2-40B4-BE49-F238E27FC236}">
                <a16:creationId xmlns:a16="http://schemas.microsoft.com/office/drawing/2014/main" id="{A04F0EDB-A5EA-BD6C-146A-3BF796D660C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66" name="Shape 16">
            <a:extLst>
              <a:ext uri="{FF2B5EF4-FFF2-40B4-BE49-F238E27FC236}">
                <a16:creationId xmlns:a16="http://schemas.microsoft.com/office/drawing/2014/main" id="{886A38DF-EF54-D86D-8C92-44C09C4095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268</xdr:row>
      <xdr:rowOff>3246</xdr:rowOff>
    </xdr:from>
    <xdr:ext cx="33655" cy="33655"/>
    <xdr:grpSp>
      <xdr:nvGrpSpPr>
        <xdr:cNvPr id="3467" name="Group 17">
          <a:extLst>
            <a:ext uri="{FF2B5EF4-FFF2-40B4-BE49-F238E27FC236}">
              <a16:creationId xmlns:a16="http://schemas.microsoft.com/office/drawing/2014/main" id="{7D5D9618-4519-4DD7-AE01-D59BC5337962}"/>
            </a:ext>
          </a:extLst>
        </xdr:cNvPr>
        <xdr:cNvGrpSpPr/>
      </xdr:nvGrpSpPr>
      <xdr:grpSpPr>
        <a:xfrm>
          <a:off x="4603072" y="51794262"/>
          <a:ext cx="33655" cy="33655"/>
          <a:chOff x="0" y="0"/>
          <a:chExt cx="33655" cy="33655"/>
        </a:xfrm>
      </xdr:grpSpPr>
      <xdr:sp macro="" textlink="">
        <xdr:nvSpPr>
          <xdr:cNvPr id="3468" name="Shape 18">
            <a:extLst>
              <a:ext uri="{FF2B5EF4-FFF2-40B4-BE49-F238E27FC236}">
                <a16:creationId xmlns:a16="http://schemas.microsoft.com/office/drawing/2014/main" id="{E3DAF10E-E64F-ED7A-0BDC-0C9BDF25CCB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69" name="Shape 19">
            <a:extLst>
              <a:ext uri="{FF2B5EF4-FFF2-40B4-BE49-F238E27FC236}">
                <a16:creationId xmlns:a16="http://schemas.microsoft.com/office/drawing/2014/main" id="{C569B2CE-2744-1F68-EF5D-3A1DBE63321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70" name="Shape 20">
            <a:extLst>
              <a:ext uri="{FF2B5EF4-FFF2-40B4-BE49-F238E27FC236}">
                <a16:creationId xmlns:a16="http://schemas.microsoft.com/office/drawing/2014/main" id="{A393D932-C024-4B02-110E-35A28CCCEC0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71" name="Shape 21">
            <a:extLst>
              <a:ext uri="{FF2B5EF4-FFF2-40B4-BE49-F238E27FC236}">
                <a16:creationId xmlns:a16="http://schemas.microsoft.com/office/drawing/2014/main" id="{54EF80A4-D52D-8CEE-E59E-48E18855C40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72" name="Shape 22">
            <a:extLst>
              <a:ext uri="{FF2B5EF4-FFF2-40B4-BE49-F238E27FC236}">
                <a16:creationId xmlns:a16="http://schemas.microsoft.com/office/drawing/2014/main" id="{8CFA084B-DC78-8555-EB1F-2131A43FB9F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73" name="Shape 23">
            <a:extLst>
              <a:ext uri="{FF2B5EF4-FFF2-40B4-BE49-F238E27FC236}">
                <a16:creationId xmlns:a16="http://schemas.microsoft.com/office/drawing/2014/main" id="{AE794994-3225-AF9F-7F4E-5DAEBAC28DC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74" name="Shape 24">
            <a:extLst>
              <a:ext uri="{FF2B5EF4-FFF2-40B4-BE49-F238E27FC236}">
                <a16:creationId xmlns:a16="http://schemas.microsoft.com/office/drawing/2014/main" id="{283E1609-7584-F77E-A771-33679BEE8A6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75" name="Shape 25">
            <a:extLst>
              <a:ext uri="{FF2B5EF4-FFF2-40B4-BE49-F238E27FC236}">
                <a16:creationId xmlns:a16="http://schemas.microsoft.com/office/drawing/2014/main" id="{BD576785-7932-2F1A-7F3C-B8F8B2D878A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76" name="Shape 26">
            <a:extLst>
              <a:ext uri="{FF2B5EF4-FFF2-40B4-BE49-F238E27FC236}">
                <a16:creationId xmlns:a16="http://schemas.microsoft.com/office/drawing/2014/main" id="{61B46611-99F4-1CC4-F8B7-CF0C94AF19B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77" name="Shape 27">
            <a:extLst>
              <a:ext uri="{FF2B5EF4-FFF2-40B4-BE49-F238E27FC236}">
                <a16:creationId xmlns:a16="http://schemas.microsoft.com/office/drawing/2014/main" id="{0DE14C9D-D681-44A7-EF1C-35FB757CAA9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78" name="Shape 28">
            <a:extLst>
              <a:ext uri="{FF2B5EF4-FFF2-40B4-BE49-F238E27FC236}">
                <a16:creationId xmlns:a16="http://schemas.microsoft.com/office/drawing/2014/main" id="{9CD38039-7EC4-6638-397E-E8CD0A0C70A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79" name="Shape 29">
            <a:extLst>
              <a:ext uri="{FF2B5EF4-FFF2-40B4-BE49-F238E27FC236}">
                <a16:creationId xmlns:a16="http://schemas.microsoft.com/office/drawing/2014/main" id="{F9BEAA27-B7D2-E574-328C-8BC05329DDD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80" name="Shape 30">
            <a:extLst>
              <a:ext uri="{FF2B5EF4-FFF2-40B4-BE49-F238E27FC236}">
                <a16:creationId xmlns:a16="http://schemas.microsoft.com/office/drawing/2014/main" id="{926F1B40-87F7-4AD5-9026-44DE20D6EF6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81" name="Shape 31">
            <a:extLst>
              <a:ext uri="{FF2B5EF4-FFF2-40B4-BE49-F238E27FC236}">
                <a16:creationId xmlns:a16="http://schemas.microsoft.com/office/drawing/2014/main" id="{4BE29758-DA29-C315-B66A-CD1E7D5D264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267</xdr:row>
      <xdr:rowOff>160585</xdr:rowOff>
    </xdr:from>
    <xdr:ext cx="33655" cy="33655"/>
    <xdr:grpSp>
      <xdr:nvGrpSpPr>
        <xdr:cNvPr id="3482" name="Group 32">
          <a:extLst>
            <a:ext uri="{FF2B5EF4-FFF2-40B4-BE49-F238E27FC236}">
              <a16:creationId xmlns:a16="http://schemas.microsoft.com/office/drawing/2014/main" id="{992B1896-472B-4B97-A27B-8999DD12AA52}"/>
            </a:ext>
          </a:extLst>
        </xdr:cNvPr>
        <xdr:cNvGrpSpPr/>
      </xdr:nvGrpSpPr>
      <xdr:grpSpPr>
        <a:xfrm>
          <a:off x="4603072" y="51782962"/>
          <a:ext cx="33655" cy="33655"/>
          <a:chOff x="0" y="0"/>
          <a:chExt cx="33655" cy="33655"/>
        </a:xfrm>
      </xdr:grpSpPr>
      <xdr:sp macro="" textlink="">
        <xdr:nvSpPr>
          <xdr:cNvPr id="3483" name="Shape 33">
            <a:extLst>
              <a:ext uri="{FF2B5EF4-FFF2-40B4-BE49-F238E27FC236}">
                <a16:creationId xmlns:a16="http://schemas.microsoft.com/office/drawing/2014/main" id="{7D4D73A5-915F-3FBA-A00C-92250F56A79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84" name="Shape 34">
            <a:extLst>
              <a:ext uri="{FF2B5EF4-FFF2-40B4-BE49-F238E27FC236}">
                <a16:creationId xmlns:a16="http://schemas.microsoft.com/office/drawing/2014/main" id="{A795FD3A-D229-5E91-F296-9E9719ECDEF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85" name="Shape 35">
            <a:extLst>
              <a:ext uri="{FF2B5EF4-FFF2-40B4-BE49-F238E27FC236}">
                <a16:creationId xmlns:a16="http://schemas.microsoft.com/office/drawing/2014/main" id="{64690235-BFEA-7387-F705-CA7777CE0E6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86" name="Shape 36">
            <a:extLst>
              <a:ext uri="{FF2B5EF4-FFF2-40B4-BE49-F238E27FC236}">
                <a16:creationId xmlns:a16="http://schemas.microsoft.com/office/drawing/2014/main" id="{75691AC0-D9CD-E860-C0CC-576B231C3A3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87" name="Shape 37">
            <a:extLst>
              <a:ext uri="{FF2B5EF4-FFF2-40B4-BE49-F238E27FC236}">
                <a16:creationId xmlns:a16="http://schemas.microsoft.com/office/drawing/2014/main" id="{B2D3DBC1-6F7E-D5D1-54A2-BFAB5983B3A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88" name="Shape 38">
            <a:extLst>
              <a:ext uri="{FF2B5EF4-FFF2-40B4-BE49-F238E27FC236}">
                <a16:creationId xmlns:a16="http://schemas.microsoft.com/office/drawing/2014/main" id="{79CEE332-2DFA-DB10-D192-B1620E351FA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89" name="Shape 39">
            <a:extLst>
              <a:ext uri="{FF2B5EF4-FFF2-40B4-BE49-F238E27FC236}">
                <a16:creationId xmlns:a16="http://schemas.microsoft.com/office/drawing/2014/main" id="{D5DEBACF-D899-42D3-EAF9-2CDE0351178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90" name="Shape 40">
            <a:extLst>
              <a:ext uri="{FF2B5EF4-FFF2-40B4-BE49-F238E27FC236}">
                <a16:creationId xmlns:a16="http://schemas.microsoft.com/office/drawing/2014/main" id="{ECDD3F8C-A329-AC5C-3187-2C62FE87F2E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91" name="Shape 41">
            <a:extLst>
              <a:ext uri="{FF2B5EF4-FFF2-40B4-BE49-F238E27FC236}">
                <a16:creationId xmlns:a16="http://schemas.microsoft.com/office/drawing/2014/main" id="{A85BDB01-D22A-FD13-9A59-1A2756A8B4C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92" name="Shape 42">
            <a:extLst>
              <a:ext uri="{FF2B5EF4-FFF2-40B4-BE49-F238E27FC236}">
                <a16:creationId xmlns:a16="http://schemas.microsoft.com/office/drawing/2014/main" id="{42A8FF19-72F0-F121-2B17-28D377E7479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93" name="Shape 43">
            <a:extLst>
              <a:ext uri="{FF2B5EF4-FFF2-40B4-BE49-F238E27FC236}">
                <a16:creationId xmlns:a16="http://schemas.microsoft.com/office/drawing/2014/main" id="{0963185B-2635-D182-A24D-C75804201B3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94" name="Shape 44">
            <a:extLst>
              <a:ext uri="{FF2B5EF4-FFF2-40B4-BE49-F238E27FC236}">
                <a16:creationId xmlns:a16="http://schemas.microsoft.com/office/drawing/2014/main" id="{90A698B6-F48D-726E-BB70-EBB21EB612B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95" name="Shape 45">
            <a:extLst>
              <a:ext uri="{FF2B5EF4-FFF2-40B4-BE49-F238E27FC236}">
                <a16:creationId xmlns:a16="http://schemas.microsoft.com/office/drawing/2014/main" id="{3008AC4C-36D8-C64B-9895-77C1176A5C9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496" name="Shape 46">
            <a:extLst>
              <a:ext uri="{FF2B5EF4-FFF2-40B4-BE49-F238E27FC236}">
                <a16:creationId xmlns:a16="http://schemas.microsoft.com/office/drawing/2014/main" id="{38891EA1-7BB8-C9B0-179C-92C44475F9B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268</xdr:row>
      <xdr:rowOff>3409</xdr:rowOff>
    </xdr:from>
    <xdr:ext cx="33655" cy="33655"/>
    <xdr:grpSp>
      <xdr:nvGrpSpPr>
        <xdr:cNvPr id="3497" name="Group 47">
          <a:extLst>
            <a:ext uri="{FF2B5EF4-FFF2-40B4-BE49-F238E27FC236}">
              <a16:creationId xmlns:a16="http://schemas.microsoft.com/office/drawing/2014/main" id="{0C13BA42-3885-4500-8AEB-2D96ADE6F326}"/>
            </a:ext>
          </a:extLst>
        </xdr:cNvPr>
        <xdr:cNvGrpSpPr/>
      </xdr:nvGrpSpPr>
      <xdr:grpSpPr>
        <a:xfrm>
          <a:off x="4603072" y="51794425"/>
          <a:ext cx="33655" cy="33655"/>
          <a:chOff x="0" y="0"/>
          <a:chExt cx="33655" cy="33655"/>
        </a:xfrm>
      </xdr:grpSpPr>
      <xdr:sp macro="" textlink="">
        <xdr:nvSpPr>
          <xdr:cNvPr id="3498" name="Shape 48">
            <a:extLst>
              <a:ext uri="{FF2B5EF4-FFF2-40B4-BE49-F238E27FC236}">
                <a16:creationId xmlns:a16="http://schemas.microsoft.com/office/drawing/2014/main" id="{189F6721-37B6-4487-2DDC-E686B22CCC1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499" name="Shape 49">
            <a:extLst>
              <a:ext uri="{FF2B5EF4-FFF2-40B4-BE49-F238E27FC236}">
                <a16:creationId xmlns:a16="http://schemas.microsoft.com/office/drawing/2014/main" id="{5FBF3484-9A45-E445-5E81-9D6B2778C72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00" name="Shape 50">
            <a:extLst>
              <a:ext uri="{FF2B5EF4-FFF2-40B4-BE49-F238E27FC236}">
                <a16:creationId xmlns:a16="http://schemas.microsoft.com/office/drawing/2014/main" id="{4C7B8F66-0ED5-2466-624B-B5BC04DFE89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01" name="Shape 51">
            <a:extLst>
              <a:ext uri="{FF2B5EF4-FFF2-40B4-BE49-F238E27FC236}">
                <a16:creationId xmlns:a16="http://schemas.microsoft.com/office/drawing/2014/main" id="{1F6D55C3-7797-B7F4-0F07-9AEB304C68C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02" name="Shape 52">
            <a:extLst>
              <a:ext uri="{FF2B5EF4-FFF2-40B4-BE49-F238E27FC236}">
                <a16:creationId xmlns:a16="http://schemas.microsoft.com/office/drawing/2014/main" id="{AB619EB0-A2EF-9B8B-39F9-C56F68C110C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03" name="Shape 53">
            <a:extLst>
              <a:ext uri="{FF2B5EF4-FFF2-40B4-BE49-F238E27FC236}">
                <a16:creationId xmlns:a16="http://schemas.microsoft.com/office/drawing/2014/main" id="{52341A4B-43EE-E44F-81BD-88AF546752B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04" name="Shape 54">
            <a:extLst>
              <a:ext uri="{FF2B5EF4-FFF2-40B4-BE49-F238E27FC236}">
                <a16:creationId xmlns:a16="http://schemas.microsoft.com/office/drawing/2014/main" id="{6C4E977D-50D5-7FC6-8C27-17E6D2773BF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05" name="Shape 55">
            <a:extLst>
              <a:ext uri="{FF2B5EF4-FFF2-40B4-BE49-F238E27FC236}">
                <a16:creationId xmlns:a16="http://schemas.microsoft.com/office/drawing/2014/main" id="{DB978BD2-DE0A-A882-82E5-0710015CFF2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06" name="Shape 56">
            <a:extLst>
              <a:ext uri="{FF2B5EF4-FFF2-40B4-BE49-F238E27FC236}">
                <a16:creationId xmlns:a16="http://schemas.microsoft.com/office/drawing/2014/main" id="{A5FC8E8B-BC1B-5BCC-EA89-2EFEBAB555D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07" name="Shape 57">
            <a:extLst>
              <a:ext uri="{FF2B5EF4-FFF2-40B4-BE49-F238E27FC236}">
                <a16:creationId xmlns:a16="http://schemas.microsoft.com/office/drawing/2014/main" id="{A88B5CA3-119C-00B0-E35C-397B923EBC5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08" name="Shape 58">
            <a:extLst>
              <a:ext uri="{FF2B5EF4-FFF2-40B4-BE49-F238E27FC236}">
                <a16:creationId xmlns:a16="http://schemas.microsoft.com/office/drawing/2014/main" id="{87004D89-35F8-D639-817F-EB3DC84E767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09" name="Shape 59">
            <a:extLst>
              <a:ext uri="{FF2B5EF4-FFF2-40B4-BE49-F238E27FC236}">
                <a16:creationId xmlns:a16="http://schemas.microsoft.com/office/drawing/2014/main" id="{8921B153-59E7-61D3-FD02-CA879001E5D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10" name="Shape 60">
            <a:extLst>
              <a:ext uri="{FF2B5EF4-FFF2-40B4-BE49-F238E27FC236}">
                <a16:creationId xmlns:a16="http://schemas.microsoft.com/office/drawing/2014/main" id="{F7C48C06-7C64-C432-E9B6-B723DBB0225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11" name="Shape 61">
            <a:extLst>
              <a:ext uri="{FF2B5EF4-FFF2-40B4-BE49-F238E27FC236}">
                <a16:creationId xmlns:a16="http://schemas.microsoft.com/office/drawing/2014/main" id="{BDDDAA9E-B137-7D6E-76A4-6CB6CC2BCCA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267</xdr:row>
      <xdr:rowOff>160844</xdr:rowOff>
    </xdr:from>
    <xdr:ext cx="33655" cy="33655"/>
    <xdr:grpSp>
      <xdr:nvGrpSpPr>
        <xdr:cNvPr id="3512" name="Group 62">
          <a:extLst>
            <a:ext uri="{FF2B5EF4-FFF2-40B4-BE49-F238E27FC236}">
              <a16:creationId xmlns:a16="http://schemas.microsoft.com/office/drawing/2014/main" id="{0ECF8FE0-5975-4BD5-9C58-F96369067289}"/>
            </a:ext>
          </a:extLst>
        </xdr:cNvPr>
        <xdr:cNvGrpSpPr/>
      </xdr:nvGrpSpPr>
      <xdr:grpSpPr>
        <a:xfrm>
          <a:off x="4603072" y="51783221"/>
          <a:ext cx="33655" cy="33655"/>
          <a:chOff x="0" y="0"/>
          <a:chExt cx="33655" cy="33655"/>
        </a:xfrm>
      </xdr:grpSpPr>
      <xdr:sp macro="" textlink="">
        <xdr:nvSpPr>
          <xdr:cNvPr id="3513" name="Shape 63">
            <a:extLst>
              <a:ext uri="{FF2B5EF4-FFF2-40B4-BE49-F238E27FC236}">
                <a16:creationId xmlns:a16="http://schemas.microsoft.com/office/drawing/2014/main" id="{8A1C00E5-8BEA-C770-419F-EB04F9FBA3D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14" name="Shape 64">
            <a:extLst>
              <a:ext uri="{FF2B5EF4-FFF2-40B4-BE49-F238E27FC236}">
                <a16:creationId xmlns:a16="http://schemas.microsoft.com/office/drawing/2014/main" id="{CDB5BBC5-44C2-3CA8-2622-D2783FBC54F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15" name="Shape 65">
            <a:extLst>
              <a:ext uri="{FF2B5EF4-FFF2-40B4-BE49-F238E27FC236}">
                <a16:creationId xmlns:a16="http://schemas.microsoft.com/office/drawing/2014/main" id="{FEA40ACD-C95E-3543-FD02-74577966F5E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16" name="Shape 66">
            <a:extLst>
              <a:ext uri="{FF2B5EF4-FFF2-40B4-BE49-F238E27FC236}">
                <a16:creationId xmlns:a16="http://schemas.microsoft.com/office/drawing/2014/main" id="{70780FC8-8A84-9C05-5620-F68A8AC9CD6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17" name="Shape 67">
            <a:extLst>
              <a:ext uri="{FF2B5EF4-FFF2-40B4-BE49-F238E27FC236}">
                <a16:creationId xmlns:a16="http://schemas.microsoft.com/office/drawing/2014/main" id="{8AB582B9-3E23-AC53-A4BD-FF597358015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18" name="Shape 68">
            <a:extLst>
              <a:ext uri="{FF2B5EF4-FFF2-40B4-BE49-F238E27FC236}">
                <a16:creationId xmlns:a16="http://schemas.microsoft.com/office/drawing/2014/main" id="{01B973F0-7A93-F1CF-7DF4-852866CF3DA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19" name="Shape 69">
            <a:extLst>
              <a:ext uri="{FF2B5EF4-FFF2-40B4-BE49-F238E27FC236}">
                <a16:creationId xmlns:a16="http://schemas.microsoft.com/office/drawing/2014/main" id="{668129E3-73D3-829E-40AC-221A2D9F100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20" name="Shape 70">
            <a:extLst>
              <a:ext uri="{FF2B5EF4-FFF2-40B4-BE49-F238E27FC236}">
                <a16:creationId xmlns:a16="http://schemas.microsoft.com/office/drawing/2014/main" id="{6ADA0D9C-0E41-DE50-11BE-01A7754401A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21" name="Shape 71">
            <a:extLst>
              <a:ext uri="{FF2B5EF4-FFF2-40B4-BE49-F238E27FC236}">
                <a16:creationId xmlns:a16="http://schemas.microsoft.com/office/drawing/2014/main" id="{EDD8FEFD-7F7C-B6D6-81DB-041CB644948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22" name="Shape 72">
            <a:extLst>
              <a:ext uri="{FF2B5EF4-FFF2-40B4-BE49-F238E27FC236}">
                <a16:creationId xmlns:a16="http://schemas.microsoft.com/office/drawing/2014/main" id="{0B392142-9613-1707-A56A-B5793E0241C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23" name="Shape 73">
            <a:extLst>
              <a:ext uri="{FF2B5EF4-FFF2-40B4-BE49-F238E27FC236}">
                <a16:creationId xmlns:a16="http://schemas.microsoft.com/office/drawing/2014/main" id="{D336E94F-5D6A-EFB5-EBD2-0533495E285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24" name="Shape 74">
            <a:extLst>
              <a:ext uri="{FF2B5EF4-FFF2-40B4-BE49-F238E27FC236}">
                <a16:creationId xmlns:a16="http://schemas.microsoft.com/office/drawing/2014/main" id="{B561522F-B15A-26C3-83AC-C641CE456D5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25" name="Shape 75">
            <a:extLst>
              <a:ext uri="{FF2B5EF4-FFF2-40B4-BE49-F238E27FC236}">
                <a16:creationId xmlns:a16="http://schemas.microsoft.com/office/drawing/2014/main" id="{80FA30DE-EC0A-133B-981F-B59555024BA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26" name="Shape 76">
            <a:extLst>
              <a:ext uri="{FF2B5EF4-FFF2-40B4-BE49-F238E27FC236}">
                <a16:creationId xmlns:a16="http://schemas.microsoft.com/office/drawing/2014/main" id="{37E57C34-CA79-6961-35E6-6275CAA0513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279</xdr:row>
      <xdr:rowOff>2978</xdr:rowOff>
    </xdr:from>
    <xdr:ext cx="33655" cy="33655"/>
    <xdr:grpSp>
      <xdr:nvGrpSpPr>
        <xdr:cNvPr id="3527" name="Group 2">
          <a:extLst>
            <a:ext uri="{FF2B5EF4-FFF2-40B4-BE49-F238E27FC236}">
              <a16:creationId xmlns:a16="http://schemas.microsoft.com/office/drawing/2014/main" id="{AB3981C8-4D51-4B1A-B093-90B0EBB1775A}"/>
            </a:ext>
          </a:extLst>
        </xdr:cNvPr>
        <xdr:cNvGrpSpPr/>
      </xdr:nvGrpSpPr>
      <xdr:grpSpPr>
        <a:xfrm>
          <a:off x="4603072" y="53955076"/>
          <a:ext cx="33655" cy="33655"/>
          <a:chOff x="0" y="0"/>
          <a:chExt cx="33655" cy="33655"/>
        </a:xfrm>
      </xdr:grpSpPr>
      <xdr:sp macro="" textlink="">
        <xdr:nvSpPr>
          <xdr:cNvPr id="3528" name="Shape 3">
            <a:extLst>
              <a:ext uri="{FF2B5EF4-FFF2-40B4-BE49-F238E27FC236}">
                <a16:creationId xmlns:a16="http://schemas.microsoft.com/office/drawing/2014/main" id="{2131ECF9-E991-0AEE-DE88-4A82D5E7ACA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29" name="Shape 4">
            <a:extLst>
              <a:ext uri="{FF2B5EF4-FFF2-40B4-BE49-F238E27FC236}">
                <a16:creationId xmlns:a16="http://schemas.microsoft.com/office/drawing/2014/main" id="{DAFC8201-787F-88C2-0D92-29A71FBFBB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30" name="Shape 5">
            <a:extLst>
              <a:ext uri="{FF2B5EF4-FFF2-40B4-BE49-F238E27FC236}">
                <a16:creationId xmlns:a16="http://schemas.microsoft.com/office/drawing/2014/main" id="{20A7B565-5D1E-FC13-D047-0451D2EFA61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31" name="Shape 6">
            <a:extLst>
              <a:ext uri="{FF2B5EF4-FFF2-40B4-BE49-F238E27FC236}">
                <a16:creationId xmlns:a16="http://schemas.microsoft.com/office/drawing/2014/main" id="{30C677BD-55A1-FB7B-2248-85DB1B7679C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32" name="Shape 7">
            <a:extLst>
              <a:ext uri="{FF2B5EF4-FFF2-40B4-BE49-F238E27FC236}">
                <a16:creationId xmlns:a16="http://schemas.microsoft.com/office/drawing/2014/main" id="{1A92E8A8-B0AF-6840-F762-C791C27868E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33" name="Shape 8">
            <a:extLst>
              <a:ext uri="{FF2B5EF4-FFF2-40B4-BE49-F238E27FC236}">
                <a16:creationId xmlns:a16="http://schemas.microsoft.com/office/drawing/2014/main" id="{C9EF0763-D5FA-428E-B317-2F5851F7C40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34" name="Shape 9">
            <a:extLst>
              <a:ext uri="{FF2B5EF4-FFF2-40B4-BE49-F238E27FC236}">
                <a16:creationId xmlns:a16="http://schemas.microsoft.com/office/drawing/2014/main" id="{03A6D4A8-E42D-F37C-E70F-BCB47DABE26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35" name="Shape 10">
            <a:extLst>
              <a:ext uri="{FF2B5EF4-FFF2-40B4-BE49-F238E27FC236}">
                <a16:creationId xmlns:a16="http://schemas.microsoft.com/office/drawing/2014/main" id="{A7F76C27-CE81-9961-D8E2-A2CBF7EB210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36" name="Shape 11">
            <a:extLst>
              <a:ext uri="{FF2B5EF4-FFF2-40B4-BE49-F238E27FC236}">
                <a16:creationId xmlns:a16="http://schemas.microsoft.com/office/drawing/2014/main" id="{25F83391-EE65-D6BC-8506-D718C0A08DB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37" name="Shape 12">
            <a:extLst>
              <a:ext uri="{FF2B5EF4-FFF2-40B4-BE49-F238E27FC236}">
                <a16:creationId xmlns:a16="http://schemas.microsoft.com/office/drawing/2014/main" id="{762686C3-A943-C25D-D83B-9B7CEDD51D6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38" name="Shape 13">
            <a:extLst>
              <a:ext uri="{FF2B5EF4-FFF2-40B4-BE49-F238E27FC236}">
                <a16:creationId xmlns:a16="http://schemas.microsoft.com/office/drawing/2014/main" id="{032D4F26-4879-D871-6F73-A4C19F67009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39" name="Shape 14">
            <a:extLst>
              <a:ext uri="{FF2B5EF4-FFF2-40B4-BE49-F238E27FC236}">
                <a16:creationId xmlns:a16="http://schemas.microsoft.com/office/drawing/2014/main" id="{682F5CAB-ED2E-AA00-541D-C4B9E905EF9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40" name="Shape 15">
            <a:extLst>
              <a:ext uri="{FF2B5EF4-FFF2-40B4-BE49-F238E27FC236}">
                <a16:creationId xmlns:a16="http://schemas.microsoft.com/office/drawing/2014/main" id="{19F2D5C7-4E85-E7A1-7D9C-4F291D84A9C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41" name="Shape 16">
            <a:extLst>
              <a:ext uri="{FF2B5EF4-FFF2-40B4-BE49-F238E27FC236}">
                <a16:creationId xmlns:a16="http://schemas.microsoft.com/office/drawing/2014/main" id="{1644AB23-4F1F-2EE6-D9A8-88962036A99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279</xdr:row>
      <xdr:rowOff>3246</xdr:rowOff>
    </xdr:from>
    <xdr:ext cx="33655" cy="33655"/>
    <xdr:grpSp>
      <xdr:nvGrpSpPr>
        <xdr:cNvPr id="3542" name="Group 17">
          <a:extLst>
            <a:ext uri="{FF2B5EF4-FFF2-40B4-BE49-F238E27FC236}">
              <a16:creationId xmlns:a16="http://schemas.microsoft.com/office/drawing/2014/main" id="{B68C420F-DB8A-4F35-A183-8D1020E887EA}"/>
            </a:ext>
          </a:extLst>
        </xdr:cNvPr>
        <xdr:cNvGrpSpPr/>
      </xdr:nvGrpSpPr>
      <xdr:grpSpPr>
        <a:xfrm>
          <a:off x="4603072" y="53955344"/>
          <a:ext cx="33655" cy="33655"/>
          <a:chOff x="0" y="0"/>
          <a:chExt cx="33655" cy="33655"/>
        </a:xfrm>
      </xdr:grpSpPr>
      <xdr:sp macro="" textlink="">
        <xdr:nvSpPr>
          <xdr:cNvPr id="3543" name="Shape 18">
            <a:extLst>
              <a:ext uri="{FF2B5EF4-FFF2-40B4-BE49-F238E27FC236}">
                <a16:creationId xmlns:a16="http://schemas.microsoft.com/office/drawing/2014/main" id="{9B4D1440-6B23-FAE3-64FB-AD3BBD7BA6D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44" name="Shape 19">
            <a:extLst>
              <a:ext uri="{FF2B5EF4-FFF2-40B4-BE49-F238E27FC236}">
                <a16:creationId xmlns:a16="http://schemas.microsoft.com/office/drawing/2014/main" id="{7EF1FB3A-9ACE-C2E4-01A7-F1EE2BB3272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45" name="Shape 20">
            <a:extLst>
              <a:ext uri="{FF2B5EF4-FFF2-40B4-BE49-F238E27FC236}">
                <a16:creationId xmlns:a16="http://schemas.microsoft.com/office/drawing/2014/main" id="{938C4A53-AE11-5868-F6DD-BA86097A47F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46" name="Shape 21">
            <a:extLst>
              <a:ext uri="{FF2B5EF4-FFF2-40B4-BE49-F238E27FC236}">
                <a16:creationId xmlns:a16="http://schemas.microsoft.com/office/drawing/2014/main" id="{87332099-21A4-A0EE-2821-CCF340AFBD7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47" name="Shape 22">
            <a:extLst>
              <a:ext uri="{FF2B5EF4-FFF2-40B4-BE49-F238E27FC236}">
                <a16:creationId xmlns:a16="http://schemas.microsoft.com/office/drawing/2014/main" id="{C50A9E4F-1211-D289-EBE8-1E8C8D27927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48" name="Shape 23">
            <a:extLst>
              <a:ext uri="{FF2B5EF4-FFF2-40B4-BE49-F238E27FC236}">
                <a16:creationId xmlns:a16="http://schemas.microsoft.com/office/drawing/2014/main" id="{322A03B0-3B19-E794-7D1B-FEACD27CFF3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49" name="Shape 24">
            <a:extLst>
              <a:ext uri="{FF2B5EF4-FFF2-40B4-BE49-F238E27FC236}">
                <a16:creationId xmlns:a16="http://schemas.microsoft.com/office/drawing/2014/main" id="{295F38F5-62F6-735C-477E-0BBDF987D80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50" name="Shape 25">
            <a:extLst>
              <a:ext uri="{FF2B5EF4-FFF2-40B4-BE49-F238E27FC236}">
                <a16:creationId xmlns:a16="http://schemas.microsoft.com/office/drawing/2014/main" id="{A725D5B0-06FB-57BC-66DC-B07A397038E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51" name="Shape 26">
            <a:extLst>
              <a:ext uri="{FF2B5EF4-FFF2-40B4-BE49-F238E27FC236}">
                <a16:creationId xmlns:a16="http://schemas.microsoft.com/office/drawing/2014/main" id="{16A14726-42B6-AEE7-E099-1D1E3956CC4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52" name="Shape 27">
            <a:extLst>
              <a:ext uri="{FF2B5EF4-FFF2-40B4-BE49-F238E27FC236}">
                <a16:creationId xmlns:a16="http://schemas.microsoft.com/office/drawing/2014/main" id="{55320916-27B6-3C3A-6B66-2BB0C8E79E5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53" name="Shape 28">
            <a:extLst>
              <a:ext uri="{FF2B5EF4-FFF2-40B4-BE49-F238E27FC236}">
                <a16:creationId xmlns:a16="http://schemas.microsoft.com/office/drawing/2014/main" id="{BF0A12CC-C0C9-4C97-544B-1C35E46CF6D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54" name="Shape 29">
            <a:extLst>
              <a:ext uri="{FF2B5EF4-FFF2-40B4-BE49-F238E27FC236}">
                <a16:creationId xmlns:a16="http://schemas.microsoft.com/office/drawing/2014/main" id="{5D0B54C8-0C79-C431-ED9C-1501E61FB1D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55" name="Shape 30">
            <a:extLst>
              <a:ext uri="{FF2B5EF4-FFF2-40B4-BE49-F238E27FC236}">
                <a16:creationId xmlns:a16="http://schemas.microsoft.com/office/drawing/2014/main" id="{0F766C5F-147E-380E-2F35-4179918A1A0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56" name="Shape 31">
            <a:extLst>
              <a:ext uri="{FF2B5EF4-FFF2-40B4-BE49-F238E27FC236}">
                <a16:creationId xmlns:a16="http://schemas.microsoft.com/office/drawing/2014/main" id="{E637A503-7DAD-887E-436A-5AFB1F55AAD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278</xdr:row>
      <xdr:rowOff>160585</xdr:rowOff>
    </xdr:from>
    <xdr:ext cx="33655" cy="33655"/>
    <xdr:grpSp>
      <xdr:nvGrpSpPr>
        <xdr:cNvPr id="3557" name="Group 32">
          <a:extLst>
            <a:ext uri="{FF2B5EF4-FFF2-40B4-BE49-F238E27FC236}">
              <a16:creationId xmlns:a16="http://schemas.microsoft.com/office/drawing/2014/main" id="{55EF376F-D887-48C1-8845-AAAFA6A0C8F6}"/>
            </a:ext>
          </a:extLst>
        </xdr:cNvPr>
        <xdr:cNvGrpSpPr/>
      </xdr:nvGrpSpPr>
      <xdr:grpSpPr>
        <a:xfrm>
          <a:off x="4603072" y="53944044"/>
          <a:ext cx="33655" cy="33655"/>
          <a:chOff x="0" y="0"/>
          <a:chExt cx="33655" cy="33655"/>
        </a:xfrm>
      </xdr:grpSpPr>
      <xdr:sp macro="" textlink="">
        <xdr:nvSpPr>
          <xdr:cNvPr id="3558" name="Shape 33">
            <a:extLst>
              <a:ext uri="{FF2B5EF4-FFF2-40B4-BE49-F238E27FC236}">
                <a16:creationId xmlns:a16="http://schemas.microsoft.com/office/drawing/2014/main" id="{9FC75135-E7B3-5845-172F-E821F90ADDE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59" name="Shape 34">
            <a:extLst>
              <a:ext uri="{FF2B5EF4-FFF2-40B4-BE49-F238E27FC236}">
                <a16:creationId xmlns:a16="http://schemas.microsoft.com/office/drawing/2014/main" id="{127312ED-2610-536E-FFD1-D41851E33C7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60" name="Shape 35">
            <a:extLst>
              <a:ext uri="{FF2B5EF4-FFF2-40B4-BE49-F238E27FC236}">
                <a16:creationId xmlns:a16="http://schemas.microsoft.com/office/drawing/2014/main" id="{C086C311-4813-44BC-680D-A2AC4273815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61" name="Shape 36">
            <a:extLst>
              <a:ext uri="{FF2B5EF4-FFF2-40B4-BE49-F238E27FC236}">
                <a16:creationId xmlns:a16="http://schemas.microsoft.com/office/drawing/2014/main" id="{57BC4410-1E0E-59F9-B987-BB17B9FB2B0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62" name="Shape 37">
            <a:extLst>
              <a:ext uri="{FF2B5EF4-FFF2-40B4-BE49-F238E27FC236}">
                <a16:creationId xmlns:a16="http://schemas.microsoft.com/office/drawing/2014/main" id="{52A6CBC8-179D-66FD-433C-CC0A23BD3F7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63" name="Shape 38">
            <a:extLst>
              <a:ext uri="{FF2B5EF4-FFF2-40B4-BE49-F238E27FC236}">
                <a16:creationId xmlns:a16="http://schemas.microsoft.com/office/drawing/2014/main" id="{E0AE63C0-FBFE-18A7-605F-519E037F67C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64" name="Shape 39">
            <a:extLst>
              <a:ext uri="{FF2B5EF4-FFF2-40B4-BE49-F238E27FC236}">
                <a16:creationId xmlns:a16="http://schemas.microsoft.com/office/drawing/2014/main" id="{375AE8C4-0CDE-C961-2932-501DCEF48EA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65" name="Shape 40">
            <a:extLst>
              <a:ext uri="{FF2B5EF4-FFF2-40B4-BE49-F238E27FC236}">
                <a16:creationId xmlns:a16="http://schemas.microsoft.com/office/drawing/2014/main" id="{D7D08050-AE86-1713-5E74-C9FBD72E7C6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66" name="Shape 41">
            <a:extLst>
              <a:ext uri="{FF2B5EF4-FFF2-40B4-BE49-F238E27FC236}">
                <a16:creationId xmlns:a16="http://schemas.microsoft.com/office/drawing/2014/main" id="{80D5581D-9C28-1D5E-E7BF-763896D976A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67" name="Shape 42">
            <a:extLst>
              <a:ext uri="{FF2B5EF4-FFF2-40B4-BE49-F238E27FC236}">
                <a16:creationId xmlns:a16="http://schemas.microsoft.com/office/drawing/2014/main" id="{EBBA2261-FCFB-40F7-53E9-ADD157A76DF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68" name="Shape 43">
            <a:extLst>
              <a:ext uri="{FF2B5EF4-FFF2-40B4-BE49-F238E27FC236}">
                <a16:creationId xmlns:a16="http://schemas.microsoft.com/office/drawing/2014/main" id="{32E543C5-CA54-1C5D-EB54-3C1C32EAB8C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69" name="Shape 44">
            <a:extLst>
              <a:ext uri="{FF2B5EF4-FFF2-40B4-BE49-F238E27FC236}">
                <a16:creationId xmlns:a16="http://schemas.microsoft.com/office/drawing/2014/main" id="{319B0848-D765-D0C3-67F7-F3E62A1A99C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70" name="Shape 45">
            <a:extLst>
              <a:ext uri="{FF2B5EF4-FFF2-40B4-BE49-F238E27FC236}">
                <a16:creationId xmlns:a16="http://schemas.microsoft.com/office/drawing/2014/main" id="{6C159A36-3DA1-64B0-9CDC-8A6D23C7821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71" name="Shape 46">
            <a:extLst>
              <a:ext uri="{FF2B5EF4-FFF2-40B4-BE49-F238E27FC236}">
                <a16:creationId xmlns:a16="http://schemas.microsoft.com/office/drawing/2014/main" id="{C666018B-D746-AD00-4B68-628FC483B3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279</xdr:row>
      <xdr:rowOff>3409</xdr:rowOff>
    </xdr:from>
    <xdr:ext cx="33655" cy="33655"/>
    <xdr:grpSp>
      <xdr:nvGrpSpPr>
        <xdr:cNvPr id="3572" name="Group 47">
          <a:extLst>
            <a:ext uri="{FF2B5EF4-FFF2-40B4-BE49-F238E27FC236}">
              <a16:creationId xmlns:a16="http://schemas.microsoft.com/office/drawing/2014/main" id="{99E69E52-B90B-41D4-BD94-35EE4CD3A860}"/>
            </a:ext>
          </a:extLst>
        </xdr:cNvPr>
        <xdr:cNvGrpSpPr/>
      </xdr:nvGrpSpPr>
      <xdr:grpSpPr>
        <a:xfrm>
          <a:off x="4603072" y="53955507"/>
          <a:ext cx="33655" cy="33655"/>
          <a:chOff x="0" y="0"/>
          <a:chExt cx="33655" cy="33655"/>
        </a:xfrm>
      </xdr:grpSpPr>
      <xdr:sp macro="" textlink="">
        <xdr:nvSpPr>
          <xdr:cNvPr id="3573" name="Shape 48">
            <a:extLst>
              <a:ext uri="{FF2B5EF4-FFF2-40B4-BE49-F238E27FC236}">
                <a16:creationId xmlns:a16="http://schemas.microsoft.com/office/drawing/2014/main" id="{0289F4C4-28F4-AD03-5512-CFA45A35360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74" name="Shape 49">
            <a:extLst>
              <a:ext uri="{FF2B5EF4-FFF2-40B4-BE49-F238E27FC236}">
                <a16:creationId xmlns:a16="http://schemas.microsoft.com/office/drawing/2014/main" id="{F71BDD0A-078B-6C69-51A6-BBEDC43F90F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75" name="Shape 50">
            <a:extLst>
              <a:ext uri="{FF2B5EF4-FFF2-40B4-BE49-F238E27FC236}">
                <a16:creationId xmlns:a16="http://schemas.microsoft.com/office/drawing/2014/main" id="{F7F1B580-E3F0-49A3-41C2-DCE35ED57D1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76" name="Shape 51">
            <a:extLst>
              <a:ext uri="{FF2B5EF4-FFF2-40B4-BE49-F238E27FC236}">
                <a16:creationId xmlns:a16="http://schemas.microsoft.com/office/drawing/2014/main" id="{B44B947D-9273-A247-36DA-83D1C851D72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77" name="Shape 52">
            <a:extLst>
              <a:ext uri="{FF2B5EF4-FFF2-40B4-BE49-F238E27FC236}">
                <a16:creationId xmlns:a16="http://schemas.microsoft.com/office/drawing/2014/main" id="{8422C0FB-3CD8-0AF6-54EF-2E7D3D56BCF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78" name="Shape 53">
            <a:extLst>
              <a:ext uri="{FF2B5EF4-FFF2-40B4-BE49-F238E27FC236}">
                <a16:creationId xmlns:a16="http://schemas.microsoft.com/office/drawing/2014/main" id="{3F282805-97E5-B319-3878-239CC8F4900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79" name="Shape 54">
            <a:extLst>
              <a:ext uri="{FF2B5EF4-FFF2-40B4-BE49-F238E27FC236}">
                <a16:creationId xmlns:a16="http://schemas.microsoft.com/office/drawing/2014/main" id="{D346FFE5-756C-DA6E-8BF5-5DF8C7772FB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80" name="Shape 55">
            <a:extLst>
              <a:ext uri="{FF2B5EF4-FFF2-40B4-BE49-F238E27FC236}">
                <a16:creationId xmlns:a16="http://schemas.microsoft.com/office/drawing/2014/main" id="{C2DB8FC5-611F-753D-EF0F-CA4436F66E7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81" name="Shape 56">
            <a:extLst>
              <a:ext uri="{FF2B5EF4-FFF2-40B4-BE49-F238E27FC236}">
                <a16:creationId xmlns:a16="http://schemas.microsoft.com/office/drawing/2014/main" id="{5366F14F-3823-9BF8-BF53-904881C901A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82" name="Shape 57">
            <a:extLst>
              <a:ext uri="{FF2B5EF4-FFF2-40B4-BE49-F238E27FC236}">
                <a16:creationId xmlns:a16="http://schemas.microsoft.com/office/drawing/2014/main" id="{FB31495C-AA55-EB9F-5036-48AEF88EBE7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83" name="Shape 58">
            <a:extLst>
              <a:ext uri="{FF2B5EF4-FFF2-40B4-BE49-F238E27FC236}">
                <a16:creationId xmlns:a16="http://schemas.microsoft.com/office/drawing/2014/main" id="{CEE352E3-204B-EF62-4C76-BCB8F2171AA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84" name="Shape 59">
            <a:extLst>
              <a:ext uri="{FF2B5EF4-FFF2-40B4-BE49-F238E27FC236}">
                <a16:creationId xmlns:a16="http://schemas.microsoft.com/office/drawing/2014/main" id="{8BEFE4D8-B29F-0099-7669-2C4629618A3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85" name="Shape 60">
            <a:extLst>
              <a:ext uri="{FF2B5EF4-FFF2-40B4-BE49-F238E27FC236}">
                <a16:creationId xmlns:a16="http://schemas.microsoft.com/office/drawing/2014/main" id="{E3E8B2FA-1784-FEAA-A35B-1630F7C2A08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586" name="Shape 61">
            <a:extLst>
              <a:ext uri="{FF2B5EF4-FFF2-40B4-BE49-F238E27FC236}">
                <a16:creationId xmlns:a16="http://schemas.microsoft.com/office/drawing/2014/main" id="{78A33AC7-FA57-56DC-441B-4EF7ED1AFFB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278</xdr:row>
      <xdr:rowOff>160844</xdr:rowOff>
    </xdr:from>
    <xdr:ext cx="33655" cy="33655"/>
    <xdr:grpSp>
      <xdr:nvGrpSpPr>
        <xdr:cNvPr id="3587" name="Group 62">
          <a:extLst>
            <a:ext uri="{FF2B5EF4-FFF2-40B4-BE49-F238E27FC236}">
              <a16:creationId xmlns:a16="http://schemas.microsoft.com/office/drawing/2014/main" id="{1CBBA72C-BC06-4B8D-9F7E-8868E783D831}"/>
            </a:ext>
          </a:extLst>
        </xdr:cNvPr>
        <xdr:cNvGrpSpPr/>
      </xdr:nvGrpSpPr>
      <xdr:grpSpPr>
        <a:xfrm>
          <a:off x="4603072" y="53944303"/>
          <a:ext cx="33655" cy="33655"/>
          <a:chOff x="0" y="0"/>
          <a:chExt cx="33655" cy="33655"/>
        </a:xfrm>
      </xdr:grpSpPr>
      <xdr:sp macro="" textlink="">
        <xdr:nvSpPr>
          <xdr:cNvPr id="3588" name="Shape 63">
            <a:extLst>
              <a:ext uri="{FF2B5EF4-FFF2-40B4-BE49-F238E27FC236}">
                <a16:creationId xmlns:a16="http://schemas.microsoft.com/office/drawing/2014/main" id="{683ACC30-8720-1265-BBDE-DA06B4ADF16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89" name="Shape 64">
            <a:extLst>
              <a:ext uri="{FF2B5EF4-FFF2-40B4-BE49-F238E27FC236}">
                <a16:creationId xmlns:a16="http://schemas.microsoft.com/office/drawing/2014/main" id="{CBD4F314-CF46-9DFF-EFA2-E500FD089D2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90" name="Shape 65">
            <a:extLst>
              <a:ext uri="{FF2B5EF4-FFF2-40B4-BE49-F238E27FC236}">
                <a16:creationId xmlns:a16="http://schemas.microsoft.com/office/drawing/2014/main" id="{525EDA6D-84B9-1A96-1D8E-33AF00F70F5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91" name="Shape 66">
            <a:extLst>
              <a:ext uri="{FF2B5EF4-FFF2-40B4-BE49-F238E27FC236}">
                <a16:creationId xmlns:a16="http://schemas.microsoft.com/office/drawing/2014/main" id="{E0AFDC9E-BC17-59A5-4803-7F671F68F03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92" name="Shape 67">
            <a:extLst>
              <a:ext uri="{FF2B5EF4-FFF2-40B4-BE49-F238E27FC236}">
                <a16:creationId xmlns:a16="http://schemas.microsoft.com/office/drawing/2014/main" id="{D85F9319-A11E-0875-9036-A29A497FC53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93" name="Shape 68">
            <a:extLst>
              <a:ext uri="{FF2B5EF4-FFF2-40B4-BE49-F238E27FC236}">
                <a16:creationId xmlns:a16="http://schemas.microsoft.com/office/drawing/2014/main" id="{36BEE8FD-78E1-79D5-EFA2-31E9798DB99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94" name="Shape 69">
            <a:extLst>
              <a:ext uri="{FF2B5EF4-FFF2-40B4-BE49-F238E27FC236}">
                <a16:creationId xmlns:a16="http://schemas.microsoft.com/office/drawing/2014/main" id="{38021DC6-A133-3B06-C636-151C37D2394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95" name="Shape 70">
            <a:extLst>
              <a:ext uri="{FF2B5EF4-FFF2-40B4-BE49-F238E27FC236}">
                <a16:creationId xmlns:a16="http://schemas.microsoft.com/office/drawing/2014/main" id="{9A17FA9E-EF23-CD7B-31D0-4D7A93090FA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96" name="Shape 71">
            <a:extLst>
              <a:ext uri="{FF2B5EF4-FFF2-40B4-BE49-F238E27FC236}">
                <a16:creationId xmlns:a16="http://schemas.microsoft.com/office/drawing/2014/main" id="{D9E6E97B-9EE5-52B1-F726-B73E8001B7E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97" name="Shape 72">
            <a:extLst>
              <a:ext uri="{FF2B5EF4-FFF2-40B4-BE49-F238E27FC236}">
                <a16:creationId xmlns:a16="http://schemas.microsoft.com/office/drawing/2014/main" id="{4D1E47BE-F61F-80C1-786B-6A4A0A4CEE2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598" name="Shape 73">
            <a:extLst>
              <a:ext uri="{FF2B5EF4-FFF2-40B4-BE49-F238E27FC236}">
                <a16:creationId xmlns:a16="http://schemas.microsoft.com/office/drawing/2014/main" id="{9F1AEB7B-1E73-8D28-6C30-126ED870AB7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599" name="Shape 74">
            <a:extLst>
              <a:ext uri="{FF2B5EF4-FFF2-40B4-BE49-F238E27FC236}">
                <a16:creationId xmlns:a16="http://schemas.microsoft.com/office/drawing/2014/main" id="{CA7F4507-FD93-EFE4-F0C9-9A70E6DCC51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00" name="Shape 75">
            <a:extLst>
              <a:ext uri="{FF2B5EF4-FFF2-40B4-BE49-F238E27FC236}">
                <a16:creationId xmlns:a16="http://schemas.microsoft.com/office/drawing/2014/main" id="{A06B8BE0-1478-D0E6-4B76-01A9428D653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01" name="Shape 76">
            <a:extLst>
              <a:ext uri="{FF2B5EF4-FFF2-40B4-BE49-F238E27FC236}">
                <a16:creationId xmlns:a16="http://schemas.microsoft.com/office/drawing/2014/main" id="{03954BB9-24C0-7C19-7A98-B5716B91C72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19</xdr:row>
      <xdr:rowOff>2978</xdr:rowOff>
    </xdr:from>
    <xdr:ext cx="33655" cy="33655"/>
    <xdr:grpSp>
      <xdr:nvGrpSpPr>
        <xdr:cNvPr id="2487" name="Group 2">
          <a:extLst>
            <a:ext uri="{FF2B5EF4-FFF2-40B4-BE49-F238E27FC236}">
              <a16:creationId xmlns:a16="http://schemas.microsoft.com/office/drawing/2014/main" id="{653AE0D2-5F88-40D4-9753-16BD99BB2026}"/>
            </a:ext>
          </a:extLst>
        </xdr:cNvPr>
        <xdr:cNvGrpSpPr/>
      </xdr:nvGrpSpPr>
      <xdr:grpSpPr>
        <a:xfrm>
          <a:off x="4603072" y="3238355"/>
          <a:ext cx="33655" cy="33655"/>
          <a:chOff x="0" y="0"/>
          <a:chExt cx="33655" cy="33655"/>
        </a:xfrm>
      </xdr:grpSpPr>
      <xdr:sp macro="" textlink="">
        <xdr:nvSpPr>
          <xdr:cNvPr id="2488" name="Shape 3">
            <a:extLst>
              <a:ext uri="{FF2B5EF4-FFF2-40B4-BE49-F238E27FC236}">
                <a16:creationId xmlns:a16="http://schemas.microsoft.com/office/drawing/2014/main" id="{204482B6-56CF-E1FC-6539-E1183B9957B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89" name="Shape 4">
            <a:extLst>
              <a:ext uri="{FF2B5EF4-FFF2-40B4-BE49-F238E27FC236}">
                <a16:creationId xmlns:a16="http://schemas.microsoft.com/office/drawing/2014/main" id="{723CC138-B7AB-0ED9-07F2-8F4CE3860ED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90" name="Shape 5">
            <a:extLst>
              <a:ext uri="{FF2B5EF4-FFF2-40B4-BE49-F238E27FC236}">
                <a16:creationId xmlns:a16="http://schemas.microsoft.com/office/drawing/2014/main" id="{5ADC3739-114F-9DEF-3B1D-7B59D6B1332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91" name="Shape 6">
            <a:extLst>
              <a:ext uri="{FF2B5EF4-FFF2-40B4-BE49-F238E27FC236}">
                <a16:creationId xmlns:a16="http://schemas.microsoft.com/office/drawing/2014/main" id="{34637DCF-920C-7E32-169E-6A520BCF27D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92" name="Shape 7">
            <a:extLst>
              <a:ext uri="{FF2B5EF4-FFF2-40B4-BE49-F238E27FC236}">
                <a16:creationId xmlns:a16="http://schemas.microsoft.com/office/drawing/2014/main" id="{7CDDA9B5-E3B8-596F-CF1A-9657E103442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93" name="Shape 8">
            <a:extLst>
              <a:ext uri="{FF2B5EF4-FFF2-40B4-BE49-F238E27FC236}">
                <a16:creationId xmlns:a16="http://schemas.microsoft.com/office/drawing/2014/main" id="{FFF8C7DE-6877-0968-2FAB-BB306734E6C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94" name="Shape 9">
            <a:extLst>
              <a:ext uri="{FF2B5EF4-FFF2-40B4-BE49-F238E27FC236}">
                <a16:creationId xmlns:a16="http://schemas.microsoft.com/office/drawing/2014/main" id="{30C1B7B7-044A-0FCA-AFE0-9FD6E3B190C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95" name="Shape 10">
            <a:extLst>
              <a:ext uri="{FF2B5EF4-FFF2-40B4-BE49-F238E27FC236}">
                <a16:creationId xmlns:a16="http://schemas.microsoft.com/office/drawing/2014/main" id="{D94F1EA4-E1BA-B279-C259-14C3208A1D3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20" name="Shape 11">
            <a:extLst>
              <a:ext uri="{FF2B5EF4-FFF2-40B4-BE49-F238E27FC236}">
                <a16:creationId xmlns:a16="http://schemas.microsoft.com/office/drawing/2014/main" id="{6C44E095-81D0-76F5-1E12-CC510DD622E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21" name="Shape 12">
            <a:extLst>
              <a:ext uri="{FF2B5EF4-FFF2-40B4-BE49-F238E27FC236}">
                <a16:creationId xmlns:a16="http://schemas.microsoft.com/office/drawing/2014/main" id="{6B5D2684-FFA2-93CE-8042-06528B06715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22" name="Shape 13">
            <a:extLst>
              <a:ext uri="{FF2B5EF4-FFF2-40B4-BE49-F238E27FC236}">
                <a16:creationId xmlns:a16="http://schemas.microsoft.com/office/drawing/2014/main" id="{0E6DAD8D-C453-EE70-6891-77CBA6771A0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23" name="Shape 14">
            <a:extLst>
              <a:ext uri="{FF2B5EF4-FFF2-40B4-BE49-F238E27FC236}">
                <a16:creationId xmlns:a16="http://schemas.microsoft.com/office/drawing/2014/main" id="{1B3B95D6-6A89-1608-B671-57EE3258214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24" name="Shape 15">
            <a:extLst>
              <a:ext uri="{FF2B5EF4-FFF2-40B4-BE49-F238E27FC236}">
                <a16:creationId xmlns:a16="http://schemas.microsoft.com/office/drawing/2014/main" id="{E0DA492B-36AD-4160-2E48-694D28DC653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25" name="Shape 16">
            <a:extLst>
              <a:ext uri="{FF2B5EF4-FFF2-40B4-BE49-F238E27FC236}">
                <a16:creationId xmlns:a16="http://schemas.microsoft.com/office/drawing/2014/main" id="{8B5274F8-8235-6DF1-1DD7-C49E47FD672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19</xdr:row>
      <xdr:rowOff>3246</xdr:rowOff>
    </xdr:from>
    <xdr:ext cx="33655" cy="33655"/>
    <xdr:grpSp>
      <xdr:nvGrpSpPr>
        <xdr:cNvPr id="1126" name="Group 17">
          <a:extLst>
            <a:ext uri="{FF2B5EF4-FFF2-40B4-BE49-F238E27FC236}">
              <a16:creationId xmlns:a16="http://schemas.microsoft.com/office/drawing/2014/main" id="{EED094E7-852C-41A2-8F0F-E8AB501E736D}"/>
            </a:ext>
          </a:extLst>
        </xdr:cNvPr>
        <xdr:cNvGrpSpPr/>
      </xdr:nvGrpSpPr>
      <xdr:grpSpPr>
        <a:xfrm>
          <a:off x="4603072" y="3238623"/>
          <a:ext cx="33655" cy="33655"/>
          <a:chOff x="0" y="0"/>
          <a:chExt cx="33655" cy="33655"/>
        </a:xfrm>
      </xdr:grpSpPr>
      <xdr:sp macro="" textlink="">
        <xdr:nvSpPr>
          <xdr:cNvPr id="2528" name="Shape 18">
            <a:extLst>
              <a:ext uri="{FF2B5EF4-FFF2-40B4-BE49-F238E27FC236}">
                <a16:creationId xmlns:a16="http://schemas.microsoft.com/office/drawing/2014/main" id="{79415DE4-0484-1CF1-E8F5-0ABF44AB159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29" name="Shape 19">
            <a:extLst>
              <a:ext uri="{FF2B5EF4-FFF2-40B4-BE49-F238E27FC236}">
                <a16:creationId xmlns:a16="http://schemas.microsoft.com/office/drawing/2014/main" id="{38FAB5EB-A2D3-2C63-D683-8751B1B801B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30" name="Shape 20">
            <a:extLst>
              <a:ext uri="{FF2B5EF4-FFF2-40B4-BE49-F238E27FC236}">
                <a16:creationId xmlns:a16="http://schemas.microsoft.com/office/drawing/2014/main" id="{9A8CEB8E-29D5-9D27-9AA6-22310740011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31" name="Shape 21">
            <a:extLst>
              <a:ext uri="{FF2B5EF4-FFF2-40B4-BE49-F238E27FC236}">
                <a16:creationId xmlns:a16="http://schemas.microsoft.com/office/drawing/2014/main" id="{E7D8A0E3-C712-3F05-1DCF-3D63E93CD84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32" name="Shape 22">
            <a:extLst>
              <a:ext uri="{FF2B5EF4-FFF2-40B4-BE49-F238E27FC236}">
                <a16:creationId xmlns:a16="http://schemas.microsoft.com/office/drawing/2014/main" id="{D2E2FE2A-8095-E3D0-15F2-16F909337E1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33" name="Shape 23">
            <a:extLst>
              <a:ext uri="{FF2B5EF4-FFF2-40B4-BE49-F238E27FC236}">
                <a16:creationId xmlns:a16="http://schemas.microsoft.com/office/drawing/2014/main" id="{7092E197-B963-3405-9CB3-9626C1FC106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34" name="Shape 24">
            <a:extLst>
              <a:ext uri="{FF2B5EF4-FFF2-40B4-BE49-F238E27FC236}">
                <a16:creationId xmlns:a16="http://schemas.microsoft.com/office/drawing/2014/main" id="{2CD19E65-4117-05D9-53B7-504C39A43E8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35" name="Shape 25">
            <a:extLst>
              <a:ext uri="{FF2B5EF4-FFF2-40B4-BE49-F238E27FC236}">
                <a16:creationId xmlns:a16="http://schemas.microsoft.com/office/drawing/2014/main" id="{DC742CAA-0CA5-8492-6ABB-7EC5EED2F8F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36" name="Shape 26">
            <a:extLst>
              <a:ext uri="{FF2B5EF4-FFF2-40B4-BE49-F238E27FC236}">
                <a16:creationId xmlns:a16="http://schemas.microsoft.com/office/drawing/2014/main" id="{E4C94059-46A9-63C1-E620-C1337C85A28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37" name="Shape 27">
            <a:extLst>
              <a:ext uri="{FF2B5EF4-FFF2-40B4-BE49-F238E27FC236}">
                <a16:creationId xmlns:a16="http://schemas.microsoft.com/office/drawing/2014/main" id="{89CAD6CB-790A-C718-7EBF-1A314E549C2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38" name="Shape 28">
            <a:extLst>
              <a:ext uri="{FF2B5EF4-FFF2-40B4-BE49-F238E27FC236}">
                <a16:creationId xmlns:a16="http://schemas.microsoft.com/office/drawing/2014/main" id="{5CCDEA95-E541-7024-4922-C2D01FA8FCC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39" name="Shape 29">
            <a:extLst>
              <a:ext uri="{FF2B5EF4-FFF2-40B4-BE49-F238E27FC236}">
                <a16:creationId xmlns:a16="http://schemas.microsoft.com/office/drawing/2014/main" id="{C0E20B63-8796-F158-DD48-33E75A7C7AC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40" name="Shape 30">
            <a:extLst>
              <a:ext uri="{FF2B5EF4-FFF2-40B4-BE49-F238E27FC236}">
                <a16:creationId xmlns:a16="http://schemas.microsoft.com/office/drawing/2014/main" id="{F6863407-16DC-90DE-54ED-A153D278559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41" name="Shape 31">
            <a:extLst>
              <a:ext uri="{FF2B5EF4-FFF2-40B4-BE49-F238E27FC236}">
                <a16:creationId xmlns:a16="http://schemas.microsoft.com/office/drawing/2014/main" id="{32CF4C6F-1D67-C983-D95F-C8BF7648EBF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18</xdr:row>
      <xdr:rowOff>160585</xdr:rowOff>
    </xdr:from>
    <xdr:ext cx="33655" cy="33655"/>
    <xdr:grpSp>
      <xdr:nvGrpSpPr>
        <xdr:cNvPr id="2542" name="Group 32">
          <a:extLst>
            <a:ext uri="{FF2B5EF4-FFF2-40B4-BE49-F238E27FC236}">
              <a16:creationId xmlns:a16="http://schemas.microsoft.com/office/drawing/2014/main" id="{AC8D1E49-2908-44DB-AE43-CBE35C7D3E29}"/>
            </a:ext>
          </a:extLst>
        </xdr:cNvPr>
        <xdr:cNvGrpSpPr/>
      </xdr:nvGrpSpPr>
      <xdr:grpSpPr>
        <a:xfrm>
          <a:off x="4603072" y="3196093"/>
          <a:ext cx="33655" cy="33655"/>
          <a:chOff x="0" y="0"/>
          <a:chExt cx="33655" cy="33655"/>
        </a:xfrm>
      </xdr:grpSpPr>
      <xdr:sp macro="" textlink="">
        <xdr:nvSpPr>
          <xdr:cNvPr id="2543" name="Shape 33">
            <a:extLst>
              <a:ext uri="{FF2B5EF4-FFF2-40B4-BE49-F238E27FC236}">
                <a16:creationId xmlns:a16="http://schemas.microsoft.com/office/drawing/2014/main" id="{91C25976-41B5-2C87-8B4D-2D8733170FA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44" name="Shape 34">
            <a:extLst>
              <a:ext uri="{FF2B5EF4-FFF2-40B4-BE49-F238E27FC236}">
                <a16:creationId xmlns:a16="http://schemas.microsoft.com/office/drawing/2014/main" id="{AF9C9A7C-9973-F5B3-8135-0C8E2E787D6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45" name="Shape 35">
            <a:extLst>
              <a:ext uri="{FF2B5EF4-FFF2-40B4-BE49-F238E27FC236}">
                <a16:creationId xmlns:a16="http://schemas.microsoft.com/office/drawing/2014/main" id="{13C8C000-231E-1F8C-2549-81B2A38EF32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46" name="Shape 36">
            <a:extLst>
              <a:ext uri="{FF2B5EF4-FFF2-40B4-BE49-F238E27FC236}">
                <a16:creationId xmlns:a16="http://schemas.microsoft.com/office/drawing/2014/main" id="{DF30DAFA-E75C-4CFD-A74E-2EA2073EF8F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47" name="Shape 37">
            <a:extLst>
              <a:ext uri="{FF2B5EF4-FFF2-40B4-BE49-F238E27FC236}">
                <a16:creationId xmlns:a16="http://schemas.microsoft.com/office/drawing/2014/main" id="{A9E519A5-6469-C4BD-3B8D-5CD65581668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48" name="Shape 38">
            <a:extLst>
              <a:ext uri="{FF2B5EF4-FFF2-40B4-BE49-F238E27FC236}">
                <a16:creationId xmlns:a16="http://schemas.microsoft.com/office/drawing/2014/main" id="{F7F34B94-5649-4578-A756-8CCCCD2569E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49" name="Shape 39">
            <a:extLst>
              <a:ext uri="{FF2B5EF4-FFF2-40B4-BE49-F238E27FC236}">
                <a16:creationId xmlns:a16="http://schemas.microsoft.com/office/drawing/2014/main" id="{7A7D56EA-81A0-0852-17EA-37C1B2B7036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50" name="Shape 40">
            <a:extLst>
              <a:ext uri="{FF2B5EF4-FFF2-40B4-BE49-F238E27FC236}">
                <a16:creationId xmlns:a16="http://schemas.microsoft.com/office/drawing/2014/main" id="{FE9620F1-16D7-B04B-FE6A-2F65E694F81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51" name="Shape 41">
            <a:extLst>
              <a:ext uri="{FF2B5EF4-FFF2-40B4-BE49-F238E27FC236}">
                <a16:creationId xmlns:a16="http://schemas.microsoft.com/office/drawing/2014/main" id="{F43411E4-25B3-AE2F-A1FE-B930F73F9B3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02" name="Shape 42">
            <a:extLst>
              <a:ext uri="{FF2B5EF4-FFF2-40B4-BE49-F238E27FC236}">
                <a16:creationId xmlns:a16="http://schemas.microsoft.com/office/drawing/2014/main" id="{E439A31E-B42C-5595-D84D-4EA6615598D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03" name="Shape 43">
            <a:extLst>
              <a:ext uri="{FF2B5EF4-FFF2-40B4-BE49-F238E27FC236}">
                <a16:creationId xmlns:a16="http://schemas.microsoft.com/office/drawing/2014/main" id="{45E14331-346F-A5E3-0C79-AB99CFFC8DF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04" name="Shape 44">
            <a:extLst>
              <a:ext uri="{FF2B5EF4-FFF2-40B4-BE49-F238E27FC236}">
                <a16:creationId xmlns:a16="http://schemas.microsoft.com/office/drawing/2014/main" id="{F8720F19-3EF9-0FB5-3D96-A263E05F348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05" name="Shape 45">
            <a:extLst>
              <a:ext uri="{FF2B5EF4-FFF2-40B4-BE49-F238E27FC236}">
                <a16:creationId xmlns:a16="http://schemas.microsoft.com/office/drawing/2014/main" id="{214EDA44-8700-E40B-2852-A41004EE450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06" name="Shape 46">
            <a:extLst>
              <a:ext uri="{FF2B5EF4-FFF2-40B4-BE49-F238E27FC236}">
                <a16:creationId xmlns:a16="http://schemas.microsoft.com/office/drawing/2014/main" id="{FB7DA5A5-A838-1B79-2209-A14EE2DAAF8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19</xdr:row>
      <xdr:rowOff>3409</xdr:rowOff>
    </xdr:from>
    <xdr:ext cx="33655" cy="33655"/>
    <xdr:grpSp>
      <xdr:nvGrpSpPr>
        <xdr:cNvPr id="1207" name="Group 47">
          <a:extLst>
            <a:ext uri="{FF2B5EF4-FFF2-40B4-BE49-F238E27FC236}">
              <a16:creationId xmlns:a16="http://schemas.microsoft.com/office/drawing/2014/main" id="{F1F18F19-831A-405D-A31B-25DDCCF7D5F8}"/>
            </a:ext>
          </a:extLst>
        </xdr:cNvPr>
        <xdr:cNvGrpSpPr/>
      </xdr:nvGrpSpPr>
      <xdr:grpSpPr>
        <a:xfrm>
          <a:off x="4603072" y="3238786"/>
          <a:ext cx="33655" cy="33655"/>
          <a:chOff x="0" y="0"/>
          <a:chExt cx="33655" cy="33655"/>
        </a:xfrm>
      </xdr:grpSpPr>
      <xdr:sp macro="" textlink="">
        <xdr:nvSpPr>
          <xdr:cNvPr id="1208" name="Shape 48">
            <a:extLst>
              <a:ext uri="{FF2B5EF4-FFF2-40B4-BE49-F238E27FC236}">
                <a16:creationId xmlns:a16="http://schemas.microsoft.com/office/drawing/2014/main" id="{D9352DA1-2CCD-0FDD-759E-E4494A0C097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09" name="Shape 49">
            <a:extLst>
              <a:ext uri="{FF2B5EF4-FFF2-40B4-BE49-F238E27FC236}">
                <a16:creationId xmlns:a16="http://schemas.microsoft.com/office/drawing/2014/main" id="{9CBA66AA-F7FB-F743-A93D-582B8B3E91D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10" name="Shape 50">
            <a:extLst>
              <a:ext uri="{FF2B5EF4-FFF2-40B4-BE49-F238E27FC236}">
                <a16:creationId xmlns:a16="http://schemas.microsoft.com/office/drawing/2014/main" id="{89AC28C0-0C85-497D-88EF-E660AD40FD7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11" name="Shape 51">
            <a:extLst>
              <a:ext uri="{FF2B5EF4-FFF2-40B4-BE49-F238E27FC236}">
                <a16:creationId xmlns:a16="http://schemas.microsoft.com/office/drawing/2014/main" id="{BC9C4640-4088-5E9F-79A3-944C4A15D6A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12" name="Shape 52">
            <a:extLst>
              <a:ext uri="{FF2B5EF4-FFF2-40B4-BE49-F238E27FC236}">
                <a16:creationId xmlns:a16="http://schemas.microsoft.com/office/drawing/2014/main" id="{521C3849-81B1-CB22-967E-7205C3D8778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13" name="Shape 53">
            <a:extLst>
              <a:ext uri="{FF2B5EF4-FFF2-40B4-BE49-F238E27FC236}">
                <a16:creationId xmlns:a16="http://schemas.microsoft.com/office/drawing/2014/main" id="{A6DC2B37-934B-002C-CAB2-93A07D9F9FA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214" name="Shape 54">
            <a:extLst>
              <a:ext uri="{FF2B5EF4-FFF2-40B4-BE49-F238E27FC236}">
                <a16:creationId xmlns:a16="http://schemas.microsoft.com/office/drawing/2014/main" id="{B71683B6-E286-1A42-B62F-819908DD1B2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215" name="Shape 55">
            <a:extLst>
              <a:ext uri="{FF2B5EF4-FFF2-40B4-BE49-F238E27FC236}">
                <a16:creationId xmlns:a16="http://schemas.microsoft.com/office/drawing/2014/main" id="{98E1C2F3-53CB-1559-9C67-B4BCBE8B20E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16" name="Shape 56">
            <a:extLst>
              <a:ext uri="{FF2B5EF4-FFF2-40B4-BE49-F238E27FC236}">
                <a16:creationId xmlns:a16="http://schemas.microsoft.com/office/drawing/2014/main" id="{D5417DB3-8B65-E7AC-6102-2A3870F0BD5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17" name="Shape 57">
            <a:extLst>
              <a:ext uri="{FF2B5EF4-FFF2-40B4-BE49-F238E27FC236}">
                <a16:creationId xmlns:a16="http://schemas.microsoft.com/office/drawing/2014/main" id="{ADE5BBF6-05EE-2C5A-629F-491EF83CB0D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18" name="Shape 58">
            <a:extLst>
              <a:ext uri="{FF2B5EF4-FFF2-40B4-BE49-F238E27FC236}">
                <a16:creationId xmlns:a16="http://schemas.microsoft.com/office/drawing/2014/main" id="{DE96B933-C980-E5C5-A29E-B6DF27EC943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19" name="Shape 59">
            <a:extLst>
              <a:ext uri="{FF2B5EF4-FFF2-40B4-BE49-F238E27FC236}">
                <a16:creationId xmlns:a16="http://schemas.microsoft.com/office/drawing/2014/main" id="{548C0591-2407-18E2-9445-BE4BF17BC7A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20" name="Shape 60">
            <a:extLst>
              <a:ext uri="{FF2B5EF4-FFF2-40B4-BE49-F238E27FC236}">
                <a16:creationId xmlns:a16="http://schemas.microsoft.com/office/drawing/2014/main" id="{707D4725-E5C3-D31E-BCEF-6F7AB8E8506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21" name="Shape 61">
            <a:extLst>
              <a:ext uri="{FF2B5EF4-FFF2-40B4-BE49-F238E27FC236}">
                <a16:creationId xmlns:a16="http://schemas.microsoft.com/office/drawing/2014/main" id="{F7CB8B8B-EC7C-AAED-4103-D0033677835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18</xdr:row>
      <xdr:rowOff>160844</xdr:rowOff>
    </xdr:from>
    <xdr:ext cx="33655" cy="33655"/>
    <xdr:grpSp>
      <xdr:nvGrpSpPr>
        <xdr:cNvPr id="3622" name="Group 62">
          <a:extLst>
            <a:ext uri="{FF2B5EF4-FFF2-40B4-BE49-F238E27FC236}">
              <a16:creationId xmlns:a16="http://schemas.microsoft.com/office/drawing/2014/main" id="{931B0F0C-8FA3-4536-96FA-47E165180468}"/>
            </a:ext>
          </a:extLst>
        </xdr:cNvPr>
        <xdr:cNvGrpSpPr/>
      </xdr:nvGrpSpPr>
      <xdr:grpSpPr>
        <a:xfrm>
          <a:off x="4603072" y="3196352"/>
          <a:ext cx="33655" cy="33655"/>
          <a:chOff x="0" y="0"/>
          <a:chExt cx="33655" cy="33655"/>
        </a:xfrm>
      </xdr:grpSpPr>
      <xdr:sp macro="" textlink="">
        <xdr:nvSpPr>
          <xdr:cNvPr id="3623" name="Shape 63">
            <a:extLst>
              <a:ext uri="{FF2B5EF4-FFF2-40B4-BE49-F238E27FC236}">
                <a16:creationId xmlns:a16="http://schemas.microsoft.com/office/drawing/2014/main" id="{E7F60B48-53B9-6BFB-265E-40825518597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24" name="Shape 64">
            <a:extLst>
              <a:ext uri="{FF2B5EF4-FFF2-40B4-BE49-F238E27FC236}">
                <a16:creationId xmlns:a16="http://schemas.microsoft.com/office/drawing/2014/main" id="{B0B6CACD-E806-02AF-50DE-3855B9DF233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25" name="Shape 65">
            <a:extLst>
              <a:ext uri="{FF2B5EF4-FFF2-40B4-BE49-F238E27FC236}">
                <a16:creationId xmlns:a16="http://schemas.microsoft.com/office/drawing/2014/main" id="{38422C91-ED0E-F0C1-BE7E-A3DFCC11D07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26" name="Shape 66">
            <a:extLst>
              <a:ext uri="{FF2B5EF4-FFF2-40B4-BE49-F238E27FC236}">
                <a16:creationId xmlns:a16="http://schemas.microsoft.com/office/drawing/2014/main" id="{D83F439A-889A-B3BC-5AAC-4AB3DBCF1D5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27" name="Shape 67">
            <a:extLst>
              <a:ext uri="{FF2B5EF4-FFF2-40B4-BE49-F238E27FC236}">
                <a16:creationId xmlns:a16="http://schemas.microsoft.com/office/drawing/2014/main" id="{957F3DA5-B003-27DB-E7F8-CF018D012BF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28" name="Shape 68">
            <a:extLst>
              <a:ext uri="{FF2B5EF4-FFF2-40B4-BE49-F238E27FC236}">
                <a16:creationId xmlns:a16="http://schemas.microsoft.com/office/drawing/2014/main" id="{937F8591-7EA2-35C4-98B6-9E9B72E9754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29" name="Shape 69">
            <a:extLst>
              <a:ext uri="{FF2B5EF4-FFF2-40B4-BE49-F238E27FC236}">
                <a16:creationId xmlns:a16="http://schemas.microsoft.com/office/drawing/2014/main" id="{3CF9F4E7-151F-02C9-28A8-F902CABC388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30" name="Shape 70">
            <a:extLst>
              <a:ext uri="{FF2B5EF4-FFF2-40B4-BE49-F238E27FC236}">
                <a16:creationId xmlns:a16="http://schemas.microsoft.com/office/drawing/2014/main" id="{F2830331-39C0-E4F3-BC35-49E5AB74CC3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31" name="Shape 71">
            <a:extLst>
              <a:ext uri="{FF2B5EF4-FFF2-40B4-BE49-F238E27FC236}">
                <a16:creationId xmlns:a16="http://schemas.microsoft.com/office/drawing/2014/main" id="{2F917016-57C7-2468-C15F-2F0A01EE9A9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32" name="Shape 72">
            <a:extLst>
              <a:ext uri="{FF2B5EF4-FFF2-40B4-BE49-F238E27FC236}">
                <a16:creationId xmlns:a16="http://schemas.microsoft.com/office/drawing/2014/main" id="{504D8225-9B6F-CC14-CB6B-1DDD7760209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33" name="Shape 73">
            <a:extLst>
              <a:ext uri="{FF2B5EF4-FFF2-40B4-BE49-F238E27FC236}">
                <a16:creationId xmlns:a16="http://schemas.microsoft.com/office/drawing/2014/main" id="{2BAE7DEF-AF0E-7E9B-A6C1-70279DF4E5B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34" name="Shape 74">
            <a:extLst>
              <a:ext uri="{FF2B5EF4-FFF2-40B4-BE49-F238E27FC236}">
                <a16:creationId xmlns:a16="http://schemas.microsoft.com/office/drawing/2014/main" id="{655F523D-755A-1458-B85A-9CF460B8AA1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35" name="Shape 75">
            <a:extLst>
              <a:ext uri="{FF2B5EF4-FFF2-40B4-BE49-F238E27FC236}">
                <a16:creationId xmlns:a16="http://schemas.microsoft.com/office/drawing/2014/main" id="{07A7115C-29EE-9ABF-68EF-4D02FCC5942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36" name="Shape 76">
            <a:extLst>
              <a:ext uri="{FF2B5EF4-FFF2-40B4-BE49-F238E27FC236}">
                <a16:creationId xmlns:a16="http://schemas.microsoft.com/office/drawing/2014/main" id="{7A789AEE-2E2F-B451-14E8-DB9FB712589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494</xdr:row>
      <xdr:rowOff>2978</xdr:rowOff>
    </xdr:from>
    <xdr:ext cx="33655" cy="33655"/>
    <xdr:grpSp>
      <xdr:nvGrpSpPr>
        <xdr:cNvPr id="152" name="Group 2">
          <a:extLst>
            <a:ext uri="{FF2B5EF4-FFF2-40B4-BE49-F238E27FC236}">
              <a16:creationId xmlns:a16="http://schemas.microsoft.com/office/drawing/2014/main" id="{62ED2735-3653-42A7-93DE-E1777B5047AC}"/>
            </a:ext>
          </a:extLst>
        </xdr:cNvPr>
        <xdr:cNvGrpSpPr/>
      </xdr:nvGrpSpPr>
      <xdr:grpSpPr>
        <a:xfrm>
          <a:off x="4603072" y="93073158"/>
          <a:ext cx="33655" cy="33655"/>
          <a:chOff x="0" y="0"/>
          <a:chExt cx="33655" cy="33655"/>
        </a:xfrm>
      </xdr:grpSpPr>
      <xdr:sp macro="" textlink="">
        <xdr:nvSpPr>
          <xdr:cNvPr id="153" name="Shape 3">
            <a:extLst>
              <a:ext uri="{FF2B5EF4-FFF2-40B4-BE49-F238E27FC236}">
                <a16:creationId xmlns:a16="http://schemas.microsoft.com/office/drawing/2014/main" id="{A5CC6010-70E4-746C-2A3D-E248FB0045B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4" name="Shape 4">
            <a:extLst>
              <a:ext uri="{FF2B5EF4-FFF2-40B4-BE49-F238E27FC236}">
                <a16:creationId xmlns:a16="http://schemas.microsoft.com/office/drawing/2014/main" id="{A637129B-3AFE-90AA-E2C4-0BA5749FD16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5" name="Shape 5">
            <a:extLst>
              <a:ext uri="{FF2B5EF4-FFF2-40B4-BE49-F238E27FC236}">
                <a16:creationId xmlns:a16="http://schemas.microsoft.com/office/drawing/2014/main" id="{DD426A02-1402-B9E0-334A-72F8CC2D772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6" name="Shape 6">
            <a:extLst>
              <a:ext uri="{FF2B5EF4-FFF2-40B4-BE49-F238E27FC236}">
                <a16:creationId xmlns:a16="http://schemas.microsoft.com/office/drawing/2014/main" id="{44DF7273-43FB-66CC-16E2-AFB820DEEAF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7" name="Shape 7">
            <a:extLst>
              <a:ext uri="{FF2B5EF4-FFF2-40B4-BE49-F238E27FC236}">
                <a16:creationId xmlns:a16="http://schemas.microsoft.com/office/drawing/2014/main" id="{C464738D-2CC9-3086-F570-AB5E3440834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8" name="Shape 8">
            <a:extLst>
              <a:ext uri="{FF2B5EF4-FFF2-40B4-BE49-F238E27FC236}">
                <a16:creationId xmlns:a16="http://schemas.microsoft.com/office/drawing/2014/main" id="{F9654673-4B4D-1DEC-17AB-1D1040102A5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9" name="Shape 9">
            <a:extLst>
              <a:ext uri="{FF2B5EF4-FFF2-40B4-BE49-F238E27FC236}">
                <a16:creationId xmlns:a16="http://schemas.microsoft.com/office/drawing/2014/main" id="{AA54B877-35C1-7005-38EE-5FE172FFD93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0" name="Shape 10">
            <a:extLst>
              <a:ext uri="{FF2B5EF4-FFF2-40B4-BE49-F238E27FC236}">
                <a16:creationId xmlns:a16="http://schemas.microsoft.com/office/drawing/2014/main" id="{FAB90EF0-915E-6425-6675-1F1214890F4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1" name="Shape 11">
            <a:extLst>
              <a:ext uri="{FF2B5EF4-FFF2-40B4-BE49-F238E27FC236}">
                <a16:creationId xmlns:a16="http://schemas.microsoft.com/office/drawing/2014/main" id="{1F348654-2947-2BC9-5663-B913C52F0D3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2" name="Shape 12">
            <a:extLst>
              <a:ext uri="{FF2B5EF4-FFF2-40B4-BE49-F238E27FC236}">
                <a16:creationId xmlns:a16="http://schemas.microsoft.com/office/drawing/2014/main" id="{098253F6-D988-03A9-02A5-F000E97C950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3" name="Shape 13">
            <a:extLst>
              <a:ext uri="{FF2B5EF4-FFF2-40B4-BE49-F238E27FC236}">
                <a16:creationId xmlns:a16="http://schemas.microsoft.com/office/drawing/2014/main" id="{A31D79DE-9E47-0417-FF41-44FB26B2542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4" name="Shape 14">
            <a:extLst>
              <a:ext uri="{FF2B5EF4-FFF2-40B4-BE49-F238E27FC236}">
                <a16:creationId xmlns:a16="http://schemas.microsoft.com/office/drawing/2014/main" id="{4F6D185B-7034-E446-2838-2F1BF1243C9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5" name="Shape 15">
            <a:extLst>
              <a:ext uri="{FF2B5EF4-FFF2-40B4-BE49-F238E27FC236}">
                <a16:creationId xmlns:a16="http://schemas.microsoft.com/office/drawing/2014/main" id="{45181EB3-4A37-0EA8-015A-3933A5BB5C4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6" name="Shape 16">
            <a:extLst>
              <a:ext uri="{FF2B5EF4-FFF2-40B4-BE49-F238E27FC236}">
                <a16:creationId xmlns:a16="http://schemas.microsoft.com/office/drawing/2014/main" id="{C44D1E0E-0303-695A-EFA0-C7E65323CD7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494</xdr:row>
      <xdr:rowOff>3246</xdr:rowOff>
    </xdr:from>
    <xdr:ext cx="33655" cy="33655"/>
    <xdr:grpSp>
      <xdr:nvGrpSpPr>
        <xdr:cNvPr id="167" name="Group 17">
          <a:extLst>
            <a:ext uri="{FF2B5EF4-FFF2-40B4-BE49-F238E27FC236}">
              <a16:creationId xmlns:a16="http://schemas.microsoft.com/office/drawing/2014/main" id="{C64B1656-8061-47B8-AABC-AE60F5098A9A}"/>
            </a:ext>
          </a:extLst>
        </xdr:cNvPr>
        <xdr:cNvGrpSpPr/>
      </xdr:nvGrpSpPr>
      <xdr:grpSpPr>
        <a:xfrm>
          <a:off x="4603072" y="93073426"/>
          <a:ext cx="33655" cy="33655"/>
          <a:chOff x="0" y="0"/>
          <a:chExt cx="33655" cy="33655"/>
        </a:xfrm>
      </xdr:grpSpPr>
      <xdr:sp macro="" textlink="">
        <xdr:nvSpPr>
          <xdr:cNvPr id="168" name="Shape 18">
            <a:extLst>
              <a:ext uri="{FF2B5EF4-FFF2-40B4-BE49-F238E27FC236}">
                <a16:creationId xmlns:a16="http://schemas.microsoft.com/office/drawing/2014/main" id="{DFB6D1F8-CE13-64A4-433F-D91D520AF6F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9" name="Shape 19">
            <a:extLst>
              <a:ext uri="{FF2B5EF4-FFF2-40B4-BE49-F238E27FC236}">
                <a16:creationId xmlns:a16="http://schemas.microsoft.com/office/drawing/2014/main" id="{CB44ABBE-E873-F9C6-5B26-CD4C5B35E04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0" name="Shape 20">
            <a:extLst>
              <a:ext uri="{FF2B5EF4-FFF2-40B4-BE49-F238E27FC236}">
                <a16:creationId xmlns:a16="http://schemas.microsoft.com/office/drawing/2014/main" id="{23F5060C-85C7-59AE-0DC8-F1F04BC94D0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1" name="Shape 21">
            <a:extLst>
              <a:ext uri="{FF2B5EF4-FFF2-40B4-BE49-F238E27FC236}">
                <a16:creationId xmlns:a16="http://schemas.microsoft.com/office/drawing/2014/main" id="{C038AF9F-A5B4-FB1B-2DE7-2481F8191AD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2" name="Shape 22">
            <a:extLst>
              <a:ext uri="{FF2B5EF4-FFF2-40B4-BE49-F238E27FC236}">
                <a16:creationId xmlns:a16="http://schemas.microsoft.com/office/drawing/2014/main" id="{D2C8CD76-61C3-9076-6932-60AA605B25D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3" name="Shape 23">
            <a:extLst>
              <a:ext uri="{FF2B5EF4-FFF2-40B4-BE49-F238E27FC236}">
                <a16:creationId xmlns:a16="http://schemas.microsoft.com/office/drawing/2014/main" id="{E0A8FD87-07C3-E45F-9F98-1D19B13DA02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4" name="Shape 24">
            <a:extLst>
              <a:ext uri="{FF2B5EF4-FFF2-40B4-BE49-F238E27FC236}">
                <a16:creationId xmlns:a16="http://schemas.microsoft.com/office/drawing/2014/main" id="{536F54D0-D5DF-A265-316B-9E98DA0D03E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5" name="Shape 25">
            <a:extLst>
              <a:ext uri="{FF2B5EF4-FFF2-40B4-BE49-F238E27FC236}">
                <a16:creationId xmlns:a16="http://schemas.microsoft.com/office/drawing/2014/main" id="{E01DE7EC-903A-BC55-B893-51799319774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6" name="Shape 26">
            <a:extLst>
              <a:ext uri="{FF2B5EF4-FFF2-40B4-BE49-F238E27FC236}">
                <a16:creationId xmlns:a16="http://schemas.microsoft.com/office/drawing/2014/main" id="{054A38E4-B14C-D593-8322-F365A6F3EE4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7" name="Shape 27">
            <a:extLst>
              <a:ext uri="{FF2B5EF4-FFF2-40B4-BE49-F238E27FC236}">
                <a16:creationId xmlns:a16="http://schemas.microsoft.com/office/drawing/2014/main" id="{3617A0BB-3A1D-F038-B44C-EABD23DACA2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8" name="Shape 28">
            <a:extLst>
              <a:ext uri="{FF2B5EF4-FFF2-40B4-BE49-F238E27FC236}">
                <a16:creationId xmlns:a16="http://schemas.microsoft.com/office/drawing/2014/main" id="{ADD681FA-32C6-8380-DE24-B6362B4CF54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79" name="Shape 29">
            <a:extLst>
              <a:ext uri="{FF2B5EF4-FFF2-40B4-BE49-F238E27FC236}">
                <a16:creationId xmlns:a16="http://schemas.microsoft.com/office/drawing/2014/main" id="{5DF2F49F-6314-3725-9F7D-30B86DA60B5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80" name="Shape 30">
            <a:extLst>
              <a:ext uri="{FF2B5EF4-FFF2-40B4-BE49-F238E27FC236}">
                <a16:creationId xmlns:a16="http://schemas.microsoft.com/office/drawing/2014/main" id="{AD741757-FBA6-EBAD-D2BC-2EF9BEC3032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81" name="Shape 31">
            <a:extLst>
              <a:ext uri="{FF2B5EF4-FFF2-40B4-BE49-F238E27FC236}">
                <a16:creationId xmlns:a16="http://schemas.microsoft.com/office/drawing/2014/main" id="{E5EB9A7B-A9DB-E6B9-7837-3CB81F1B655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494</xdr:row>
      <xdr:rowOff>3703</xdr:rowOff>
    </xdr:from>
    <xdr:ext cx="33655" cy="33655"/>
    <xdr:grpSp>
      <xdr:nvGrpSpPr>
        <xdr:cNvPr id="182" name="Group 32">
          <a:extLst>
            <a:ext uri="{FF2B5EF4-FFF2-40B4-BE49-F238E27FC236}">
              <a16:creationId xmlns:a16="http://schemas.microsoft.com/office/drawing/2014/main" id="{8DAB805B-1C85-4F4D-ABFD-23A1D9EDCFFD}"/>
            </a:ext>
          </a:extLst>
        </xdr:cNvPr>
        <xdr:cNvGrpSpPr/>
      </xdr:nvGrpSpPr>
      <xdr:grpSpPr>
        <a:xfrm>
          <a:off x="4603072" y="93073883"/>
          <a:ext cx="33655" cy="33655"/>
          <a:chOff x="0" y="0"/>
          <a:chExt cx="33655" cy="33655"/>
        </a:xfrm>
      </xdr:grpSpPr>
      <xdr:sp macro="" textlink="">
        <xdr:nvSpPr>
          <xdr:cNvPr id="183" name="Shape 33">
            <a:extLst>
              <a:ext uri="{FF2B5EF4-FFF2-40B4-BE49-F238E27FC236}">
                <a16:creationId xmlns:a16="http://schemas.microsoft.com/office/drawing/2014/main" id="{188CF1E3-4837-5854-2B04-B90F477E382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84" name="Shape 34">
            <a:extLst>
              <a:ext uri="{FF2B5EF4-FFF2-40B4-BE49-F238E27FC236}">
                <a16:creationId xmlns:a16="http://schemas.microsoft.com/office/drawing/2014/main" id="{7B62F254-690E-795D-C29E-ADA661C7DCE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85" name="Shape 35">
            <a:extLst>
              <a:ext uri="{FF2B5EF4-FFF2-40B4-BE49-F238E27FC236}">
                <a16:creationId xmlns:a16="http://schemas.microsoft.com/office/drawing/2014/main" id="{7A733F6F-F8EE-57D5-D63C-515AF5C59C6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86" name="Shape 36">
            <a:extLst>
              <a:ext uri="{FF2B5EF4-FFF2-40B4-BE49-F238E27FC236}">
                <a16:creationId xmlns:a16="http://schemas.microsoft.com/office/drawing/2014/main" id="{2064EBF1-67C2-C12C-4BF6-D9D6AB9E357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87" name="Shape 37">
            <a:extLst>
              <a:ext uri="{FF2B5EF4-FFF2-40B4-BE49-F238E27FC236}">
                <a16:creationId xmlns:a16="http://schemas.microsoft.com/office/drawing/2014/main" id="{C48CC35C-FA83-6347-0EEE-7717547BDD2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88" name="Shape 38">
            <a:extLst>
              <a:ext uri="{FF2B5EF4-FFF2-40B4-BE49-F238E27FC236}">
                <a16:creationId xmlns:a16="http://schemas.microsoft.com/office/drawing/2014/main" id="{57AB8195-98F6-5DF8-86BA-328842B661D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89" name="Shape 39">
            <a:extLst>
              <a:ext uri="{FF2B5EF4-FFF2-40B4-BE49-F238E27FC236}">
                <a16:creationId xmlns:a16="http://schemas.microsoft.com/office/drawing/2014/main" id="{975E0222-3D7A-A09E-EF1F-26FE6AE0A1B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90" name="Shape 40">
            <a:extLst>
              <a:ext uri="{FF2B5EF4-FFF2-40B4-BE49-F238E27FC236}">
                <a16:creationId xmlns:a16="http://schemas.microsoft.com/office/drawing/2014/main" id="{A76E65E9-8FC2-1FB0-2095-8CCFDC689CE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91" name="Shape 41">
            <a:extLst>
              <a:ext uri="{FF2B5EF4-FFF2-40B4-BE49-F238E27FC236}">
                <a16:creationId xmlns:a16="http://schemas.microsoft.com/office/drawing/2014/main" id="{40271DA7-611F-9E60-0289-B64D782853F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02" name="Shape 42">
            <a:extLst>
              <a:ext uri="{FF2B5EF4-FFF2-40B4-BE49-F238E27FC236}">
                <a16:creationId xmlns:a16="http://schemas.microsoft.com/office/drawing/2014/main" id="{FCFC2206-8AA9-992B-29C4-84A4CBFC873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03" name="Shape 43">
            <a:extLst>
              <a:ext uri="{FF2B5EF4-FFF2-40B4-BE49-F238E27FC236}">
                <a16:creationId xmlns:a16="http://schemas.microsoft.com/office/drawing/2014/main" id="{05E87019-FA4C-0B53-2780-A6045F78FDA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04" name="Shape 44">
            <a:extLst>
              <a:ext uri="{FF2B5EF4-FFF2-40B4-BE49-F238E27FC236}">
                <a16:creationId xmlns:a16="http://schemas.microsoft.com/office/drawing/2014/main" id="{01E5EF82-A64D-2D23-0CA7-211FBCA6AE5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05" name="Shape 45">
            <a:extLst>
              <a:ext uri="{FF2B5EF4-FFF2-40B4-BE49-F238E27FC236}">
                <a16:creationId xmlns:a16="http://schemas.microsoft.com/office/drawing/2014/main" id="{CFFFFBBF-2C2B-1BA7-D9CA-8ACFD90BC3D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06" name="Shape 46">
            <a:extLst>
              <a:ext uri="{FF2B5EF4-FFF2-40B4-BE49-F238E27FC236}">
                <a16:creationId xmlns:a16="http://schemas.microsoft.com/office/drawing/2014/main" id="{6754A330-3E3B-ECCD-5917-FAD2EC268D1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494</xdr:row>
      <xdr:rowOff>3409</xdr:rowOff>
    </xdr:from>
    <xdr:ext cx="33655" cy="33655"/>
    <xdr:grpSp>
      <xdr:nvGrpSpPr>
        <xdr:cNvPr id="3607" name="Group 47">
          <a:extLst>
            <a:ext uri="{FF2B5EF4-FFF2-40B4-BE49-F238E27FC236}">
              <a16:creationId xmlns:a16="http://schemas.microsoft.com/office/drawing/2014/main" id="{DBDBE8B6-CE32-444E-98A8-A6F24B49240B}"/>
            </a:ext>
          </a:extLst>
        </xdr:cNvPr>
        <xdr:cNvGrpSpPr/>
      </xdr:nvGrpSpPr>
      <xdr:grpSpPr>
        <a:xfrm>
          <a:off x="4603072" y="93073589"/>
          <a:ext cx="33655" cy="33655"/>
          <a:chOff x="0" y="0"/>
          <a:chExt cx="33655" cy="33655"/>
        </a:xfrm>
      </xdr:grpSpPr>
      <xdr:sp macro="" textlink="">
        <xdr:nvSpPr>
          <xdr:cNvPr id="3608" name="Shape 48">
            <a:extLst>
              <a:ext uri="{FF2B5EF4-FFF2-40B4-BE49-F238E27FC236}">
                <a16:creationId xmlns:a16="http://schemas.microsoft.com/office/drawing/2014/main" id="{32B95E7F-80D3-CA73-917E-499A21E087A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09" name="Shape 49">
            <a:extLst>
              <a:ext uri="{FF2B5EF4-FFF2-40B4-BE49-F238E27FC236}">
                <a16:creationId xmlns:a16="http://schemas.microsoft.com/office/drawing/2014/main" id="{2F6F0394-E09C-E444-00DC-D86A53E3259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10" name="Shape 50">
            <a:extLst>
              <a:ext uri="{FF2B5EF4-FFF2-40B4-BE49-F238E27FC236}">
                <a16:creationId xmlns:a16="http://schemas.microsoft.com/office/drawing/2014/main" id="{4F86BED2-962C-83E7-EC34-14EFE1C1398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11" name="Shape 51">
            <a:extLst>
              <a:ext uri="{FF2B5EF4-FFF2-40B4-BE49-F238E27FC236}">
                <a16:creationId xmlns:a16="http://schemas.microsoft.com/office/drawing/2014/main" id="{B159B03C-AD50-D6F3-DC89-0E9016DC960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12" name="Shape 52">
            <a:extLst>
              <a:ext uri="{FF2B5EF4-FFF2-40B4-BE49-F238E27FC236}">
                <a16:creationId xmlns:a16="http://schemas.microsoft.com/office/drawing/2014/main" id="{467BABE0-2AB2-6597-2922-42ADF779298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13" name="Shape 53">
            <a:extLst>
              <a:ext uri="{FF2B5EF4-FFF2-40B4-BE49-F238E27FC236}">
                <a16:creationId xmlns:a16="http://schemas.microsoft.com/office/drawing/2014/main" id="{F0AE043A-C7F2-8154-04B1-1AEABFE9D00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14" name="Shape 54">
            <a:extLst>
              <a:ext uri="{FF2B5EF4-FFF2-40B4-BE49-F238E27FC236}">
                <a16:creationId xmlns:a16="http://schemas.microsoft.com/office/drawing/2014/main" id="{91B44BF3-E6E9-C182-BBD1-4D67DA968F6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15" name="Shape 55">
            <a:extLst>
              <a:ext uri="{FF2B5EF4-FFF2-40B4-BE49-F238E27FC236}">
                <a16:creationId xmlns:a16="http://schemas.microsoft.com/office/drawing/2014/main" id="{EC29D6A3-B88C-055C-0B11-19A2D3FF770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37" name="Shape 56">
            <a:extLst>
              <a:ext uri="{FF2B5EF4-FFF2-40B4-BE49-F238E27FC236}">
                <a16:creationId xmlns:a16="http://schemas.microsoft.com/office/drawing/2014/main" id="{C790A721-73B0-AEFE-CCD3-0B7C0F13479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38" name="Shape 57">
            <a:extLst>
              <a:ext uri="{FF2B5EF4-FFF2-40B4-BE49-F238E27FC236}">
                <a16:creationId xmlns:a16="http://schemas.microsoft.com/office/drawing/2014/main" id="{75FC5EC0-2084-A18C-10F1-2F11D12A0FE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39" name="Shape 58">
            <a:extLst>
              <a:ext uri="{FF2B5EF4-FFF2-40B4-BE49-F238E27FC236}">
                <a16:creationId xmlns:a16="http://schemas.microsoft.com/office/drawing/2014/main" id="{339A9638-1070-3D53-A69F-C5FCAB235E2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40" name="Shape 59">
            <a:extLst>
              <a:ext uri="{FF2B5EF4-FFF2-40B4-BE49-F238E27FC236}">
                <a16:creationId xmlns:a16="http://schemas.microsoft.com/office/drawing/2014/main" id="{1AEE3197-3E68-FB0E-2CA9-0451732A794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41" name="Shape 60">
            <a:extLst>
              <a:ext uri="{FF2B5EF4-FFF2-40B4-BE49-F238E27FC236}">
                <a16:creationId xmlns:a16="http://schemas.microsoft.com/office/drawing/2014/main" id="{F2D7C051-42C5-0E28-9AF9-6483E57905A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42" name="Shape 61">
            <a:extLst>
              <a:ext uri="{FF2B5EF4-FFF2-40B4-BE49-F238E27FC236}">
                <a16:creationId xmlns:a16="http://schemas.microsoft.com/office/drawing/2014/main" id="{D3B69611-54B1-DE9C-AB08-FE1DB3E566E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494</xdr:row>
      <xdr:rowOff>3962</xdr:rowOff>
    </xdr:from>
    <xdr:ext cx="33655" cy="33655"/>
    <xdr:grpSp>
      <xdr:nvGrpSpPr>
        <xdr:cNvPr id="3643" name="Group 62">
          <a:extLst>
            <a:ext uri="{FF2B5EF4-FFF2-40B4-BE49-F238E27FC236}">
              <a16:creationId xmlns:a16="http://schemas.microsoft.com/office/drawing/2014/main" id="{F785CDF3-C060-4271-B629-BBD7CB1A166F}"/>
            </a:ext>
          </a:extLst>
        </xdr:cNvPr>
        <xdr:cNvGrpSpPr/>
      </xdr:nvGrpSpPr>
      <xdr:grpSpPr>
        <a:xfrm>
          <a:off x="4603072" y="93074142"/>
          <a:ext cx="33655" cy="33655"/>
          <a:chOff x="0" y="0"/>
          <a:chExt cx="33655" cy="33655"/>
        </a:xfrm>
      </xdr:grpSpPr>
      <xdr:sp macro="" textlink="">
        <xdr:nvSpPr>
          <xdr:cNvPr id="3644" name="Shape 63">
            <a:extLst>
              <a:ext uri="{FF2B5EF4-FFF2-40B4-BE49-F238E27FC236}">
                <a16:creationId xmlns:a16="http://schemas.microsoft.com/office/drawing/2014/main" id="{91BAB10B-762C-0159-615E-E8ABBD792E9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45" name="Shape 64">
            <a:extLst>
              <a:ext uri="{FF2B5EF4-FFF2-40B4-BE49-F238E27FC236}">
                <a16:creationId xmlns:a16="http://schemas.microsoft.com/office/drawing/2014/main" id="{FEDEB68A-21E7-AD9D-98D4-0F5223BA699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46" name="Shape 65">
            <a:extLst>
              <a:ext uri="{FF2B5EF4-FFF2-40B4-BE49-F238E27FC236}">
                <a16:creationId xmlns:a16="http://schemas.microsoft.com/office/drawing/2014/main" id="{21A45A14-BE27-EDD0-5492-5FA0CAD367C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47" name="Shape 66">
            <a:extLst>
              <a:ext uri="{FF2B5EF4-FFF2-40B4-BE49-F238E27FC236}">
                <a16:creationId xmlns:a16="http://schemas.microsoft.com/office/drawing/2014/main" id="{7BD8DABA-A45E-4834-AE25-745A5A73464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8" name="Shape 67">
            <a:extLst>
              <a:ext uri="{FF2B5EF4-FFF2-40B4-BE49-F238E27FC236}">
                <a16:creationId xmlns:a16="http://schemas.microsoft.com/office/drawing/2014/main" id="{78E5109A-4583-F216-4659-17F26EE8A38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9" name="Shape 68">
            <a:extLst>
              <a:ext uri="{FF2B5EF4-FFF2-40B4-BE49-F238E27FC236}">
                <a16:creationId xmlns:a16="http://schemas.microsoft.com/office/drawing/2014/main" id="{3CC0F85D-FDD4-B266-BF78-1F50D77AC3E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0" name="Shape 69">
            <a:extLst>
              <a:ext uri="{FF2B5EF4-FFF2-40B4-BE49-F238E27FC236}">
                <a16:creationId xmlns:a16="http://schemas.microsoft.com/office/drawing/2014/main" id="{6F924389-D927-51C4-4C52-B303BFEADC4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1" name="Shape 70">
            <a:extLst>
              <a:ext uri="{FF2B5EF4-FFF2-40B4-BE49-F238E27FC236}">
                <a16:creationId xmlns:a16="http://schemas.microsoft.com/office/drawing/2014/main" id="{03E0C311-4E34-758C-58FD-00BC297B8F0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2" name="Shape 71">
            <a:extLst>
              <a:ext uri="{FF2B5EF4-FFF2-40B4-BE49-F238E27FC236}">
                <a16:creationId xmlns:a16="http://schemas.microsoft.com/office/drawing/2014/main" id="{2CBA6C3A-9FCC-98A7-D4EA-57B7AE76B85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3" name="Shape 72">
            <a:extLst>
              <a:ext uri="{FF2B5EF4-FFF2-40B4-BE49-F238E27FC236}">
                <a16:creationId xmlns:a16="http://schemas.microsoft.com/office/drawing/2014/main" id="{0291B039-C63F-4ADE-8F31-4C8323CC78D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4" name="Shape 73">
            <a:extLst>
              <a:ext uri="{FF2B5EF4-FFF2-40B4-BE49-F238E27FC236}">
                <a16:creationId xmlns:a16="http://schemas.microsoft.com/office/drawing/2014/main" id="{4CC18A27-18E7-7795-D6F0-E28AE2A4CFF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5" name="Shape 74">
            <a:extLst>
              <a:ext uri="{FF2B5EF4-FFF2-40B4-BE49-F238E27FC236}">
                <a16:creationId xmlns:a16="http://schemas.microsoft.com/office/drawing/2014/main" id="{4A29B29C-C039-5640-2BEA-CFE3993AC9B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6" name="Shape 75">
            <a:extLst>
              <a:ext uri="{FF2B5EF4-FFF2-40B4-BE49-F238E27FC236}">
                <a16:creationId xmlns:a16="http://schemas.microsoft.com/office/drawing/2014/main" id="{C989C1A3-7763-6F57-237C-6F41BCBC909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7" name="Shape 76">
            <a:extLst>
              <a:ext uri="{FF2B5EF4-FFF2-40B4-BE49-F238E27FC236}">
                <a16:creationId xmlns:a16="http://schemas.microsoft.com/office/drawing/2014/main" id="{13309F2F-C993-BAF6-1174-77E870D96E6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505</xdr:row>
      <xdr:rowOff>2978</xdr:rowOff>
    </xdr:from>
    <xdr:ext cx="33655" cy="33655"/>
    <xdr:grpSp>
      <xdr:nvGrpSpPr>
        <xdr:cNvPr id="1098" name="Group 2">
          <a:extLst>
            <a:ext uri="{FF2B5EF4-FFF2-40B4-BE49-F238E27FC236}">
              <a16:creationId xmlns:a16="http://schemas.microsoft.com/office/drawing/2014/main" id="{ABC31B94-F31B-4E43-B51F-F3C2DEB40916}"/>
            </a:ext>
          </a:extLst>
        </xdr:cNvPr>
        <xdr:cNvGrpSpPr/>
      </xdr:nvGrpSpPr>
      <xdr:grpSpPr>
        <a:xfrm>
          <a:off x="4603072" y="94915699"/>
          <a:ext cx="33655" cy="33655"/>
          <a:chOff x="0" y="0"/>
          <a:chExt cx="33655" cy="33655"/>
        </a:xfrm>
      </xdr:grpSpPr>
      <xdr:sp macro="" textlink="">
        <xdr:nvSpPr>
          <xdr:cNvPr id="1099" name="Shape 3">
            <a:extLst>
              <a:ext uri="{FF2B5EF4-FFF2-40B4-BE49-F238E27FC236}">
                <a16:creationId xmlns:a16="http://schemas.microsoft.com/office/drawing/2014/main" id="{BA80AB17-2FD3-D9C8-F684-95E67A5DAA2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0" name="Shape 4">
            <a:extLst>
              <a:ext uri="{FF2B5EF4-FFF2-40B4-BE49-F238E27FC236}">
                <a16:creationId xmlns:a16="http://schemas.microsoft.com/office/drawing/2014/main" id="{FF720444-9777-BB96-1495-9D3634B5F6A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1" name="Shape 5">
            <a:extLst>
              <a:ext uri="{FF2B5EF4-FFF2-40B4-BE49-F238E27FC236}">
                <a16:creationId xmlns:a16="http://schemas.microsoft.com/office/drawing/2014/main" id="{20497FD3-6A52-5A19-DF50-FC354A3CB0C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2" name="Shape 6">
            <a:extLst>
              <a:ext uri="{FF2B5EF4-FFF2-40B4-BE49-F238E27FC236}">
                <a16:creationId xmlns:a16="http://schemas.microsoft.com/office/drawing/2014/main" id="{E3FCD175-1134-3995-973C-DA98BF90071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3" name="Shape 7">
            <a:extLst>
              <a:ext uri="{FF2B5EF4-FFF2-40B4-BE49-F238E27FC236}">
                <a16:creationId xmlns:a16="http://schemas.microsoft.com/office/drawing/2014/main" id="{EB28D0B0-B2DE-B4CA-5844-A07EF69B154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4" name="Shape 8">
            <a:extLst>
              <a:ext uri="{FF2B5EF4-FFF2-40B4-BE49-F238E27FC236}">
                <a16:creationId xmlns:a16="http://schemas.microsoft.com/office/drawing/2014/main" id="{9C864B61-48A8-E4EB-895F-A11B85BA992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5" name="Shape 9">
            <a:extLst>
              <a:ext uri="{FF2B5EF4-FFF2-40B4-BE49-F238E27FC236}">
                <a16:creationId xmlns:a16="http://schemas.microsoft.com/office/drawing/2014/main" id="{9FE5A292-ADDF-7E31-7C42-7A954D10ACE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6" name="Shape 10">
            <a:extLst>
              <a:ext uri="{FF2B5EF4-FFF2-40B4-BE49-F238E27FC236}">
                <a16:creationId xmlns:a16="http://schemas.microsoft.com/office/drawing/2014/main" id="{711D2080-531B-2883-5BE8-3DDEE04FD8B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7" name="Shape 11">
            <a:extLst>
              <a:ext uri="{FF2B5EF4-FFF2-40B4-BE49-F238E27FC236}">
                <a16:creationId xmlns:a16="http://schemas.microsoft.com/office/drawing/2014/main" id="{BAE7590C-627A-6965-96B4-F384893D58C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8" name="Shape 12">
            <a:extLst>
              <a:ext uri="{FF2B5EF4-FFF2-40B4-BE49-F238E27FC236}">
                <a16:creationId xmlns:a16="http://schemas.microsoft.com/office/drawing/2014/main" id="{EDA46D70-D266-460B-A2C2-80B2A1E6C28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9" name="Shape 13">
            <a:extLst>
              <a:ext uri="{FF2B5EF4-FFF2-40B4-BE49-F238E27FC236}">
                <a16:creationId xmlns:a16="http://schemas.microsoft.com/office/drawing/2014/main" id="{8CE1692E-5A56-8835-C0C7-76C32D7AE3E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0" name="Shape 14">
            <a:extLst>
              <a:ext uri="{FF2B5EF4-FFF2-40B4-BE49-F238E27FC236}">
                <a16:creationId xmlns:a16="http://schemas.microsoft.com/office/drawing/2014/main" id="{D8B4EB8E-B136-B83B-37DC-43874B30B42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1" name="Shape 15">
            <a:extLst>
              <a:ext uri="{FF2B5EF4-FFF2-40B4-BE49-F238E27FC236}">
                <a16:creationId xmlns:a16="http://schemas.microsoft.com/office/drawing/2014/main" id="{F165AC6D-AD2D-CA5C-43CF-63EBAD64707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2" name="Shape 16">
            <a:extLst>
              <a:ext uri="{FF2B5EF4-FFF2-40B4-BE49-F238E27FC236}">
                <a16:creationId xmlns:a16="http://schemas.microsoft.com/office/drawing/2014/main" id="{70AFA56B-C5B5-3231-96DB-A97123B589E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505</xdr:row>
      <xdr:rowOff>3246</xdr:rowOff>
    </xdr:from>
    <xdr:ext cx="33655" cy="33655"/>
    <xdr:grpSp>
      <xdr:nvGrpSpPr>
        <xdr:cNvPr id="1113" name="Group 17">
          <a:extLst>
            <a:ext uri="{FF2B5EF4-FFF2-40B4-BE49-F238E27FC236}">
              <a16:creationId xmlns:a16="http://schemas.microsoft.com/office/drawing/2014/main" id="{57C3C482-B3F3-44AE-B295-3C6DD3FF9420}"/>
            </a:ext>
          </a:extLst>
        </xdr:cNvPr>
        <xdr:cNvGrpSpPr/>
      </xdr:nvGrpSpPr>
      <xdr:grpSpPr>
        <a:xfrm>
          <a:off x="4603072" y="94915967"/>
          <a:ext cx="33655" cy="33655"/>
          <a:chOff x="0" y="0"/>
          <a:chExt cx="33655" cy="33655"/>
        </a:xfrm>
      </xdr:grpSpPr>
      <xdr:sp macro="" textlink="">
        <xdr:nvSpPr>
          <xdr:cNvPr id="1114" name="Shape 18">
            <a:extLst>
              <a:ext uri="{FF2B5EF4-FFF2-40B4-BE49-F238E27FC236}">
                <a16:creationId xmlns:a16="http://schemas.microsoft.com/office/drawing/2014/main" id="{023A107E-59CB-150E-5010-FC56539C821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5" name="Shape 19">
            <a:extLst>
              <a:ext uri="{FF2B5EF4-FFF2-40B4-BE49-F238E27FC236}">
                <a16:creationId xmlns:a16="http://schemas.microsoft.com/office/drawing/2014/main" id="{7C8DE2BF-B427-9734-6529-EBFEA870A5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6" name="Shape 20">
            <a:extLst>
              <a:ext uri="{FF2B5EF4-FFF2-40B4-BE49-F238E27FC236}">
                <a16:creationId xmlns:a16="http://schemas.microsoft.com/office/drawing/2014/main" id="{E4C830EB-EBB8-A2A4-1FD6-E4AB9A843A6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7" name="Shape 21">
            <a:extLst>
              <a:ext uri="{FF2B5EF4-FFF2-40B4-BE49-F238E27FC236}">
                <a16:creationId xmlns:a16="http://schemas.microsoft.com/office/drawing/2014/main" id="{40DA76EA-34B8-065A-C64D-6EC5F47E944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8" name="Shape 22">
            <a:extLst>
              <a:ext uri="{FF2B5EF4-FFF2-40B4-BE49-F238E27FC236}">
                <a16:creationId xmlns:a16="http://schemas.microsoft.com/office/drawing/2014/main" id="{C068DB51-D65D-B6FE-8AC1-92E3CD67FB1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9" name="Shape 23">
            <a:extLst>
              <a:ext uri="{FF2B5EF4-FFF2-40B4-BE49-F238E27FC236}">
                <a16:creationId xmlns:a16="http://schemas.microsoft.com/office/drawing/2014/main" id="{52B0937F-45E5-1921-2994-937DB925468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08" name="Shape 24">
            <a:extLst>
              <a:ext uri="{FF2B5EF4-FFF2-40B4-BE49-F238E27FC236}">
                <a16:creationId xmlns:a16="http://schemas.microsoft.com/office/drawing/2014/main" id="{A7C96F64-A277-66CF-A407-8F67175D947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09" name="Shape 25">
            <a:extLst>
              <a:ext uri="{FF2B5EF4-FFF2-40B4-BE49-F238E27FC236}">
                <a16:creationId xmlns:a16="http://schemas.microsoft.com/office/drawing/2014/main" id="{63577686-5DE7-318D-CA10-56EAF79AA4C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10" name="Shape 26">
            <a:extLst>
              <a:ext uri="{FF2B5EF4-FFF2-40B4-BE49-F238E27FC236}">
                <a16:creationId xmlns:a16="http://schemas.microsoft.com/office/drawing/2014/main" id="{B2862DBC-8379-6746-EB76-360C7AE233D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11" name="Shape 27">
            <a:extLst>
              <a:ext uri="{FF2B5EF4-FFF2-40B4-BE49-F238E27FC236}">
                <a16:creationId xmlns:a16="http://schemas.microsoft.com/office/drawing/2014/main" id="{6E2DCA26-784D-C1C0-019A-17E5EAB6268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12" name="Shape 28">
            <a:extLst>
              <a:ext uri="{FF2B5EF4-FFF2-40B4-BE49-F238E27FC236}">
                <a16:creationId xmlns:a16="http://schemas.microsoft.com/office/drawing/2014/main" id="{07C3B504-AA59-10F6-0597-0B9AAE868AA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13" name="Shape 29">
            <a:extLst>
              <a:ext uri="{FF2B5EF4-FFF2-40B4-BE49-F238E27FC236}">
                <a16:creationId xmlns:a16="http://schemas.microsoft.com/office/drawing/2014/main" id="{4F06CEDE-0CC2-E9DD-3E5E-A4EB4608750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14" name="Shape 30">
            <a:extLst>
              <a:ext uri="{FF2B5EF4-FFF2-40B4-BE49-F238E27FC236}">
                <a16:creationId xmlns:a16="http://schemas.microsoft.com/office/drawing/2014/main" id="{13E3A50D-D242-AE40-58BF-B2556AEA428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15" name="Shape 31">
            <a:extLst>
              <a:ext uri="{FF2B5EF4-FFF2-40B4-BE49-F238E27FC236}">
                <a16:creationId xmlns:a16="http://schemas.microsoft.com/office/drawing/2014/main" id="{74620012-D27F-F120-96A8-D11B6292DE3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505</xdr:row>
      <xdr:rowOff>3703</xdr:rowOff>
    </xdr:from>
    <xdr:ext cx="33655" cy="33655"/>
    <xdr:grpSp>
      <xdr:nvGrpSpPr>
        <xdr:cNvPr id="1416" name="Group 32">
          <a:extLst>
            <a:ext uri="{FF2B5EF4-FFF2-40B4-BE49-F238E27FC236}">
              <a16:creationId xmlns:a16="http://schemas.microsoft.com/office/drawing/2014/main" id="{0C708004-492C-4250-BBE5-BA48ACA2BEFD}"/>
            </a:ext>
          </a:extLst>
        </xdr:cNvPr>
        <xdr:cNvGrpSpPr/>
      </xdr:nvGrpSpPr>
      <xdr:grpSpPr>
        <a:xfrm>
          <a:off x="4603072" y="94916424"/>
          <a:ext cx="33655" cy="33655"/>
          <a:chOff x="0" y="0"/>
          <a:chExt cx="33655" cy="33655"/>
        </a:xfrm>
      </xdr:grpSpPr>
      <xdr:sp macro="" textlink="">
        <xdr:nvSpPr>
          <xdr:cNvPr id="1417" name="Shape 33">
            <a:extLst>
              <a:ext uri="{FF2B5EF4-FFF2-40B4-BE49-F238E27FC236}">
                <a16:creationId xmlns:a16="http://schemas.microsoft.com/office/drawing/2014/main" id="{F4B27F53-F310-28D1-4AE5-E05E57E2AC4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18" name="Shape 34">
            <a:extLst>
              <a:ext uri="{FF2B5EF4-FFF2-40B4-BE49-F238E27FC236}">
                <a16:creationId xmlns:a16="http://schemas.microsoft.com/office/drawing/2014/main" id="{05488C4E-735B-25E7-0E60-7E232C271E2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19" name="Shape 35">
            <a:extLst>
              <a:ext uri="{FF2B5EF4-FFF2-40B4-BE49-F238E27FC236}">
                <a16:creationId xmlns:a16="http://schemas.microsoft.com/office/drawing/2014/main" id="{1D8BB838-4D44-C1EA-DE03-5F37D9DD092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20" name="Shape 36">
            <a:extLst>
              <a:ext uri="{FF2B5EF4-FFF2-40B4-BE49-F238E27FC236}">
                <a16:creationId xmlns:a16="http://schemas.microsoft.com/office/drawing/2014/main" id="{796F81B3-713A-CB49-848C-AEB0D300D08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21" name="Shape 37">
            <a:extLst>
              <a:ext uri="{FF2B5EF4-FFF2-40B4-BE49-F238E27FC236}">
                <a16:creationId xmlns:a16="http://schemas.microsoft.com/office/drawing/2014/main" id="{E90804A4-D884-D68D-1738-ED3C3C7B910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22" name="Shape 38">
            <a:extLst>
              <a:ext uri="{FF2B5EF4-FFF2-40B4-BE49-F238E27FC236}">
                <a16:creationId xmlns:a16="http://schemas.microsoft.com/office/drawing/2014/main" id="{5DCD9FEE-3DA2-4E90-478E-EBEF3F84174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23" name="Shape 39">
            <a:extLst>
              <a:ext uri="{FF2B5EF4-FFF2-40B4-BE49-F238E27FC236}">
                <a16:creationId xmlns:a16="http://schemas.microsoft.com/office/drawing/2014/main" id="{AD1A7FFE-EB3E-E014-FEC7-F84FEC6CC29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24" name="Shape 40">
            <a:extLst>
              <a:ext uri="{FF2B5EF4-FFF2-40B4-BE49-F238E27FC236}">
                <a16:creationId xmlns:a16="http://schemas.microsoft.com/office/drawing/2014/main" id="{90918F8E-E4E0-D7E5-C6C1-E2CE79878F2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425" name="Shape 41">
            <a:extLst>
              <a:ext uri="{FF2B5EF4-FFF2-40B4-BE49-F238E27FC236}">
                <a16:creationId xmlns:a16="http://schemas.microsoft.com/office/drawing/2014/main" id="{F8619680-3EB4-F8CA-45E3-4B5214BA740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426" name="Shape 42">
            <a:extLst>
              <a:ext uri="{FF2B5EF4-FFF2-40B4-BE49-F238E27FC236}">
                <a16:creationId xmlns:a16="http://schemas.microsoft.com/office/drawing/2014/main" id="{75CE3544-53BD-ADE4-0094-44BE1000F8E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02" name="Shape 43">
            <a:extLst>
              <a:ext uri="{FF2B5EF4-FFF2-40B4-BE49-F238E27FC236}">
                <a16:creationId xmlns:a16="http://schemas.microsoft.com/office/drawing/2014/main" id="{AD19CDFA-1F14-A724-6846-057CE419988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03" name="Shape 44">
            <a:extLst>
              <a:ext uri="{FF2B5EF4-FFF2-40B4-BE49-F238E27FC236}">
                <a16:creationId xmlns:a16="http://schemas.microsoft.com/office/drawing/2014/main" id="{6BC436C0-353B-3D1B-E365-2D7F475DE5A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04" name="Shape 45">
            <a:extLst>
              <a:ext uri="{FF2B5EF4-FFF2-40B4-BE49-F238E27FC236}">
                <a16:creationId xmlns:a16="http://schemas.microsoft.com/office/drawing/2014/main" id="{0FBC7596-EBFB-1A2D-69E4-7BA95895D30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05" name="Shape 46">
            <a:extLst>
              <a:ext uri="{FF2B5EF4-FFF2-40B4-BE49-F238E27FC236}">
                <a16:creationId xmlns:a16="http://schemas.microsoft.com/office/drawing/2014/main" id="{07A3B2A5-C8D5-CBE1-C8E6-297DEB8B756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505</xdr:row>
      <xdr:rowOff>3409</xdr:rowOff>
    </xdr:from>
    <xdr:ext cx="33655" cy="33655"/>
    <xdr:grpSp>
      <xdr:nvGrpSpPr>
        <xdr:cNvPr id="1506" name="Group 47">
          <a:extLst>
            <a:ext uri="{FF2B5EF4-FFF2-40B4-BE49-F238E27FC236}">
              <a16:creationId xmlns:a16="http://schemas.microsoft.com/office/drawing/2014/main" id="{50BC9D00-43A6-44AA-A5AC-C74AB9260AEE}"/>
            </a:ext>
          </a:extLst>
        </xdr:cNvPr>
        <xdr:cNvGrpSpPr/>
      </xdr:nvGrpSpPr>
      <xdr:grpSpPr>
        <a:xfrm>
          <a:off x="4603072" y="94916130"/>
          <a:ext cx="33655" cy="33655"/>
          <a:chOff x="0" y="0"/>
          <a:chExt cx="33655" cy="33655"/>
        </a:xfrm>
      </xdr:grpSpPr>
      <xdr:sp macro="" textlink="">
        <xdr:nvSpPr>
          <xdr:cNvPr id="1507" name="Shape 48">
            <a:extLst>
              <a:ext uri="{FF2B5EF4-FFF2-40B4-BE49-F238E27FC236}">
                <a16:creationId xmlns:a16="http://schemas.microsoft.com/office/drawing/2014/main" id="{5991F2A3-5CEB-5AEF-F5D4-AF88213DC4C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08" name="Shape 49">
            <a:extLst>
              <a:ext uri="{FF2B5EF4-FFF2-40B4-BE49-F238E27FC236}">
                <a16:creationId xmlns:a16="http://schemas.microsoft.com/office/drawing/2014/main" id="{9B59B560-0C47-D581-B3F2-957E9673310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09" name="Shape 50">
            <a:extLst>
              <a:ext uri="{FF2B5EF4-FFF2-40B4-BE49-F238E27FC236}">
                <a16:creationId xmlns:a16="http://schemas.microsoft.com/office/drawing/2014/main" id="{6E9527C6-BD3A-E8E7-D14B-D77D4A45D3E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10" name="Shape 51">
            <a:extLst>
              <a:ext uri="{FF2B5EF4-FFF2-40B4-BE49-F238E27FC236}">
                <a16:creationId xmlns:a16="http://schemas.microsoft.com/office/drawing/2014/main" id="{B17DBC9C-E1EE-EA2C-CA0D-5F382F2C7DF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11" name="Shape 52">
            <a:extLst>
              <a:ext uri="{FF2B5EF4-FFF2-40B4-BE49-F238E27FC236}">
                <a16:creationId xmlns:a16="http://schemas.microsoft.com/office/drawing/2014/main" id="{8209F4EC-4DA5-8979-9402-B3535C94435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12" name="Shape 53">
            <a:extLst>
              <a:ext uri="{FF2B5EF4-FFF2-40B4-BE49-F238E27FC236}">
                <a16:creationId xmlns:a16="http://schemas.microsoft.com/office/drawing/2014/main" id="{37717D11-A005-0889-8E9E-E9F44F8CF8A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13" name="Shape 54">
            <a:extLst>
              <a:ext uri="{FF2B5EF4-FFF2-40B4-BE49-F238E27FC236}">
                <a16:creationId xmlns:a16="http://schemas.microsoft.com/office/drawing/2014/main" id="{515830F5-8E97-06F0-F92C-F12CE0FC216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14" name="Shape 55">
            <a:extLst>
              <a:ext uri="{FF2B5EF4-FFF2-40B4-BE49-F238E27FC236}">
                <a16:creationId xmlns:a16="http://schemas.microsoft.com/office/drawing/2014/main" id="{35AA753A-8427-A15E-6E2D-D06DB8293E5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15" name="Shape 56">
            <a:extLst>
              <a:ext uri="{FF2B5EF4-FFF2-40B4-BE49-F238E27FC236}">
                <a16:creationId xmlns:a16="http://schemas.microsoft.com/office/drawing/2014/main" id="{E950E1D1-3474-299B-39BD-41CD090046B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16" name="Shape 57">
            <a:extLst>
              <a:ext uri="{FF2B5EF4-FFF2-40B4-BE49-F238E27FC236}">
                <a16:creationId xmlns:a16="http://schemas.microsoft.com/office/drawing/2014/main" id="{03BF1617-E11A-A0E5-E744-BA24D3DC402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17" name="Shape 58">
            <a:extLst>
              <a:ext uri="{FF2B5EF4-FFF2-40B4-BE49-F238E27FC236}">
                <a16:creationId xmlns:a16="http://schemas.microsoft.com/office/drawing/2014/main" id="{7AEA54BE-8FE0-6F5D-EF75-6FCC18397A0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18" name="Shape 59">
            <a:extLst>
              <a:ext uri="{FF2B5EF4-FFF2-40B4-BE49-F238E27FC236}">
                <a16:creationId xmlns:a16="http://schemas.microsoft.com/office/drawing/2014/main" id="{11165C1A-A98C-7583-5ECD-41FA452241B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19" name="Shape 60">
            <a:extLst>
              <a:ext uri="{FF2B5EF4-FFF2-40B4-BE49-F238E27FC236}">
                <a16:creationId xmlns:a16="http://schemas.microsoft.com/office/drawing/2014/main" id="{4D84E510-9F27-0030-CB3C-4546D1DC00A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520" name="Shape 61">
            <a:extLst>
              <a:ext uri="{FF2B5EF4-FFF2-40B4-BE49-F238E27FC236}">
                <a16:creationId xmlns:a16="http://schemas.microsoft.com/office/drawing/2014/main" id="{28C8F7F5-543C-1D22-1A66-DB8E2735ED4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505</xdr:row>
      <xdr:rowOff>3962</xdr:rowOff>
    </xdr:from>
    <xdr:ext cx="33655" cy="33655"/>
    <xdr:grpSp>
      <xdr:nvGrpSpPr>
        <xdr:cNvPr id="1521" name="Group 62">
          <a:extLst>
            <a:ext uri="{FF2B5EF4-FFF2-40B4-BE49-F238E27FC236}">
              <a16:creationId xmlns:a16="http://schemas.microsoft.com/office/drawing/2014/main" id="{21E73EA3-A9A6-43BD-AB90-3194B2AED65B}"/>
            </a:ext>
          </a:extLst>
        </xdr:cNvPr>
        <xdr:cNvGrpSpPr/>
      </xdr:nvGrpSpPr>
      <xdr:grpSpPr>
        <a:xfrm>
          <a:off x="4603072" y="94916683"/>
          <a:ext cx="33655" cy="33655"/>
          <a:chOff x="0" y="0"/>
          <a:chExt cx="33655" cy="33655"/>
        </a:xfrm>
      </xdr:grpSpPr>
      <xdr:sp macro="" textlink="">
        <xdr:nvSpPr>
          <xdr:cNvPr id="1522" name="Shape 63">
            <a:extLst>
              <a:ext uri="{FF2B5EF4-FFF2-40B4-BE49-F238E27FC236}">
                <a16:creationId xmlns:a16="http://schemas.microsoft.com/office/drawing/2014/main" id="{FF189309-4087-DF3A-3873-B3D718C5301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23" name="Shape 64">
            <a:extLst>
              <a:ext uri="{FF2B5EF4-FFF2-40B4-BE49-F238E27FC236}">
                <a16:creationId xmlns:a16="http://schemas.microsoft.com/office/drawing/2014/main" id="{692F0738-86A7-C3BE-AE72-A24FAC6A98F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24" name="Shape 65">
            <a:extLst>
              <a:ext uri="{FF2B5EF4-FFF2-40B4-BE49-F238E27FC236}">
                <a16:creationId xmlns:a16="http://schemas.microsoft.com/office/drawing/2014/main" id="{668137EF-234F-EAE0-13BB-792CF4D668E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25" name="Shape 66">
            <a:extLst>
              <a:ext uri="{FF2B5EF4-FFF2-40B4-BE49-F238E27FC236}">
                <a16:creationId xmlns:a16="http://schemas.microsoft.com/office/drawing/2014/main" id="{87DD6723-FA4D-B825-47BF-D83ADCD374D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26" name="Shape 67">
            <a:extLst>
              <a:ext uri="{FF2B5EF4-FFF2-40B4-BE49-F238E27FC236}">
                <a16:creationId xmlns:a16="http://schemas.microsoft.com/office/drawing/2014/main" id="{453C3AB8-9D57-36E7-E7FF-5CF8C0409E3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27" name="Shape 68">
            <a:extLst>
              <a:ext uri="{FF2B5EF4-FFF2-40B4-BE49-F238E27FC236}">
                <a16:creationId xmlns:a16="http://schemas.microsoft.com/office/drawing/2014/main" id="{A1590BED-54DF-299B-8FE8-234C823C94B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28" name="Shape 69">
            <a:extLst>
              <a:ext uri="{FF2B5EF4-FFF2-40B4-BE49-F238E27FC236}">
                <a16:creationId xmlns:a16="http://schemas.microsoft.com/office/drawing/2014/main" id="{5B9F3B22-7C62-161F-4E44-AF0104EF3CC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29" name="Shape 70">
            <a:extLst>
              <a:ext uri="{FF2B5EF4-FFF2-40B4-BE49-F238E27FC236}">
                <a16:creationId xmlns:a16="http://schemas.microsoft.com/office/drawing/2014/main" id="{00284B5B-291B-F541-69F4-D4B56A7492F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30" name="Shape 71">
            <a:extLst>
              <a:ext uri="{FF2B5EF4-FFF2-40B4-BE49-F238E27FC236}">
                <a16:creationId xmlns:a16="http://schemas.microsoft.com/office/drawing/2014/main" id="{917DD4AB-76C8-2E94-67FD-68E17D3C8A1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31" name="Shape 72">
            <a:extLst>
              <a:ext uri="{FF2B5EF4-FFF2-40B4-BE49-F238E27FC236}">
                <a16:creationId xmlns:a16="http://schemas.microsoft.com/office/drawing/2014/main" id="{2E57B1E2-8A16-1054-1028-64B0440F7B8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32" name="Shape 73">
            <a:extLst>
              <a:ext uri="{FF2B5EF4-FFF2-40B4-BE49-F238E27FC236}">
                <a16:creationId xmlns:a16="http://schemas.microsoft.com/office/drawing/2014/main" id="{3DE5807D-E1B9-3DF0-2E3B-5B4A5DCB2A4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533" name="Shape 74">
            <a:extLst>
              <a:ext uri="{FF2B5EF4-FFF2-40B4-BE49-F238E27FC236}">
                <a16:creationId xmlns:a16="http://schemas.microsoft.com/office/drawing/2014/main" id="{3922726A-3AB1-08B1-B468-2D2B00159DE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34" name="Shape 75">
            <a:extLst>
              <a:ext uri="{FF2B5EF4-FFF2-40B4-BE49-F238E27FC236}">
                <a16:creationId xmlns:a16="http://schemas.microsoft.com/office/drawing/2014/main" id="{BC54F6DD-9B41-DC4F-E68E-3E82001F0F1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535" name="Shape 76">
            <a:extLst>
              <a:ext uri="{FF2B5EF4-FFF2-40B4-BE49-F238E27FC236}">
                <a16:creationId xmlns:a16="http://schemas.microsoft.com/office/drawing/2014/main" id="{CE36398E-83E1-8FC5-E414-9BF9960058E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522</xdr:row>
      <xdr:rowOff>2978</xdr:rowOff>
    </xdr:from>
    <xdr:ext cx="33655" cy="33655"/>
    <xdr:grpSp>
      <xdr:nvGrpSpPr>
        <xdr:cNvPr id="1600" name="Group 2">
          <a:extLst>
            <a:ext uri="{FF2B5EF4-FFF2-40B4-BE49-F238E27FC236}">
              <a16:creationId xmlns:a16="http://schemas.microsoft.com/office/drawing/2014/main" id="{074D70DC-4143-47D9-A6FB-66929248765D}"/>
            </a:ext>
          </a:extLst>
        </xdr:cNvPr>
        <xdr:cNvGrpSpPr/>
      </xdr:nvGrpSpPr>
      <xdr:grpSpPr>
        <a:xfrm>
          <a:off x="4603072" y="97882503"/>
          <a:ext cx="33655" cy="33655"/>
          <a:chOff x="0" y="0"/>
          <a:chExt cx="33655" cy="33655"/>
        </a:xfrm>
      </xdr:grpSpPr>
      <xdr:sp macro="" textlink="">
        <xdr:nvSpPr>
          <xdr:cNvPr id="1601" name="Shape 3">
            <a:extLst>
              <a:ext uri="{FF2B5EF4-FFF2-40B4-BE49-F238E27FC236}">
                <a16:creationId xmlns:a16="http://schemas.microsoft.com/office/drawing/2014/main" id="{BF9CC0E6-4D70-EA33-2035-0BB3B3C3121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02" name="Shape 4">
            <a:extLst>
              <a:ext uri="{FF2B5EF4-FFF2-40B4-BE49-F238E27FC236}">
                <a16:creationId xmlns:a16="http://schemas.microsoft.com/office/drawing/2014/main" id="{FE2A3D04-526C-EAC2-B1FF-ACA9260C818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03" name="Shape 5">
            <a:extLst>
              <a:ext uri="{FF2B5EF4-FFF2-40B4-BE49-F238E27FC236}">
                <a16:creationId xmlns:a16="http://schemas.microsoft.com/office/drawing/2014/main" id="{1DC2B44C-E0C1-CB8D-892E-50F53BBC494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04" name="Shape 6">
            <a:extLst>
              <a:ext uri="{FF2B5EF4-FFF2-40B4-BE49-F238E27FC236}">
                <a16:creationId xmlns:a16="http://schemas.microsoft.com/office/drawing/2014/main" id="{41EF3BC2-54F1-22F3-73FE-4B76FA18107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05" name="Shape 7">
            <a:extLst>
              <a:ext uri="{FF2B5EF4-FFF2-40B4-BE49-F238E27FC236}">
                <a16:creationId xmlns:a16="http://schemas.microsoft.com/office/drawing/2014/main" id="{C29619F3-DED9-107B-1E2A-130B672E9EC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06" name="Shape 8">
            <a:extLst>
              <a:ext uri="{FF2B5EF4-FFF2-40B4-BE49-F238E27FC236}">
                <a16:creationId xmlns:a16="http://schemas.microsoft.com/office/drawing/2014/main" id="{EB3C4C10-529C-F8D4-A129-175578DF924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07" name="Shape 9">
            <a:extLst>
              <a:ext uri="{FF2B5EF4-FFF2-40B4-BE49-F238E27FC236}">
                <a16:creationId xmlns:a16="http://schemas.microsoft.com/office/drawing/2014/main" id="{90DF2AF7-032B-4F5B-E473-5815564B765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08" name="Shape 10">
            <a:extLst>
              <a:ext uri="{FF2B5EF4-FFF2-40B4-BE49-F238E27FC236}">
                <a16:creationId xmlns:a16="http://schemas.microsoft.com/office/drawing/2014/main" id="{F799F86A-DB4F-8FB7-382F-D1F07A6D282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09" name="Shape 11">
            <a:extLst>
              <a:ext uri="{FF2B5EF4-FFF2-40B4-BE49-F238E27FC236}">
                <a16:creationId xmlns:a16="http://schemas.microsoft.com/office/drawing/2014/main" id="{427FED48-FC53-2FB9-30EF-8F7AE62CF34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10" name="Shape 12">
            <a:extLst>
              <a:ext uri="{FF2B5EF4-FFF2-40B4-BE49-F238E27FC236}">
                <a16:creationId xmlns:a16="http://schemas.microsoft.com/office/drawing/2014/main" id="{E8A15C05-39D8-905E-318F-C47FBF66BDE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11" name="Shape 13">
            <a:extLst>
              <a:ext uri="{FF2B5EF4-FFF2-40B4-BE49-F238E27FC236}">
                <a16:creationId xmlns:a16="http://schemas.microsoft.com/office/drawing/2014/main" id="{D788CB87-D71C-BB9E-A247-B39B2A8D6BC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12" name="Shape 14">
            <a:extLst>
              <a:ext uri="{FF2B5EF4-FFF2-40B4-BE49-F238E27FC236}">
                <a16:creationId xmlns:a16="http://schemas.microsoft.com/office/drawing/2014/main" id="{D9BF5254-6690-5D48-EEAF-18948FC0CAA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13" name="Shape 15">
            <a:extLst>
              <a:ext uri="{FF2B5EF4-FFF2-40B4-BE49-F238E27FC236}">
                <a16:creationId xmlns:a16="http://schemas.microsoft.com/office/drawing/2014/main" id="{D22051D3-FF5B-48ED-F04B-C8AE60E0987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14" name="Shape 16">
            <a:extLst>
              <a:ext uri="{FF2B5EF4-FFF2-40B4-BE49-F238E27FC236}">
                <a16:creationId xmlns:a16="http://schemas.microsoft.com/office/drawing/2014/main" id="{7820D46C-5B06-3D78-8A8E-763E9A222C3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522</xdr:row>
      <xdr:rowOff>3246</xdr:rowOff>
    </xdr:from>
    <xdr:ext cx="33655" cy="33655"/>
    <xdr:grpSp>
      <xdr:nvGrpSpPr>
        <xdr:cNvPr id="1615" name="Group 17">
          <a:extLst>
            <a:ext uri="{FF2B5EF4-FFF2-40B4-BE49-F238E27FC236}">
              <a16:creationId xmlns:a16="http://schemas.microsoft.com/office/drawing/2014/main" id="{91969250-4CC2-424B-A4FF-A6F3DAC7DA25}"/>
            </a:ext>
          </a:extLst>
        </xdr:cNvPr>
        <xdr:cNvGrpSpPr/>
      </xdr:nvGrpSpPr>
      <xdr:grpSpPr>
        <a:xfrm>
          <a:off x="4603072" y="97882771"/>
          <a:ext cx="33655" cy="33655"/>
          <a:chOff x="0" y="0"/>
          <a:chExt cx="33655" cy="33655"/>
        </a:xfrm>
      </xdr:grpSpPr>
      <xdr:sp macro="" textlink="">
        <xdr:nvSpPr>
          <xdr:cNvPr id="1616" name="Shape 18">
            <a:extLst>
              <a:ext uri="{FF2B5EF4-FFF2-40B4-BE49-F238E27FC236}">
                <a16:creationId xmlns:a16="http://schemas.microsoft.com/office/drawing/2014/main" id="{BD6EF6F6-509A-735B-215B-DAE617F25C8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17" name="Shape 19">
            <a:extLst>
              <a:ext uri="{FF2B5EF4-FFF2-40B4-BE49-F238E27FC236}">
                <a16:creationId xmlns:a16="http://schemas.microsoft.com/office/drawing/2014/main" id="{9398A5B9-1096-D537-B8AD-9F41A827A53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18" name="Shape 20">
            <a:extLst>
              <a:ext uri="{FF2B5EF4-FFF2-40B4-BE49-F238E27FC236}">
                <a16:creationId xmlns:a16="http://schemas.microsoft.com/office/drawing/2014/main" id="{B3B844C6-0DD9-EFB3-7C3E-F0E7247FA23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19" name="Shape 21">
            <a:extLst>
              <a:ext uri="{FF2B5EF4-FFF2-40B4-BE49-F238E27FC236}">
                <a16:creationId xmlns:a16="http://schemas.microsoft.com/office/drawing/2014/main" id="{B1D814C7-36EB-D3BF-7231-F8B459108A0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20" name="Shape 22">
            <a:extLst>
              <a:ext uri="{FF2B5EF4-FFF2-40B4-BE49-F238E27FC236}">
                <a16:creationId xmlns:a16="http://schemas.microsoft.com/office/drawing/2014/main" id="{0555C465-5F09-5D9F-F755-1FBEA9D3845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21" name="Shape 23">
            <a:extLst>
              <a:ext uri="{FF2B5EF4-FFF2-40B4-BE49-F238E27FC236}">
                <a16:creationId xmlns:a16="http://schemas.microsoft.com/office/drawing/2014/main" id="{1139E30D-7A32-5120-EF85-6BC8E505E98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22" name="Shape 24">
            <a:extLst>
              <a:ext uri="{FF2B5EF4-FFF2-40B4-BE49-F238E27FC236}">
                <a16:creationId xmlns:a16="http://schemas.microsoft.com/office/drawing/2014/main" id="{FE1B6FC0-DF57-2172-8C4E-C7127DE5077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23" name="Shape 25">
            <a:extLst>
              <a:ext uri="{FF2B5EF4-FFF2-40B4-BE49-F238E27FC236}">
                <a16:creationId xmlns:a16="http://schemas.microsoft.com/office/drawing/2014/main" id="{7ACF2A03-A3F3-92A6-591C-57B6E5054E1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24" name="Shape 26">
            <a:extLst>
              <a:ext uri="{FF2B5EF4-FFF2-40B4-BE49-F238E27FC236}">
                <a16:creationId xmlns:a16="http://schemas.microsoft.com/office/drawing/2014/main" id="{5031CD2F-30D9-30CF-9401-1A73081FD96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25" name="Shape 27">
            <a:extLst>
              <a:ext uri="{FF2B5EF4-FFF2-40B4-BE49-F238E27FC236}">
                <a16:creationId xmlns:a16="http://schemas.microsoft.com/office/drawing/2014/main" id="{E1D025D8-D0FF-627A-2531-4C85A48F77B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26" name="Shape 28">
            <a:extLst>
              <a:ext uri="{FF2B5EF4-FFF2-40B4-BE49-F238E27FC236}">
                <a16:creationId xmlns:a16="http://schemas.microsoft.com/office/drawing/2014/main" id="{F4F9E0F2-F814-FC21-66F6-5AE9EEE3586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27" name="Shape 29">
            <a:extLst>
              <a:ext uri="{FF2B5EF4-FFF2-40B4-BE49-F238E27FC236}">
                <a16:creationId xmlns:a16="http://schemas.microsoft.com/office/drawing/2014/main" id="{3EC1BF64-5EB4-40B6-5E4C-AAB9B74E802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28" name="Shape 30">
            <a:extLst>
              <a:ext uri="{FF2B5EF4-FFF2-40B4-BE49-F238E27FC236}">
                <a16:creationId xmlns:a16="http://schemas.microsoft.com/office/drawing/2014/main" id="{0DB46FBC-7C70-E266-477A-DFC654A56CF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29" name="Shape 31">
            <a:extLst>
              <a:ext uri="{FF2B5EF4-FFF2-40B4-BE49-F238E27FC236}">
                <a16:creationId xmlns:a16="http://schemas.microsoft.com/office/drawing/2014/main" id="{98B4AE00-E3E5-9A9C-0D27-4C679CEB044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522</xdr:row>
      <xdr:rowOff>3703</xdr:rowOff>
    </xdr:from>
    <xdr:ext cx="33655" cy="33655"/>
    <xdr:grpSp>
      <xdr:nvGrpSpPr>
        <xdr:cNvPr id="1630" name="Group 32">
          <a:extLst>
            <a:ext uri="{FF2B5EF4-FFF2-40B4-BE49-F238E27FC236}">
              <a16:creationId xmlns:a16="http://schemas.microsoft.com/office/drawing/2014/main" id="{D7C9FBBB-847F-4D11-8FC9-C47D1DA1D51D}"/>
            </a:ext>
          </a:extLst>
        </xdr:cNvPr>
        <xdr:cNvGrpSpPr/>
      </xdr:nvGrpSpPr>
      <xdr:grpSpPr>
        <a:xfrm>
          <a:off x="4603072" y="97883228"/>
          <a:ext cx="33655" cy="33655"/>
          <a:chOff x="0" y="0"/>
          <a:chExt cx="33655" cy="33655"/>
        </a:xfrm>
      </xdr:grpSpPr>
      <xdr:sp macro="" textlink="">
        <xdr:nvSpPr>
          <xdr:cNvPr id="1631" name="Shape 33">
            <a:extLst>
              <a:ext uri="{FF2B5EF4-FFF2-40B4-BE49-F238E27FC236}">
                <a16:creationId xmlns:a16="http://schemas.microsoft.com/office/drawing/2014/main" id="{8A53C9BF-D843-3F42-1C93-8D46472A3E2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32" name="Shape 34">
            <a:extLst>
              <a:ext uri="{FF2B5EF4-FFF2-40B4-BE49-F238E27FC236}">
                <a16:creationId xmlns:a16="http://schemas.microsoft.com/office/drawing/2014/main" id="{49802849-952E-BD1F-1620-C65B7CDEDBB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33" name="Shape 35">
            <a:extLst>
              <a:ext uri="{FF2B5EF4-FFF2-40B4-BE49-F238E27FC236}">
                <a16:creationId xmlns:a16="http://schemas.microsoft.com/office/drawing/2014/main" id="{A0BBE21A-7737-8C9B-866D-5BAD6660F34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34" name="Shape 36">
            <a:extLst>
              <a:ext uri="{FF2B5EF4-FFF2-40B4-BE49-F238E27FC236}">
                <a16:creationId xmlns:a16="http://schemas.microsoft.com/office/drawing/2014/main" id="{81D9886B-0F5F-6F6A-5B96-9E30CF2FC41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35" name="Shape 37">
            <a:extLst>
              <a:ext uri="{FF2B5EF4-FFF2-40B4-BE49-F238E27FC236}">
                <a16:creationId xmlns:a16="http://schemas.microsoft.com/office/drawing/2014/main" id="{4A8E1BB6-C340-9935-D508-0FB61E33BD6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36" name="Shape 38">
            <a:extLst>
              <a:ext uri="{FF2B5EF4-FFF2-40B4-BE49-F238E27FC236}">
                <a16:creationId xmlns:a16="http://schemas.microsoft.com/office/drawing/2014/main" id="{589617FB-0F95-95E9-44F9-43D8DF5B364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37" name="Shape 39">
            <a:extLst>
              <a:ext uri="{FF2B5EF4-FFF2-40B4-BE49-F238E27FC236}">
                <a16:creationId xmlns:a16="http://schemas.microsoft.com/office/drawing/2014/main" id="{28F85CF5-238D-FCEE-A9E4-F91A4398C4D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38" name="Shape 40">
            <a:extLst>
              <a:ext uri="{FF2B5EF4-FFF2-40B4-BE49-F238E27FC236}">
                <a16:creationId xmlns:a16="http://schemas.microsoft.com/office/drawing/2014/main" id="{51E62C14-E025-30D3-389F-4A7B9D9E7F9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39" name="Shape 41">
            <a:extLst>
              <a:ext uri="{FF2B5EF4-FFF2-40B4-BE49-F238E27FC236}">
                <a16:creationId xmlns:a16="http://schemas.microsoft.com/office/drawing/2014/main" id="{E0849422-6430-5B9B-E29D-96110996128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40" name="Shape 42">
            <a:extLst>
              <a:ext uri="{FF2B5EF4-FFF2-40B4-BE49-F238E27FC236}">
                <a16:creationId xmlns:a16="http://schemas.microsoft.com/office/drawing/2014/main" id="{88E85BDF-DBA6-9F35-AC5D-A8198BCBC28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41" name="Shape 43">
            <a:extLst>
              <a:ext uri="{FF2B5EF4-FFF2-40B4-BE49-F238E27FC236}">
                <a16:creationId xmlns:a16="http://schemas.microsoft.com/office/drawing/2014/main" id="{E53D42D9-6DDA-288C-25EA-1D1CF314E65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42" name="Shape 44">
            <a:extLst>
              <a:ext uri="{FF2B5EF4-FFF2-40B4-BE49-F238E27FC236}">
                <a16:creationId xmlns:a16="http://schemas.microsoft.com/office/drawing/2014/main" id="{6FF55F45-D70E-C767-6ABC-86DB80569CC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43" name="Shape 45">
            <a:extLst>
              <a:ext uri="{FF2B5EF4-FFF2-40B4-BE49-F238E27FC236}">
                <a16:creationId xmlns:a16="http://schemas.microsoft.com/office/drawing/2014/main" id="{980360F2-BAAE-FAC6-83C2-5467CE71D16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44" name="Shape 46">
            <a:extLst>
              <a:ext uri="{FF2B5EF4-FFF2-40B4-BE49-F238E27FC236}">
                <a16:creationId xmlns:a16="http://schemas.microsoft.com/office/drawing/2014/main" id="{BB8B8009-314B-EF4F-FDEC-0767381A635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522</xdr:row>
      <xdr:rowOff>3409</xdr:rowOff>
    </xdr:from>
    <xdr:ext cx="33655" cy="33655"/>
    <xdr:grpSp>
      <xdr:nvGrpSpPr>
        <xdr:cNvPr id="1645" name="Group 47">
          <a:extLst>
            <a:ext uri="{FF2B5EF4-FFF2-40B4-BE49-F238E27FC236}">
              <a16:creationId xmlns:a16="http://schemas.microsoft.com/office/drawing/2014/main" id="{488EEA49-3697-4579-8B2F-E44F9796EB2D}"/>
            </a:ext>
          </a:extLst>
        </xdr:cNvPr>
        <xdr:cNvGrpSpPr/>
      </xdr:nvGrpSpPr>
      <xdr:grpSpPr>
        <a:xfrm>
          <a:off x="4603072" y="97882934"/>
          <a:ext cx="33655" cy="33655"/>
          <a:chOff x="0" y="0"/>
          <a:chExt cx="33655" cy="33655"/>
        </a:xfrm>
      </xdr:grpSpPr>
      <xdr:sp macro="" textlink="">
        <xdr:nvSpPr>
          <xdr:cNvPr id="1646" name="Shape 48">
            <a:extLst>
              <a:ext uri="{FF2B5EF4-FFF2-40B4-BE49-F238E27FC236}">
                <a16:creationId xmlns:a16="http://schemas.microsoft.com/office/drawing/2014/main" id="{081E34FE-6694-83F6-8A58-9F31889C47F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47" name="Shape 49">
            <a:extLst>
              <a:ext uri="{FF2B5EF4-FFF2-40B4-BE49-F238E27FC236}">
                <a16:creationId xmlns:a16="http://schemas.microsoft.com/office/drawing/2014/main" id="{858141C7-1FD8-67FE-EF4D-61ACC480709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48" name="Shape 50">
            <a:extLst>
              <a:ext uri="{FF2B5EF4-FFF2-40B4-BE49-F238E27FC236}">
                <a16:creationId xmlns:a16="http://schemas.microsoft.com/office/drawing/2014/main" id="{D6E8D070-EC31-4D92-D108-70D606A32F8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49" name="Shape 51">
            <a:extLst>
              <a:ext uri="{FF2B5EF4-FFF2-40B4-BE49-F238E27FC236}">
                <a16:creationId xmlns:a16="http://schemas.microsoft.com/office/drawing/2014/main" id="{64A1A470-29DD-7BD0-79F7-D59D84E373C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650" name="Shape 52">
            <a:extLst>
              <a:ext uri="{FF2B5EF4-FFF2-40B4-BE49-F238E27FC236}">
                <a16:creationId xmlns:a16="http://schemas.microsoft.com/office/drawing/2014/main" id="{2FB99DAF-2444-E7BF-822C-7ACCBFECBD0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651" name="Shape 53">
            <a:extLst>
              <a:ext uri="{FF2B5EF4-FFF2-40B4-BE49-F238E27FC236}">
                <a16:creationId xmlns:a16="http://schemas.microsoft.com/office/drawing/2014/main" id="{633A2F54-3E23-7868-B772-D32D5412CDC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727" name="Shape 54">
            <a:extLst>
              <a:ext uri="{FF2B5EF4-FFF2-40B4-BE49-F238E27FC236}">
                <a16:creationId xmlns:a16="http://schemas.microsoft.com/office/drawing/2014/main" id="{B58E6360-FF02-1276-CA4B-492458B1BB3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176" name="Shape 55">
            <a:extLst>
              <a:ext uri="{FF2B5EF4-FFF2-40B4-BE49-F238E27FC236}">
                <a16:creationId xmlns:a16="http://schemas.microsoft.com/office/drawing/2014/main" id="{E69DF092-C7DA-E945-3CCA-46136E4F764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77" name="Shape 56">
            <a:extLst>
              <a:ext uri="{FF2B5EF4-FFF2-40B4-BE49-F238E27FC236}">
                <a16:creationId xmlns:a16="http://schemas.microsoft.com/office/drawing/2014/main" id="{78083257-24C7-1702-DF39-5DA14FFB252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78" name="Shape 57">
            <a:extLst>
              <a:ext uri="{FF2B5EF4-FFF2-40B4-BE49-F238E27FC236}">
                <a16:creationId xmlns:a16="http://schemas.microsoft.com/office/drawing/2014/main" id="{F9632239-2F1A-67D2-6146-A9AD3369727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79" name="Shape 58">
            <a:extLst>
              <a:ext uri="{FF2B5EF4-FFF2-40B4-BE49-F238E27FC236}">
                <a16:creationId xmlns:a16="http://schemas.microsoft.com/office/drawing/2014/main" id="{BE1F8F04-E826-F442-6518-50C6E8BA512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80" name="Shape 59">
            <a:extLst>
              <a:ext uri="{FF2B5EF4-FFF2-40B4-BE49-F238E27FC236}">
                <a16:creationId xmlns:a16="http://schemas.microsoft.com/office/drawing/2014/main" id="{048D221F-F2B5-FC3E-9267-ACFD3046D2A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81" name="Shape 60">
            <a:extLst>
              <a:ext uri="{FF2B5EF4-FFF2-40B4-BE49-F238E27FC236}">
                <a16:creationId xmlns:a16="http://schemas.microsoft.com/office/drawing/2014/main" id="{518ACEFE-E68F-7167-7660-C44B1BDC8A9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482" name="Shape 61">
            <a:extLst>
              <a:ext uri="{FF2B5EF4-FFF2-40B4-BE49-F238E27FC236}">
                <a16:creationId xmlns:a16="http://schemas.microsoft.com/office/drawing/2014/main" id="{7DC78282-ACEF-694A-CDBF-B0B5511C3FA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522</xdr:row>
      <xdr:rowOff>3962</xdr:rowOff>
    </xdr:from>
    <xdr:ext cx="33655" cy="33655"/>
    <xdr:grpSp>
      <xdr:nvGrpSpPr>
        <xdr:cNvPr id="2483" name="Group 62">
          <a:extLst>
            <a:ext uri="{FF2B5EF4-FFF2-40B4-BE49-F238E27FC236}">
              <a16:creationId xmlns:a16="http://schemas.microsoft.com/office/drawing/2014/main" id="{EA7B1EF1-E520-4C9B-9ED6-D122D3A06770}"/>
            </a:ext>
          </a:extLst>
        </xdr:cNvPr>
        <xdr:cNvGrpSpPr/>
      </xdr:nvGrpSpPr>
      <xdr:grpSpPr>
        <a:xfrm>
          <a:off x="4603072" y="97883487"/>
          <a:ext cx="33655" cy="33655"/>
          <a:chOff x="0" y="0"/>
          <a:chExt cx="33655" cy="33655"/>
        </a:xfrm>
      </xdr:grpSpPr>
      <xdr:sp macro="" textlink="">
        <xdr:nvSpPr>
          <xdr:cNvPr id="2484" name="Shape 63">
            <a:extLst>
              <a:ext uri="{FF2B5EF4-FFF2-40B4-BE49-F238E27FC236}">
                <a16:creationId xmlns:a16="http://schemas.microsoft.com/office/drawing/2014/main" id="{3B733936-7E80-9FD9-288E-8BFD268A5D6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85" name="Shape 64">
            <a:extLst>
              <a:ext uri="{FF2B5EF4-FFF2-40B4-BE49-F238E27FC236}">
                <a16:creationId xmlns:a16="http://schemas.microsoft.com/office/drawing/2014/main" id="{1D0A3ED3-D1D7-9440-4A6C-8934D1E3D96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86" name="Shape 65">
            <a:extLst>
              <a:ext uri="{FF2B5EF4-FFF2-40B4-BE49-F238E27FC236}">
                <a16:creationId xmlns:a16="http://schemas.microsoft.com/office/drawing/2014/main" id="{52760FBE-B261-974F-1210-20BA781AE37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96" name="Shape 66">
            <a:extLst>
              <a:ext uri="{FF2B5EF4-FFF2-40B4-BE49-F238E27FC236}">
                <a16:creationId xmlns:a16="http://schemas.microsoft.com/office/drawing/2014/main" id="{F3FE58CA-F439-CA21-4E83-83CD0CFFBFB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97" name="Shape 67">
            <a:extLst>
              <a:ext uri="{FF2B5EF4-FFF2-40B4-BE49-F238E27FC236}">
                <a16:creationId xmlns:a16="http://schemas.microsoft.com/office/drawing/2014/main" id="{6666A27C-21D3-5D1C-48C9-161C77A0AAB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498" name="Shape 68">
            <a:extLst>
              <a:ext uri="{FF2B5EF4-FFF2-40B4-BE49-F238E27FC236}">
                <a16:creationId xmlns:a16="http://schemas.microsoft.com/office/drawing/2014/main" id="{2290D34B-8A74-6683-FE65-F847036BD4F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499" name="Shape 69">
            <a:extLst>
              <a:ext uri="{FF2B5EF4-FFF2-40B4-BE49-F238E27FC236}">
                <a16:creationId xmlns:a16="http://schemas.microsoft.com/office/drawing/2014/main" id="{066E1344-483A-31E1-0B91-88A5C8CE152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00" name="Shape 70">
            <a:extLst>
              <a:ext uri="{FF2B5EF4-FFF2-40B4-BE49-F238E27FC236}">
                <a16:creationId xmlns:a16="http://schemas.microsoft.com/office/drawing/2014/main" id="{855D5758-A300-26DF-127B-ADF44C0F2DB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501" name="Shape 71">
            <a:extLst>
              <a:ext uri="{FF2B5EF4-FFF2-40B4-BE49-F238E27FC236}">
                <a16:creationId xmlns:a16="http://schemas.microsoft.com/office/drawing/2014/main" id="{B104F44B-46B4-6B27-3AF9-756F1451AFC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02" name="Shape 72">
            <a:extLst>
              <a:ext uri="{FF2B5EF4-FFF2-40B4-BE49-F238E27FC236}">
                <a16:creationId xmlns:a16="http://schemas.microsoft.com/office/drawing/2014/main" id="{EF927991-BACE-22BB-47A0-B6EE0417E7C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503" name="Shape 73">
            <a:extLst>
              <a:ext uri="{FF2B5EF4-FFF2-40B4-BE49-F238E27FC236}">
                <a16:creationId xmlns:a16="http://schemas.microsoft.com/office/drawing/2014/main" id="{1B86F160-48A9-3BEF-76F4-87476B20EE8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04" name="Shape 74">
            <a:extLst>
              <a:ext uri="{FF2B5EF4-FFF2-40B4-BE49-F238E27FC236}">
                <a16:creationId xmlns:a16="http://schemas.microsoft.com/office/drawing/2014/main" id="{F8319FA5-EBA9-E34D-CFE7-000D77B6DED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505" name="Shape 75">
            <a:extLst>
              <a:ext uri="{FF2B5EF4-FFF2-40B4-BE49-F238E27FC236}">
                <a16:creationId xmlns:a16="http://schemas.microsoft.com/office/drawing/2014/main" id="{3496DBBC-8D96-3D7F-1D54-C5FD5510433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2506" name="Shape 76">
            <a:extLst>
              <a:ext uri="{FF2B5EF4-FFF2-40B4-BE49-F238E27FC236}">
                <a16:creationId xmlns:a16="http://schemas.microsoft.com/office/drawing/2014/main" id="{0B8946D0-7778-E7E1-99E8-E8D81894F35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539</xdr:row>
      <xdr:rowOff>2978</xdr:rowOff>
    </xdr:from>
    <xdr:ext cx="33655" cy="33655"/>
    <xdr:grpSp>
      <xdr:nvGrpSpPr>
        <xdr:cNvPr id="2507" name="Group 2">
          <a:extLst>
            <a:ext uri="{FF2B5EF4-FFF2-40B4-BE49-F238E27FC236}">
              <a16:creationId xmlns:a16="http://schemas.microsoft.com/office/drawing/2014/main" id="{A93782CB-77FB-4492-AF6C-474E3E90BB2D}"/>
            </a:ext>
          </a:extLst>
        </xdr:cNvPr>
        <xdr:cNvGrpSpPr/>
      </xdr:nvGrpSpPr>
      <xdr:grpSpPr>
        <a:xfrm>
          <a:off x="4603072" y="100880535"/>
          <a:ext cx="33655" cy="33655"/>
          <a:chOff x="0" y="0"/>
          <a:chExt cx="33655" cy="33655"/>
        </a:xfrm>
      </xdr:grpSpPr>
      <xdr:sp macro="" textlink="">
        <xdr:nvSpPr>
          <xdr:cNvPr id="2508" name="Shape 3">
            <a:extLst>
              <a:ext uri="{FF2B5EF4-FFF2-40B4-BE49-F238E27FC236}">
                <a16:creationId xmlns:a16="http://schemas.microsoft.com/office/drawing/2014/main" id="{3EDCD787-A9F3-788D-00D7-93E7B885E2B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09" name="Shape 4">
            <a:extLst>
              <a:ext uri="{FF2B5EF4-FFF2-40B4-BE49-F238E27FC236}">
                <a16:creationId xmlns:a16="http://schemas.microsoft.com/office/drawing/2014/main" id="{EF9973F0-84C3-6AE9-2829-8B10554D16E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10" name="Shape 5">
            <a:extLst>
              <a:ext uri="{FF2B5EF4-FFF2-40B4-BE49-F238E27FC236}">
                <a16:creationId xmlns:a16="http://schemas.microsoft.com/office/drawing/2014/main" id="{255BA385-9616-572C-07B6-B69158948F2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11" name="Shape 6">
            <a:extLst>
              <a:ext uri="{FF2B5EF4-FFF2-40B4-BE49-F238E27FC236}">
                <a16:creationId xmlns:a16="http://schemas.microsoft.com/office/drawing/2014/main" id="{A389940F-A1DF-CFBB-3675-F96C991F8BC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12" name="Shape 7">
            <a:extLst>
              <a:ext uri="{FF2B5EF4-FFF2-40B4-BE49-F238E27FC236}">
                <a16:creationId xmlns:a16="http://schemas.microsoft.com/office/drawing/2014/main" id="{45BBD7DA-9ECF-58FE-9337-EA70E908D88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13" name="Shape 8">
            <a:extLst>
              <a:ext uri="{FF2B5EF4-FFF2-40B4-BE49-F238E27FC236}">
                <a16:creationId xmlns:a16="http://schemas.microsoft.com/office/drawing/2014/main" id="{EC1058F8-1C78-32FA-6F11-A27A8F55A54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14" name="Shape 9">
            <a:extLst>
              <a:ext uri="{FF2B5EF4-FFF2-40B4-BE49-F238E27FC236}">
                <a16:creationId xmlns:a16="http://schemas.microsoft.com/office/drawing/2014/main" id="{DDBCA631-138D-C128-CCBA-9332465340C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15" name="Shape 10">
            <a:extLst>
              <a:ext uri="{FF2B5EF4-FFF2-40B4-BE49-F238E27FC236}">
                <a16:creationId xmlns:a16="http://schemas.microsoft.com/office/drawing/2014/main" id="{83596CFD-3728-98C4-03E8-F70C92C2BEB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16" name="Shape 11">
            <a:extLst>
              <a:ext uri="{FF2B5EF4-FFF2-40B4-BE49-F238E27FC236}">
                <a16:creationId xmlns:a16="http://schemas.microsoft.com/office/drawing/2014/main" id="{570533E2-526D-BDF8-66A2-1730DD408FA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17" name="Shape 12">
            <a:extLst>
              <a:ext uri="{FF2B5EF4-FFF2-40B4-BE49-F238E27FC236}">
                <a16:creationId xmlns:a16="http://schemas.microsoft.com/office/drawing/2014/main" id="{242F60A1-68F2-FD1F-BEEB-0D962447DC6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18" name="Shape 13">
            <a:extLst>
              <a:ext uri="{FF2B5EF4-FFF2-40B4-BE49-F238E27FC236}">
                <a16:creationId xmlns:a16="http://schemas.microsoft.com/office/drawing/2014/main" id="{4FF9A533-3C01-FDD1-29BC-DCB328A4B70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19" name="Shape 14">
            <a:extLst>
              <a:ext uri="{FF2B5EF4-FFF2-40B4-BE49-F238E27FC236}">
                <a16:creationId xmlns:a16="http://schemas.microsoft.com/office/drawing/2014/main" id="{2FA0E94B-8C57-40A0-2D9A-AEEA7EBCE2B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20" name="Shape 15">
            <a:extLst>
              <a:ext uri="{FF2B5EF4-FFF2-40B4-BE49-F238E27FC236}">
                <a16:creationId xmlns:a16="http://schemas.microsoft.com/office/drawing/2014/main" id="{D05FB4E2-9295-D813-05F6-479AFD03B46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21" name="Shape 16">
            <a:extLst>
              <a:ext uri="{FF2B5EF4-FFF2-40B4-BE49-F238E27FC236}">
                <a16:creationId xmlns:a16="http://schemas.microsoft.com/office/drawing/2014/main" id="{956B4651-1E8F-7511-4CE8-F4DEC4DE34E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539</xdr:row>
      <xdr:rowOff>3246</xdr:rowOff>
    </xdr:from>
    <xdr:ext cx="33655" cy="33655"/>
    <xdr:grpSp>
      <xdr:nvGrpSpPr>
        <xdr:cNvPr id="2522" name="Group 17">
          <a:extLst>
            <a:ext uri="{FF2B5EF4-FFF2-40B4-BE49-F238E27FC236}">
              <a16:creationId xmlns:a16="http://schemas.microsoft.com/office/drawing/2014/main" id="{6864945F-0FBC-435F-B37C-FC8E0AB95A48}"/>
            </a:ext>
          </a:extLst>
        </xdr:cNvPr>
        <xdr:cNvGrpSpPr/>
      </xdr:nvGrpSpPr>
      <xdr:grpSpPr>
        <a:xfrm>
          <a:off x="4603072" y="100880803"/>
          <a:ext cx="33655" cy="33655"/>
          <a:chOff x="0" y="0"/>
          <a:chExt cx="33655" cy="33655"/>
        </a:xfrm>
      </xdr:grpSpPr>
      <xdr:sp macro="" textlink="">
        <xdr:nvSpPr>
          <xdr:cNvPr id="2523" name="Shape 18">
            <a:extLst>
              <a:ext uri="{FF2B5EF4-FFF2-40B4-BE49-F238E27FC236}">
                <a16:creationId xmlns:a16="http://schemas.microsoft.com/office/drawing/2014/main" id="{E5CFCD68-CFA6-C0F1-210A-33E434E56C4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24" name="Shape 19">
            <a:extLst>
              <a:ext uri="{FF2B5EF4-FFF2-40B4-BE49-F238E27FC236}">
                <a16:creationId xmlns:a16="http://schemas.microsoft.com/office/drawing/2014/main" id="{810ADE77-5635-3FE6-8756-CA9410A5D51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25" name="Shape 20">
            <a:extLst>
              <a:ext uri="{FF2B5EF4-FFF2-40B4-BE49-F238E27FC236}">
                <a16:creationId xmlns:a16="http://schemas.microsoft.com/office/drawing/2014/main" id="{CAF1C2E7-7374-98A0-6415-FFE7A96B934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2526" name="Shape 21">
            <a:extLst>
              <a:ext uri="{FF2B5EF4-FFF2-40B4-BE49-F238E27FC236}">
                <a16:creationId xmlns:a16="http://schemas.microsoft.com/office/drawing/2014/main" id="{1ADEA615-09EF-CB77-2D61-2FDBD7EFB0B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2527" name="Shape 22">
            <a:extLst>
              <a:ext uri="{FF2B5EF4-FFF2-40B4-BE49-F238E27FC236}">
                <a16:creationId xmlns:a16="http://schemas.microsoft.com/office/drawing/2014/main" id="{C408FDCD-4308-6D29-72B3-59A2A11F81D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48" name="Shape 23">
            <a:extLst>
              <a:ext uri="{FF2B5EF4-FFF2-40B4-BE49-F238E27FC236}">
                <a16:creationId xmlns:a16="http://schemas.microsoft.com/office/drawing/2014/main" id="{BD81F508-D83B-0486-B4CD-F2D1A1A9155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49" name="Shape 24">
            <a:extLst>
              <a:ext uri="{FF2B5EF4-FFF2-40B4-BE49-F238E27FC236}">
                <a16:creationId xmlns:a16="http://schemas.microsoft.com/office/drawing/2014/main" id="{7A836F64-FED5-CCB2-C5E0-AA8428DDEF6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50" name="Shape 25">
            <a:extLst>
              <a:ext uri="{FF2B5EF4-FFF2-40B4-BE49-F238E27FC236}">
                <a16:creationId xmlns:a16="http://schemas.microsoft.com/office/drawing/2014/main" id="{62E947C6-A935-D986-65D0-357DB6E6EA1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51" name="Shape 26">
            <a:extLst>
              <a:ext uri="{FF2B5EF4-FFF2-40B4-BE49-F238E27FC236}">
                <a16:creationId xmlns:a16="http://schemas.microsoft.com/office/drawing/2014/main" id="{3268115D-F155-D993-BA0B-09D56609C5A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52" name="Shape 27">
            <a:extLst>
              <a:ext uri="{FF2B5EF4-FFF2-40B4-BE49-F238E27FC236}">
                <a16:creationId xmlns:a16="http://schemas.microsoft.com/office/drawing/2014/main" id="{65A9CEFC-D9A1-88B2-9562-BB556391B55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53" name="Shape 28">
            <a:extLst>
              <a:ext uri="{FF2B5EF4-FFF2-40B4-BE49-F238E27FC236}">
                <a16:creationId xmlns:a16="http://schemas.microsoft.com/office/drawing/2014/main" id="{AC24EC02-56D8-2EE1-1EC3-CFE0F792C8F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54" name="Shape 29">
            <a:extLst>
              <a:ext uri="{FF2B5EF4-FFF2-40B4-BE49-F238E27FC236}">
                <a16:creationId xmlns:a16="http://schemas.microsoft.com/office/drawing/2014/main" id="{94F23B52-CC20-6F6F-5EA9-0B85C7819FE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55" name="Shape 30">
            <a:extLst>
              <a:ext uri="{FF2B5EF4-FFF2-40B4-BE49-F238E27FC236}">
                <a16:creationId xmlns:a16="http://schemas.microsoft.com/office/drawing/2014/main" id="{D14D1BA4-1A49-166B-4BBC-0A5F1110650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56" name="Shape 31">
            <a:extLst>
              <a:ext uri="{FF2B5EF4-FFF2-40B4-BE49-F238E27FC236}">
                <a16:creationId xmlns:a16="http://schemas.microsoft.com/office/drawing/2014/main" id="{942EA6D2-DF85-166C-B3A0-FE40C7E31D2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539</xdr:row>
      <xdr:rowOff>3703</xdr:rowOff>
    </xdr:from>
    <xdr:ext cx="33655" cy="33655"/>
    <xdr:grpSp>
      <xdr:nvGrpSpPr>
        <xdr:cNvPr id="3657" name="Group 32">
          <a:extLst>
            <a:ext uri="{FF2B5EF4-FFF2-40B4-BE49-F238E27FC236}">
              <a16:creationId xmlns:a16="http://schemas.microsoft.com/office/drawing/2014/main" id="{7D207FE6-EB7B-475E-BD0F-BEEA906B4E95}"/>
            </a:ext>
          </a:extLst>
        </xdr:cNvPr>
        <xdr:cNvGrpSpPr/>
      </xdr:nvGrpSpPr>
      <xdr:grpSpPr>
        <a:xfrm>
          <a:off x="4603072" y="100881260"/>
          <a:ext cx="33655" cy="33655"/>
          <a:chOff x="0" y="0"/>
          <a:chExt cx="33655" cy="33655"/>
        </a:xfrm>
      </xdr:grpSpPr>
      <xdr:sp macro="" textlink="">
        <xdr:nvSpPr>
          <xdr:cNvPr id="3658" name="Shape 33">
            <a:extLst>
              <a:ext uri="{FF2B5EF4-FFF2-40B4-BE49-F238E27FC236}">
                <a16:creationId xmlns:a16="http://schemas.microsoft.com/office/drawing/2014/main" id="{0266AF17-0CDE-7616-F76E-FF103208E84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59" name="Shape 34">
            <a:extLst>
              <a:ext uri="{FF2B5EF4-FFF2-40B4-BE49-F238E27FC236}">
                <a16:creationId xmlns:a16="http://schemas.microsoft.com/office/drawing/2014/main" id="{51126B9D-246A-E986-F026-07A0FC4DA95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60" name="Shape 35">
            <a:extLst>
              <a:ext uri="{FF2B5EF4-FFF2-40B4-BE49-F238E27FC236}">
                <a16:creationId xmlns:a16="http://schemas.microsoft.com/office/drawing/2014/main" id="{73E83B0A-F49E-E860-5BFC-B7ED83352E3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61" name="Shape 36">
            <a:extLst>
              <a:ext uri="{FF2B5EF4-FFF2-40B4-BE49-F238E27FC236}">
                <a16:creationId xmlns:a16="http://schemas.microsoft.com/office/drawing/2014/main" id="{69330A9D-9565-DC49-EF93-226D636E38C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62" name="Shape 37">
            <a:extLst>
              <a:ext uri="{FF2B5EF4-FFF2-40B4-BE49-F238E27FC236}">
                <a16:creationId xmlns:a16="http://schemas.microsoft.com/office/drawing/2014/main" id="{C27C3B25-407D-7AED-8C9A-86E58946663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63" name="Shape 38">
            <a:extLst>
              <a:ext uri="{FF2B5EF4-FFF2-40B4-BE49-F238E27FC236}">
                <a16:creationId xmlns:a16="http://schemas.microsoft.com/office/drawing/2014/main" id="{38E6AC3B-BF4D-7A3B-5751-4ACD6A15349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64" name="Shape 39">
            <a:extLst>
              <a:ext uri="{FF2B5EF4-FFF2-40B4-BE49-F238E27FC236}">
                <a16:creationId xmlns:a16="http://schemas.microsoft.com/office/drawing/2014/main" id="{9C414328-B854-74BC-8302-154402469DA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65" name="Shape 40">
            <a:extLst>
              <a:ext uri="{FF2B5EF4-FFF2-40B4-BE49-F238E27FC236}">
                <a16:creationId xmlns:a16="http://schemas.microsoft.com/office/drawing/2014/main" id="{4B4C308D-793E-F3D2-10A8-6189F2A3A60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66" name="Shape 41">
            <a:extLst>
              <a:ext uri="{FF2B5EF4-FFF2-40B4-BE49-F238E27FC236}">
                <a16:creationId xmlns:a16="http://schemas.microsoft.com/office/drawing/2014/main" id="{0E823974-24DD-AC72-CAD2-199DB379FBE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67" name="Shape 42">
            <a:extLst>
              <a:ext uri="{FF2B5EF4-FFF2-40B4-BE49-F238E27FC236}">
                <a16:creationId xmlns:a16="http://schemas.microsoft.com/office/drawing/2014/main" id="{9D5331C6-F466-2D8F-5945-08ABD0BDE74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68" name="Shape 43">
            <a:extLst>
              <a:ext uri="{FF2B5EF4-FFF2-40B4-BE49-F238E27FC236}">
                <a16:creationId xmlns:a16="http://schemas.microsoft.com/office/drawing/2014/main" id="{27DFC190-BF84-C917-A603-BBAF4DF1C3D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69" name="Shape 44">
            <a:extLst>
              <a:ext uri="{FF2B5EF4-FFF2-40B4-BE49-F238E27FC236}">
                <a16:creationId xmlns:a16="http://schemas.microsoft.com/office/drawing/2014/main" id="{5D76362B-8F09-2143-EC2F-2DADD3B55F2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70" name="Shape 45">
            <a:extLst>
              <a:ext uri="{FF2B5EF4-FFF2-40B4-BE49-F238E27FC236}">
                <a16:creationId xmlns:a16="http://schemas.microsoft.com/office/drawing/2014/main" id="{DF3B772D-21E9-4ACC-A9EF-71A0F5B1B6F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71" name="Shape 46">
            <a:extLst>
              <a:ext uri="{FF2B5EF4-FFF2-40B4-BE49-F238E27FC236}">
                <a16:creationId xmlns:a16="http://schemas.microsoft.com/office/drawing/2014/main" id="{EAEB7F4A-34EC-B6B8-5FB3-66856CC8B0F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539</xdr:row>
      <xdr:rowOff>3409</xdr:rowOff>
    </xdr:from>
    <xdr:ext cx="33655" cy="33655"/>
    <xdr:grpSp>
      <xdr:nvGrpSpPr>
        <xdr:cNvPr id="3672" name="Group 47">
          <a:extLst>
            <a:ext uri="{FF2B5EF4-FFF2-40B4-BE49-F238E27FC236}">
              <a16:creationId xmlns:a16="http://schemas.microsoft.com/office/drawing/2014/main" id="{F6EEF154-82B9-4CFE-A76A-684E4DDE6FBA}"/>
            </a:ext>
          </a:extLst>
        </xdr:cNvPr>
        <xdr:cNvGrpSpPr/>
      </xdr:nvGrpSpPr>
      <xdr:grpSpPr>
        <a:xfrm>
          <a:off x="4603072" y="100880966"/>
          <a:ext cx="33655" cy="33655"/>
          <a:chOff x="0" y="0"/>
          <a:chExt cx="33655" cy="33655"/>
        </a:xfrm>
      </xdr:grpSpPr>
      <xdr:sp macro="" textlink="">
        <xdr:nvSpPr>
          <xdr:cNvPr id="3673" name="Shape 48">
            <a:extLst>
              <a:ext uri="{FF2B5EF4-FFF2-40B4-BE49-F238E27FC236}">
                <a16:creationId xmlns:a16="http://schemas.microsoft.com/office/drawing/2014/main" id="{742E72D2-6811-D65A-0AC0-BBCBE423242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74" name="Shape 49">
            <a:extLst>
              <a:ext uri="{FF2B5EF4-FFF2-40B4-BE49-F238E27FC236}">
                <a16:creationId xmlns:a16="http://schemas.microsoft.com/office/drawing/2014/main" id="{DBE8F355-9E85-84B0-A0D6-5AAF3A7EF79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75" name="Shape 50">
            <a:extLst>
              <a:ext uri="{FF2B5EF4-FFF2-40B4-BE49-F238E27FC236}">
                <a16:creationId xmlns:a16="http://schemas.microsoft.com/office/drawing/2014/main" id="{3245F004-3C00-06D1-8503-733E5132DC8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76" name="Shape 51">
            <a:extLst>
              <a:ext uri="{FF2B5EF4-FFF2-40B4-BE49-F238E27FC236}">
                <a16:creationId xmlns:a16="http://schemas.microsoft.com/office/drawing/2014/main" id="{129F15D1-9235-674E-815A-ACA96904FEC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77" name="Shape 52">
            <a:extLst>
              <a:ext uri="{FF2B5EF4-FFF2-40B4-BE49-F238E27FC236}">
                <a16:creationId xmlns:a16="http://schemas.microsoft.com/office/drawing/2014/main" id="{0DED1E85-65F1-34FA-D30A-32B1907A0D9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78" name="Shape 53">
            <a:extLst>
              <a:ext uri="{FF2B5EF4-FFF2-40B4-BE49-F238E27FC236}">
                <a16:creationId xmlns:a16="http://schemas.microsoft.com/office/drawing/2014/main" id="{46ACF3EA-BCD2-8C99-D075-7019D3EAF52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79" name="Shape 54">
            <a:extLst>
              <a:ext uri="{FF2B5EF4-FFF2-40B4-BE49-F238E27FC236}">
                <a16:creationId xmlns:a16="http://schemas.microsoft.com/office/drawing/2014/main" id="{2F9E4363-C99D-B301-9BD4-66173116837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80" name="Shape 55">
            <a:extLst>
              <a:ext uri="{FF2B5EF4-FFF2-40B4-BE49-F238E27FC236}">
                <a16:creationId xmlns:a16="http://schemas.microsoft.com/office/drawing/2014/main" id="{D89D7851-905C-C3E0-E8AF-5C8646E0E77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81" name="Shape 56">
            <a:extLst>
              <a:ext uri="{FF2B5EF4-FFF2-40B4-BE49-F238E27FC236}">
                <a16:creationId xmlns:a16="http://schemas.microsoft.com/office/drawing/2014/main" id="{3D6A9A49-B982-FF6B-B94B-AC9BC01AB74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82" name="Shape 57">
            <a:extLst>
              <a:ext uri="{FF2B5EF4-FFF2-40B4-BE49-F238E27FC236}">
                <a16:creationId xmlns:a16="http://schemas.microsoft.com/office/drawing/2014/main" id="{DF410E7D-BDF7-5DB1-9D62-2914F7C54B6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83" name="Shape 58">
            <a:extLst>
              <a:ext uri="{FF2B5EF4-FFF2-40B4-BE49-F238E27FC236}">
                <a16:creationId xmlns:a16="http://schemas.microsoft.com/office/drawing/2014/main" id="{800C7390-2CD3-533C-052D-FCE41CA0157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84" name="Shape 59">
            <a:extLst>
              <a:ext uri="{FF2B5EF4-FFF2-40B4-BE49-F238E27FC236}">
                <a16:creationId xmlns:a16="http://schemas.microsoft.com/office/drawing/2014/main" id="{292B2086-8240-DFFD-4162-53E2BC52454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85" name="Shape 60">
            <a:extLst>
              <a:ext uri="{FF2B5EF4-FFF2-40B4-BE49-F238E27FC236}">
                <a16:creationId xmlns:a16="http://schemas.microsoft.com/office/drawing/2014/main" id="{440F8FC7-BBDA-17EA-F57D-ACE8DBEF433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686" name="Shape 61">
            <a:extLst>
              <a:ext uri="{FF2B5EF4-FFF2-40B4-BE49-F238E27FC236}">
                <a16:creationId xmlns:a16="http://schemas.microsoft.com/office/drawing/2014/main" id="{FA06CE27-4262-5E94-D3C8-767A36C5772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539</xdr:row>
      <xdr:rowOff>3962</xdr:rowOff>
    </xdr:from>
    <xdr:ext cx="33655" cy="33655"/>
    <xdr:grpSp>
      <xdr:nvGrpSpPr>
        <xdr:cNvPr id="3687" name="Group 62">
          <a:extLst>
            <a:ext uri="{FF2B5EF4-FFF2-40B4-BE49-F238E27FC236}">
              <a16:creationId xmlns:a16="http://schemas.microsoft.com/office/drawing/2014/main" id="{8EE1237F-04BA-4F44-9BAE-B419261EA783}"/>
            </a:ext>
          </a:extLst>
        </xdr:cNvPr>
        <xdr:cNvGrpSpPr/>
      </xdr:nvGrpSpPr>
      <xdr:grpSpPr>
        <a:xfrm>
          <a:off x="4603072" y="100881519"/>
          <a:ext cx="33655" cy="33655"/>
          <a:chOff x="0" y="0"/>
          <a:chExt cx="33655" cy="33655"/>
        </a:xfrm>
      </xdr:grpSpPr>
      <xdr:sp macro="" textlink="">
        <xdr:nvSpPr>
          <xdr:cNvPr id="3688" name="Shape 63">
            <a:extLst>
              <a:ext uri="{FF2B5EF4-FFF2-40B4-BE49-F238E27FC236}">
                <a16:creationId xmlns:a16="http://schemas.microsoft.com/office/drawing/2014/main" id="{8244D4D5-1596-6698-B2DC-8D38EEE22A0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89" name="Shape 64">
            <a:extLst>
              <a:ext uri="{FF2B5EF4-FFF2-40B4-BE49-F238E27FC236}">
                <a16:creationId xmlns:a16="http://schemas.microsoft.com/office/drawing/2014/main" id="{E7D810C2-2994-2E2E-AE54-D894F653D08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90" name="Shape 65">
            <a:extLst>
              <a:ext uri="{FF2B5EF4-FFF2-40B4-BE49-F238E27FC236}">
                <a16:creationId xmlns:a16="http://schemas.microsoft.com/office/drawing/2014/main" id="{B5A35626-BEDF-EA11-2F85-8946B3F506C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91" name="Shape 66">
            <a:extLst>
              <a:ext uri="{FF2B5EF4-FFF2-40B4-BE49-F238E27FC236}">
                <a16:creationId xmlns:a16="http://schemas.microsoft.com/office/drawing/2014/main" id="{38884E5D-2354-8B76-6916-DC478BF4B00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92" name="Shape 67">
            <a:extLst>
              <a:ext uri="{FF2B5EF4-FFF2-40B4-BE49-F238E27FC236}">
                <a16:creationId xmlns:a16="http://schemas.microsoft.com/office/drawing/2014/main" id="{2A65B20A-AC79-1E1E-DD20-838F89CACCC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93" name="Shape 68">
            <a:extLst>
              <a:ext uri="{FF2B5EF4-FFF2-40B4-BE49-F238E27FC236}">
                <a16:creationId xmlns:a16="http://schemas.microsoft.com/office/drawing/2014/main" id="{DF98AF10-C9DA-70F8-B41A-8B08773249B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94" name="Shape 69">
            <a:extLst>
              <a:ext uri="{FF2B5EF4-FFF2-40B4-BE49-F238E27FC236}">
                <a16:creationId xmlns:a16="http://schemas.microsoft.com/office/drawing/2014/main" id="{643EC467-A718-D2EC-8CC3-85A477BE903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95" name="Shape 70">
            <a:extLst>
              <a:ext uri="{FF2B5EF4-FFF2-40B4-BE49-F238E27FC236}">
                <a16:creationId xmlns:a16="http://schemas.microsoft.com/office/drawing/2014/main" id="{4557D0A0-146B-A1FC-BA1E-89E992CBF77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96" name="Shape 71">
            <a:extLst>
              <a:ext uri="{FF2B5EF4-FFF2-40B4-BE49-F238E27FC236}">
                <a16:creationId xmlns:a16="http://schemas.microsoft.com/office/drawing/2014/main" id="{6A746FAA-BEF7-E503-5F50-C178DD88567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97" name="Shape 72">
            <a:extLst>
              <a:ext uri="{FF2B5EF4-FFF2-40B4-BE49-F238E27FC236}">
                <a16:creationId xmlns:a16="http://schemas.microsoft.com/office/drawing/2014/main" id="{5E9534D5-67F6-80E7-AD73-241045FB012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698" name="Shape 73">
            <a:extLst>
              <a:ext uri="{FF2B5EF4-FFF2-40B4-BE49-F238E27FC236}">
                <a16:creationId xmlns:a16="http://schemas.microsoft.com/office/drawing/2014/main" id="{DD186976-F079-899C-F02A-0DD32281AB0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699" name="Shape 74">
            <a:extLst>
              <a:ext uri="{FF2B5EF4-FFF2-40B4-BE49-F238E27FC236}">
                <a16:creationId xmlns:a16="http://schemas.microsoft.com/office/drawing/2014/main" id="{12541115-3ADA-6619-C84A-CCF9D11467A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00" name="Shape 75">
            <a:extLst>
              <a:ext uri="{FF2B5EF4-FFF2-40B4-BE49-F238E27FC236}">
                <a16:creationId xmlns:a16="http://schemas.microsoft.com/office/drawing/2014/main" id="{44E555B3-D519-5FE9-7B2C-CF0A18109F6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01" name="Shape 76">
            <a:extLst>
              <a:ext uri="{FF2B5EF4-FFF2-40B4-BE49-F238E27FC236}">
                <a16:creationId xmlns:a16="http://schemas.microsoft.com/office/drawing/2014/main" id="{C113FFC4-2467-3388-490C-89C9E811F02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539</xdr:row>
      <xdr:rowOff>2978</xdr:rowOff>
    </xdr:from>
    <xdr:ext cx="33655" cy="33655"/>
    <xdr:grpSp>
      <xdr:nvGrpSpPr>
        <xdr:cNvPr id="3702" name="Group 2">
          <a:extLst>
            <a:ext uri="{FF2B5EF4-FFF2-40B4-BE49-F238E27FC236}">
              <a16:creationId xmlns:a16="http://schemas.microsoft.com/office/drawing/2014/main" id="{66A2E55B-19E1-4287-8588-3B9B6A9C1732}"/>
            </a:ext>
          </a:extLst>
        </xdr:cNvPr>
        <xdr:cNvGrpSpPr/>
      </xdr:nvGrpSpPr>
      <xdr:grpSpPr>
        <a:xfrm>
          <a:off x="4603072" y="100880535"/>
          <a:ext cx="33655" cy="33655"/>
          <a:chOff x="0" y="0"/>
          <a:chExt cx="33655" cy="33655"/>
        </a:xfrm>
      </xdr:grpSpPr>
      <xdr:sp macro="" textlink="">
        <xdr:nvSpPr>
          <xdr:cNvPr id="3703" name="Shape 3">
            <a:extLst>
              <a:ext uri="{FF2B5EF4-FFF2-40B4-BE49-F238E27FC236}">
                <a16:creationId xmlns:a16="http://schemas.microsoft.com/office/drawing/2014/main" id="{2357490F-B835-DA7E-DE66-4FD4A1489D7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04" name="Shape 4">
            <a:extLst>
              <a:ext uri="{FF2B5EF4-FFF2-40B4-BE49-F238E27FC236}">
                <a16:creationId xmlns:a16="http://schemas.microsoft.com/office/drawing/2014/main" id="{2352E460-797B-9531-A3B4-5C53779A40B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05" name="Shape 5">
            <a:extLst>
              <a:ext uri="{FF2B5EF4-FFF2-40B4-BE49-F238E27FC236}">
                <a16:creationId xmlns:a16="http://schemas.microsoft.com/office/drawing/2014/main" id="{D75C6354-1E3D-BE96-B9E8-E4144687E7F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06" name="Shape 6">
            <a:extLst>
              <a:ext uri="{FF2B5EF4-FFF2-40B4-BE49-F238E27FC236}">
                <a16:creationId xmlns:a16="http://schemas.microsoft.com/office/drawing/2014/main" id="{2EB9DC25-6C05-22D5-A489-0E3FCCCBF8B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07" name="Shape 7">
            <a:extLst>
              <a:ext uri="{FF2B5EF4-FFF2-40B4-BE49-F238E27FC236}">
                <a16:creationId xmlns:a16="http://schemas.microsoft.com/office/drawing/2014/main" id="{5A9838EE-545C-7C0B-86F5-48DB22391F8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08" name="Shape 8">
            <a:extLst>
              <a:ext uri="{FF2B5EF4-FFF2-40B4-BE49-F238E27FC236}">
                <a16:creationId xmlns:a16="http://schemas.microsoft.com/office/drawing/2014/main" id="{B30CD3FD-DE17-2A9B-E59B-F59808CCEB7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09" name="Shape 9">
            <a:extLst>
              <a:ext uri="{FF2B5EF4-FFF2-40B4-BE49-F238E27FC236}">
                <a16:creationId xmlns:a16="http://schemas.microsoft.com/office/drawing/2014/main" id="{27A32E76-ACBA-E723-6586-86B70B944AC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10" name="Shape 10">
            <a:extLst>
              <a:ext uri="{FF2B5EF4-FFF2-40B4-BE49-F238E27FC236}">
                <a16:creationId xmlns:a16="http://schemas.microsoft.com/office/drawing/2014/main" id="{598417F5-0D86-0D65-9150-F34F44CAD91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11" name="Shape 11">
            <a:extLst>
              <a:ext uri="{FF2B5EF4-FFF2-40B4-BE49-F238E27FC236}">
                <a16:creationId xmlns:a16="http://schemas.microsoft.com/office/drawing/2014/main" id="{F3B895EE-9C04-38C1-0483-4A24B6E6E14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12" name="Shape 12">
            <a:extLst>
              <a:ext uri="{FF2B5EF4-FFF2-40B4-BE49-F238E27FC236}">
                <a16:creationId xmlns:a16="http://schemas.microsoft.com/office/drawing/2014/main" id="{D522019B-8967-ADFF-9349-32735AC5DEB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13" name="Shape 13">
            <a:extLst>
              <a:ext uri="{FF2B5EF4-FFF2-40B4-BE49-F238E27FC236}">
                <a16:creationId xmlns:a16="http://schemas.microsoft.com/office/drawing/2014/main" id="{BD6B54C0-F0BA-FB1A-4E06-46C2B8644F0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14" name="Shape 14">
            <a:extLst>
              <a:ext uri="{FF2B5EF4-FFF2-40B4-BE49-F238E27FC236}">
                <a16:creationId xmlns:a16="http://schemas.microsoft.com/office/drawing/2014/main" id="{40FEA921-71B5-42B2-F9EB-D982CFC2FCB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15" name="Shape 15">
            <a:extLst>
              <a:ext uri="{FF2B5EF4-FFF2-40B4-BE49-F238E27FC236}">
                <a16:creationId xmlns:a16="http://schemas.microsoft.com/office/drawing/2014/main" id="{43551176-0C64-1423-603E-CD18D1A5DF7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16" name="Shape 16">
            <a:extLst>
              <a:ext uri="{FF2B5EF4-FFF2-40B4-BE49-F238E27FC236}">
                <a16:creationId xmlns:a16="http://schemas.microsoft.com/office/drawing/2014/main" id="{8276EBDE-4080-D84A-448E-696FEA816C5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539</xdr:row>
      <xdr:rowOff>3246</xdr:rowOff>
    </xdr:from>
    <xdr:ext cx="33655" cy="33655"/>
    <xdr:grpSp>
      <xdr:nvGrpSpPr>
        <xdr:cNvPr id="3717" name="Group 17">
          <a:extLst>
            <a:ext uri="{FF2B5EF4-FFF2-40B4-BE49-F238E27FC236}">
              <a16:creationId xmlns:a16="http://schemas.microsoft.com/office/drawing/2014/main" id="{CEB104F2-BFE4-41D4-B716-6BA98179B21B}"/>
            </a:ext>
          </a:extLst>
        </xdr:cNvPr>
        <xdr:cNvGrpSpPr/>
      </xdr:nvGrpSpPr>
      <xdr:grpSpPr>
        <a:xfrm>
          <a:off x="4603072" y="100880803"/>
          <a:ext cx="33655" cy="33655"/>
          <a:chOff x="0" y="0"/>
          <a:chExt cx="33655" cy="33655"/>
        </a:xfrm>
      </xdr:grpSpPr>
      <xdr:sp macro="" textlink="">
        <xdr:nvSpPr>
          <xdr:cNvPr id="3718" name="Shape 18">
            <a:extLst>
              <a:ext uri="{FF2B5EF4-FFF2-40B4-BE49-F238E27FC236}">
                <a16:creationId xmlns:a16="http://schemas.microsoft.com/office/drawing/2014/main" id="{4672D87F-0B3F-8B52-D63C-AD8950EBE2D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19" name="Shape 19">
            <a:extLst>
              <a:ext uri="{FF2B5EF4-FFF2-40B4-BE49-F238E27FC236}">
                <a16:creationId xmlns:a16="http://schemas.microsoft.com/office/drawing/2014/main" id="{A85A32B5-3649-D1E1-8927-D0BF4158568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20" name="Shape 20">
            <a:extLst>
              <a:ext uri="{FF2B5EF4-FFF2-40B4-BE49-F238E27FC236}">
                <a16:creationId xmlns:a16="http://schemas.microsoft.com/office/drawing/2014/main" id="{95F8D6E4-EF10-651C-F691-54DE7D91F39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21" name="Shape 21">
            <a:extLst>
              <a:ext uri="{FF2B5EF4-FFF2-40B4-BE49-F238E27FC236}">
                <a16:creationId xmlns:a16="http://schemas.microsoft.com/office/drawing/2014/main" id="{425B47D5-3BCB-6CA1-CCA2-837F985F96A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22" name="Shape 22">
            <a:extLst>
              <a:ext uri="{FF2B5EF4-FFF2-40B4-BE49-F238E27FC236}">
                <a16:creationId xmlns:a16="http://schemas.microsoft.com/office/drawing/2014/main" id="{80203FE6-9B76-DB1E-D7F4-795AE828A24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23" name="Shape 23">
            <a:extLst>
              <a:ext uri="{FF2B5EF4-FFF2-40B4-BE49-F238E27FC236}">
                <a16:creationId xmlns:a16="http://schemas.microsoft.com/office/drawing/2014/main" id="{5290F090-1E30-56D6-BDA2-FF896A27476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24" name="Shape 24">
            <a:extLst>
              <a:ext uri="{FF2B5EF4-FFF2-40B4-BE49-F238E27FC236}">
                <a16:creationId xmlns:a16="http://schemas.microsoft.com/office/drawing/2014/main" id="{C6F5A3AA-FAAF-2DEC-ABB0-276FF814E29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25" name="Shape 25">
            <a:extLst>
              <a:ext uri="{FF2B5EF4-FFF2-40B4-BE49-F238E27FC236}">
                <a16:creationId xmlns:a16="http://schemas.microsoft.com/office/drawing/2014/main" id="{FA5A5FAE-F2EA-B336-68BE-9523A152EF3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26" name="Shape 26">
            <a:extLst>
              <a:ext uri="{FF2B5EF4-FFF2-40B4-BE49-F238E27FC236}">
                <a16:creationId xmlns:a16="http://schemas.microsoft.com/office/drawing/2014/main" id="{68A5A918-21EB-115C-20B8-97340A48D22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27" name="Shape 27">
            <a:extLst>
              <a:ext uri="{FF2B5EF4-FFF2-40B4-BE49-F238E27FC236}">
                <a16:creationId xmlns:a16="http://schemas.microsoft.com/office/drawing/2014/main" id="{88A7AD96-81AC-4261-6A8F-30656E5AC9D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28" name="Shape 28">
            <a:extLst>
              <a:ext uri="{FF2B5EF4-FFF2-40B4-BE49-F238E27FC236}">
                <a16:creationId xmlns:a16="http://schemas.microsoft.com/office/drawing/2014/main" id="{B4935DBA-315C-89B7-577D-D7856D5734C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29" name="Shape 29">
            <a:extLst>
              <a:ext uri="{FF2B5EF4-FFF2-40B4-BE49-F238E27FC236}">
                <a16:creationId xmlns:a16="http://schemas.microsoft.com/office/drawing/2014/main" id="{4B369DC2-6CB0-89F8-0194-3E9035FBEA5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30" name="Shape 30">
            <a:extLst>
              <a:ext uri="{FF2B5EF4-FFF2-40B4-BE49-F238E27FC236}">
                <a16:creationId xmlns:a16="http://schemas.microsoft.com/office/drawing/2014/main" id="{D8C5F671-63DF-DF88-B012-2D5609F6F99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31" name="Shape 31">
            <a:extLst>
              <a:ext uri="{FF2B5EF4-FFF2-40B4-BE49-F238E27FC236}">
                <a16:creationId xmlns:a16="http://schemas.microsoft.com/office/drawing/2014/main" id="{9EFB4606-1701-4254-1759-DE2C3866D01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539</xdr:row>
      <xdr:rowOff>3703</xdr:rowOff>
    </xdr:from>
    <xdr:ext cx="33655" cy="33655"/>
    <xdr:grpSp>
      <xdr:nvGrpSpPr>
        <xdr:cNvPr id="3732" name="Group 32">
          <a:extLst>
            <a:ext uri="{FF2B5EF4-FFF2-40B4-BE49-F238E27FC236}">
              <a16:creationId xmlns:a16="http://schemas.microsoft.com/office/drawing/2014/main" id="{39A4750D-98F0-4AE5-A2DB-BBCB34CAFB79}"/>
            </a:ext>
          </a:extLst>
        </xdr:cNvPr>
        <xdr:cNvGrpSpPr/>
      </xdr:nvGrpSpPr>
      <xdr:grpSpPr>
        <a:xfrm>
          <a:off x="4603072" y="100881260"/>
          <a:ext cx="33655" cy="33655"/>
          <a:chOff x="0" y="0"/>
          <a:chExt cx="33655" cy="33655"/>
        </a:xfrm>
      </xdr:grpSpPr>
      <xdr:sp macro="" textlink="">
        <xdr:nvSpPr>
          <xdr:cNvPr id="3733" name="Shape 33">
            <a:extLst>
              <a:ext uri="{FF2B5EF4-FFF2-40B4-BE49-F238E27FC236}">
                <a16:creationId xmlns:a16="http://schemas.microsoft.com/office/drawing/2014/main" id="{808D50A3-A0D7-6527-F701-7159B27F5EE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34" name="Shape 34">
            <a:extLst>
              <a:ext uri="{FF2B5EF4-FFF2-40B4-BE49-F238E27FC236}">
                <a16:creationId xmlns:a16="http://schemas.microsoft.com/office/drawing/2014/main" id="{C346B38A-2D1E-773B-A95F-D0975F440BD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35" name="Shape 35">
            <a:extLst>
              <a:ext uri="{FF2B5EF4-FFF2-40B4-BE49-F238E27FC236}">
                <a16:creationId xmlns:a16="http://schemas.microsoft.com/office/drawing/2014/main" id="{2A30D8D4-AED4-4790-BFD4-406E11D9900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36" name="Shape 36">
            <a:extLst>
              <a:ext uri="{FF2B5EF4-FFF2-40B4-BE49-F238E27FC236}">
                <a16:creationId xmlns:a16="http://schemas.microsoft.com/office/drawing/2014/main" id="{9CBCBFEF-E313-10C2-5D19-4F4A10E1927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37" name="Shape 37">
            <a:extLst>
              <a:ext uri="{FF2B5EF4-FFF2-40B4-BE49-F238E27FC236}">
                <a16:creationId xmlns:a16="http://schemas.microsoft.com/office/drawing/2014/main" id="{60426F66-DF30-E154-9F0F-C5E8CDFA935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38" name="Shape 38">
            <a:extLst>
              <a:ext uri="{FF2B5EF4-FFF2-40B4-BE49-F238E27FC236}">
                <a16:creationId xmlns:a16="http://schemas.microsoft.com/office/drawing/2014/main" id="{BD57A6F5-1F7F-ED62-7968-3C993EC5F85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39" name="Shape 39">
            <a:extLst>
              <a:ext uri="{FF2B5EF4-FFF2-40B4-BE49-F238E27FC236}">
                <a16:creationId xmlns:a16="http://schemas.microsoft.com/office/drawing/2014/main" id="{D4CBB005-C84C-F836-29E9-48322F9E81A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40" name="Shape 40">
            <a:extLst>
              <a:ext uri="{FF2B5EF4-FFF2-40B4-BE49-F238E27FC236}">
                <a16:creationId xmlns:a16="http://schemas.microsoft.com/office/drawing/2014/main" id="{CDF26F50-EF9F-D635-55F3-B51B1F20577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41" name="Shape 41">
            <a:extLst>
              <a:ext uri="{FF2B5EF4-FFF2-40B4-BE49-F238E27FC236}">
                <a16:creationId xmlns:a16="http://schemas.microsoft.com/office/drawing/2014/main" id="{4074FC6E-DEA6-CC20-2211-581354D4AE0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42" name="Shape 42">
            <a:extLst>
              <a:ext uri="{FF2B5EF4-FFF2-40B4-BE49-F238E27FC236}">
                <a16:creationId xmlns:a16="http://schemas.microsoft.com/office/drawing/2014/main" id="{94EDCB38-69E3-AD9A-9A24-9A125FD45D0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43" name="Shape 43">
            <a:extLst>
              <a:ext uri="{FF2B5EF4-FFF2-40B4-BE49-F238E27FC236}">
                <a16:creationId xmlns:a16="http://schemas.microsoft.com/office/drawing/2014/main" id="{C0B29F04-EE9E-47B6-F4C6-5CC0414442A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44" name="Shape 44">
            <a:extLst>
              <a:ext uri="{FF2B5EF4-FFF2-40B4-BE49-F238E27FC236}">
                <a16:creationId xmlns:a16="http://schemas.microsoft.com/office/drawing/2014/main" id="{6F2A6C45-0F8B-B4FB-891F-A3F98DCAB68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45" name="Shape 45">
            <a:extLst>
              <a:ext uri="{FF2B5EF4-FFF2-40B4-BE49-F238E27FC236}">
                <a16:creationId xmlns:a16="http://schemas.microsoft.com/office/drawing/2014/main" id="{53C18956-154C-71E4-377E-AEB98D43906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46" name="Shape 46">
            <a:extLst>
              <a:ext uri="{FF2B5EF4-FFF2-40B4-BE49-F238E27FC236}">
                <a16:creationId xmlns:a16="http://schemas.microsoft.com/office/drawing/2014/main" id="{9EF81EA2-AEAB-DA83-8CB3-131236D1A7A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539</xdr:row>
      <xdr:rowOff>3409</xdr:rowOff>
    </xdr:from>
    <xdr:ext cx="33655" cy="33655"/>
    <xdr:grpSp>
      <xdr:nvGrpSpPr>
        <xdr:cNvPr id="3747" name="Group 47">
          <a:extLst>
            <a:ext uri="{FF2B5EF4-FFF2-40B4-BE49-F238E27FC236}">
              <a16:creationId xmlns:a16="http://schemas.microsoft.com/office/drawing/2014/main" id="{9F401EDC-2223-4631-A3F7-AD832622DACE}"/>
            </a:ext>
          </a:extLst>
        </xdr:cNvPr>
        <xdr:cNvGrpSpPr/>
      </xdr:nvGrpSpPr>
      <xdr:grpSpPr>
        <a:xfrm>
          <a:off x="4603072" y="100880966"/>
          <a:ext cx="33655" cy="33655"/>
          <a:chOff x="0" y="0"/>
          <a:chExt cx="33655" cy="33655"/>
        </a:xfrm>
      </xdr:grpSpPr>
      <xdr:sp macro="" textlink="">
        <xdr:nvSpPr>
          <xdr:cNvPr id="3748" name="Shape 48">
            <a:extLst>
              <a:ext uri="{FF2B5EF4-FFF2-40B4-BE49-F238E27FC236}">
                <a16:creationId xmlns:a16="http://schemas.microsoft.com/office/drawing/2014/main" id="{67544F63-4342-95B8-AD26-8CD545A7E8E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49" name="Shape 49">
            <a:extLst>
              <a:ext uri="{FF2B5EF4-FFF2-40B4-BE49-F238E27FC236}">
                <a16:creationId xmlns:a16="http://schemas.microsoft.com/office/drawing/2014/main" id="{734B1BBF-9BD4-15C2-E68B-179246E7815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50" name="Shape 50">
            <a:extLst>
              <a:ext uri="{FF2B5EF4-FFF2-40B4-BE49-F238E27FC236}">
                <a16:creationId xmlns:a16="http://schemas.microsoft.com/office/drawing/2014/main" id="{BC3D4C69-5603-7D24-EDD0-2AB66BEE9A1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51" name="Shape 51">
            <a:extLst>
              <a:ext uri="{FF2B5EF4-FFF2-40B4-BE49-F238E27FC236}">
                <a16:creationId xmlns:a16="http://schemas.microsoft.com/office/drawing/2014/main" id="{B9920826-5DE2-45C4-F563-3FABAB467E7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52" name="Shape 52">
            <a:extLst>
              <a:ext uri="{FF2B5EF4-FFF2-40B4-BE49-F238E27FC236}">
                <a16:creationId xmlns:a16="http://schemas.microsoft.com/office/drawing/2014/main" id="{D701EAB0-32C9-1AE9-535D-04F2E673472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53" name="Shape 53">
            <a:extLst>
              <a:ext uri="{FF2B5EF4-FFF2-40B4-BE49-F238E27FC236}">
                <a16:creationId xmlns:a16="http://schemas.microsoft.com/office/drawing/2014/main" id="{E3D27087-15FA-DC6F-DB42-306E9056016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54" name="Shape 54">
            <a:extLst>
              <a:ext uri="{FF2B5EF4-FFF2-40B4-BE49-F238E27FC236}">
                <a16:creationId xmlns:a16="http://schemas.microsoft.com/office/drawing/2014/main" id="{32CDE65F-6877-9754-396A-C84A0C1756A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55" name="Shape 55">
            <a:extLst>
              <a:ext uri="{FF2B5EF4-FFF2-40B4-BE49-F238E27FC236}">
                <a16:creationId xmlns:a16="http://schemas.microsoft.com/office/drawing/2014/main" id="{C5031DDD-A4DC-A605-34A1-0172E6B46E3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56" name="Shape 56">
            <a:extLst>
              <a:ext uri="{FF2B5EF4-FFF2-40B4-BE49-F238E27FC236}">
                <a16:creationId xmlns:a16="http://schemas.microsoft.com/office/drawing/2014/main" id="{53BFAA1B-FBC9-7669-7EB6-67D422BB949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57" name="Shape 57">
            <a:extLst>
              <a:ext uri="{FF2B5EF4-FFF2-40B4-BE49-F238E27FC236}">
                <a16:creationId xmlns:a16="http://schemas.microsoft.com/office/drawing/2014/main" id="{CB1700C4-C5E4-2B5C-4F6D-B330A8E7FA1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58" name="Shape 58">
            <a:extLst>
              <a:ext uri="{FF2B5EF4-FFF2-40B4-BE49-F238E27FC236}">
                <a16:creationId xmlns:a16="http://schemas.microsoft.com/office/drawing/2014/main" id="{7958A25F-88BB-6C6C-ABE9-A315C5EDEED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59" name="Shape 59">
            <a:extLst>
              <a:ext uri="{FF2B5EF4-FFF2-40B4-BE49-F238E27FC236}">
                <a16:creationId xmlns:a16="http://schemas.microsoft.com/office/drawing/2014/main" id="{11C3A0D1-E829-6C43-2E69-FF6D74FF88F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60" name="Shape 60">
            <a:extLst>
              <a:ext uri="{FF2B5EF4-FFF2-40B4-BE49-F238E27FC236}">
                <a16:creationId xmlns:a16="http://schemas.microsoft.com/office/drawing/2014/main" id="{A5AB691C-CA49-2080-F65C-B9D774FD3C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61" name="Shape 61">
            <a:extLst>
              <a:ext uri="{FF2B5EF4-FFF2-40B4-BE49-F238E27FC236}">
                <a16:creationId xmlns:a16="http://schemas.microsoft.com/office/drawing/2014/main" id="{8105E38B-276A-8659-C260-179A76B7B4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539</xdr:row>
      <xdr:rowOff>3962</xdr:rowOff>
    </xdr:from>
    <xdr:ext cx="33655" cy="33655"/>
    <xdr:grpSp>
      <xdr:nvGrpSpPr>
        <xdr:cNvPr id="3762" name="Group 62">
          <a:extLst>
            <a:ext uri="{FF2B5EF4-FFF2-40B4-BE49-F238E27FC236}">
              <a16:creationId xmlns:a16="http://schemas.microsoft.com/office/drawing/2014/main" id="{07AD4059-B6F4-43D2-9B6E-EBDE5AB9FA07}"/>
            </a:ext>
          </a:extLst>
        </xdr:cNvPr>
        <xdr:cNvGrpSpPr/>
      </xdr:nvGrpSpPr>
      <xdr:grpSpPr>
        <a:xfrm>
          <a:off x="4603072" y="100881519"/>
          <a:ext cx="33655" cy="33655"/>
          <a:chOff x="0" y="0"/>
          <a:chExt cx="33655" cy="33655"/>
        </a:xfrm>
      </xdr:grpSpPr>
      <xdr:sp macro="" textlink="">
        <xdr:nvSpPr>
          <xdr:cNvPr id="3763" name="Shape 63">
            <a:extLst>
              <a:ext uri="{FF2B5EF4-FFF2-40B4-BE49-F238E27FC236}">
                <a16:creationId xmlns:a16="http://schemas.microsoft.com/office/drawing/2014/main" id="{D98DCD33-8F10-4646-D23B-133BD7FCCCF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64" name="Shape 64">
            <a:extLst>
              <a:ext uri="{FF2B5EF4-FFF2-40B4-BE49-F238E27FC236}">
                <a16:creationId xmlns:a16="http://schemas.microsoft.com/office/drawing/2014/main" id="{CBD68F6F-9185-86D9-B93C-86CCC922208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65" name="Shape 65">
            <a:extLst>
              <a:ext uri="{FF2B5EF4-FFF2-40B4-BE49-F238E27FC236}">
                <a16:creationId xmlns:a16="http://schemas.microsoft.com/office/drawing/2014/main" id="{FF2BB1DA-00F4-38A7-EAD9-4CDB7D13CF6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66" name="Shape 66">
            <a:extLst>
              <a:ext uri="{FF2B5EF4-FFF2-40B4-BE49-F238E27FC236}">
                <a16:creationId xmlns:a16="http://schemas.microsoft.com/office/drawing/2014/main" id="{F143002E-3FCC-AF11-F1BC-9ABC38FDFAC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67" name="Shape 67">
            <a:extLst>
              <a:ext uri="{FF2B5EF4-FFF2-40B4-BE49-F238E27FC236}">
                <a16:creationId xmlns:a16="http://schemas.microsoft.com/office/drawing/2014/main" id="{2A8DCE65-7C4F-1C86-60BB-6F1E03886FE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68" name="Shape 68">
            <a:extLst>
              <a:ext uri="{FF2B5EF4-FFF2-40B4-BE49-F238E27FC236}">
                <a16:creationId xmlns:a16="http://schemas.microsoft.com/office/drawing/2014/main" id="{666E5B3D-860D-4CE5-B953-EC2F8312E6F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69" name="Shape 69">
            <a:extLst>
              <a:ext uri="{FF2B5EF4-FFF2-40B4-BE49-F238E27FC236}">
                <a16:creationId xmlns:a16="http://schemas.microsoft.com/office/drawing/2014/main" id="{6609D3ED-A770-1624-FF29-D7F63D1ACFF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70" name="Shape 70">
            <a:extLst>
              <a:ext uri="{FF2B5EF4-FFF2-40B4-BE49-F238E27FC236}">
                <a16:creationId xmlns:a16="http://schemas.microsoft.com/office/drawing/2014/main" id="{C3292F38-1A83-ED13-7B34-4AEDC8C7930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71" name="Shape 71">
            <a:extLst>
              <a:ext uri="{FF2B5EF4-FFF2-40B4-BE49-F238E27FC236}">
                <a16:creationId xmlns:a16="http://schemas.microsoft.com/office/drawing/2014/main" id="{67DD29C0-51B8-F773-1B2B-37E051F200B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72" name="Shape 72">
            <a:extLst>
              <a:ext uri="{FF2B5EF4-FFF2-40B4-BE49-F238E27FC236}">
                <a16:creationId xmlns:a16="http://schemas.microsoft.com/office/drawing/2014/main" id="{BF9BD45E-56FE-C2B3-4D4D-5EB4AF71FE9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73" name="Shape 73">
            <a:extLst>
              <a:ext uri="{FF2B5EF4-FFF2-40B4-BE49-F238E27FC236}">
                <a16:creationId xmlns:a16="http://schemas.microsoft.com/office/drawing/2014/main" id="{49220E25-A1FC-3699-BA89-FC476F6958B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74" name="Shape 74">
            <a:extLst>
              <a:ext uri="{FF2B5EF4-FFF2-40B4-BE49-F238E27FC236}">
                <a16:creationId xmlns:a16="http://schemas.microsoft.com/office/drawing/2014/main" id="{96D80ACD-496D-E053-CECD-1FF60E29C0F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75" name="Shape 75">
            <a:extLst>
              <a:ext uri="{FF2B5EF4-FFF2-40B4-BE49-F238E27FC236}">
                <a16:creationId xmlns:a16="http://schemas.microsoft.com/office/drawing/2014/main" id="{3C637882-A0F6-F06B-98CB-CD90C8B35C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776" name="Shape 76">
            <a:extLst>
              <a:ext uri="{FF2B5EF4-FFF2-40B4-BE49-F238E27FC236}">
                <a16:creationId xmlns:a16="http://schemas.microsoft.com/office/drawing/2014/main" id="{50BEB416-9A37-2D87-12DA-AEA966913E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559</xdr:row>
      <xdr:rowOff>2978</xdr:rowOff>
    </xdr:from>
    <xdr:ext cx="33655" cy="33655"/>
    <xdr:grpSp>
      <xdr:nvGrpSpPr>
        <xdr:cNvPr id="3777" name="Group 2">
          <a:extLst>
            <a:ext uri="{FF2B5EF4-FFF2-40B4-BE49-F238E27FC236}">
              <a16:creationId xmlns:a16="http://schemas.microsoft.com/office/drawing/2014/main" id="{06C6164B-4E21-472A-A158-304C7E5F410F}"/>
            </a:ext>
          </a:extLst>
        </xdr:cNvPr>
        <xdr:cNvGrpSpPr/>
      </xdr:nvGrpSpPr>
      <xdr:grpSpPr>
        <a:xfrm>
          <a:off x="4603072" y="104484421"/>
          <a:ext cx="33655" cy="33655"/>
          <a:chOff x="0" y="0"/>
          <a:chExt cx="33655" cy="33655"/>
        </a:xfrm>
      </xdr:grpSpPr>
      <xdr:sp macro="" textlink="">
        <xdr:nvSpPr>
          <xdr:cNvPr id="3778" name="Shape 3">
            <a:extLst>
              <a:ext uri="{FF2B5EF4-FFF2-40B4-BE49-F238E27FC236}">
                <a16:creationId xmlns:a16="http://schemas.microsoft.com/office/drawing/2014/main" id="{FF6CD0E9-89B7-91EB-AB46-722035074B2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79" name="Shape 4">
            <a:extLst>
              <a:ext uri="{FF2B5EF4-FFF2-40B4-BE49-F238E27FC236}">
                <a16:creationId xmlns:a16="http://schemas.microsoft.com/office/drawing/2014/main" id="{F4A3A415-0998-E412-041F-947FF76A1D8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80" name="Shape 5">
            <a:extLst>
              <a:ext uri="{FF2B5EF4-FFF2-40B4-BE49-F238E27FC236}">
                <a16:creationId xmlns:a16="http://schemas.microsoft.com/office/drawing/2014/main" id="{4E9C0093-4A96-9E7A-0E7E-9AD503AC85E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81" name="Shape 6">
            <a:extLst>
              <a:ext uri="{FF2B5EF4-FFF2-40B4-BE49-F238E27FC236}">
                <a16:creationId xmlns:a16="http://schemas.microsoft.com/office/drawing/2014/main" id="{28DA6E5D-D0ED-7161-7C98-487882E64A4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82" name="Shape 7">
            <a:extLst>
              <a:ext uri="{FF2B5EF4-FFF2-40B4-BE49-F238E27FC236}">
                <a16:creationId xmlns:a16="http://schemas.microsoft.com/office/drawing/2014/main" id="{59D90A82-0531-67B5-15A9-2E5210FC0CB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83" name="Shape 8">
            <a:extLst>
              <a:ext uri="{FF2B5EF4-FFF2-40B4-BE49-F238E27FC236}">
                <a16:creationId xmlns:a16="http://schemas.microsoft.com/office/drawing/2014/main" id="{501D98DA-EE0C-0018-B168-F7A26B2BC72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84" name="Shape 9">
            <a:extLst>
              <a:ext uri="{FF2B5EF4-FFF2-40B4-BE49-F238E27FC236}">
                <a16:creationId xmlns:a16="http://schemas.microsoft.com/office/drawing/2014/main" id="{4317B546-9755-22FC-9C3D-F813842F5E5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85" name="Shape 10">
            <a:extLst>
              <a:ext uri="{FF2B5EF4-FFF2-40B4-BE49-F238E27FC236}">
                <a16:creationId xmlns:a16="http://schemas.microsoft.com/office/drawing/2014/main" id="{DA285FF7-4333-B916-A1D7-47517D3FCA9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86" name="Shape 11">
            <a:extLst>
              <a:ext uri="{FF2B5EF4-FFF2-40B4-BE49-F238E27FC236}">
                <a16:creationId xmlns:a16="http://schemas.microsoft.com/office/drawing/2014/main" id="{6BDF014D-E2E3-DF1C-7266-8AAA1D36192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87" name="Shape 12">
            <a:extLst>
              <a:ext uri="{FF2B5EF4-FFF2-40B4-BE49-F238E27FC236}">
                <a16:creationId xmlns:a16="http://schemas.microsoft.com/office/drawing/2014/main" id="{B7389CD4-1B25-C48C-ED1E-CD54C1691F9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88" name="Shape 13">
            <a:extLst>
              <a:ext uri="{FF2B5EF4-FFF2-40B4-BE49-F238E27FC236}">
                <a16:creationId xmlns:a16="http://schemas.microsoft.com/office/drawing/2014/main" id="{6D81F421-93C4-6DDB-0690-3D0740812F4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89" name="Shape 14">
            <a:extLst>
              <a:ext uri="{FF2B5EF4-FFF2-40B4-BE49-F238E27FC236}">
                <a16:creationId xmlns:a16="http://schemas.microsoft.com/office/drawing/2014/main" id="{BC1FE8A3-BC9E-10E5-0F64-4EB2CBC982D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90" name="Shape 15">
            <a:extLst>
              <a:ext uri="{FF2B5EF4-FFF2-40B4-BE49-F238E27FC236}">
                <a16:creationId xmlns:a16="http://schemas.microsoft.com/office/drawing/2014/main" id="{1C0ACE07-6167-0CDC-6185-B14750AE8EF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91" name="Shape 16">
            <a:extLst>
              <a:ext uri="{FF2B5EF4-FFF2-40B4-BE49-F238E27FC236}">
                <a16:creationId xmlns:a16="http://schemas.microsoft.com/office/drawing/2014/main" id="{B7D64D1F-8818-FCAB-72B4-CF60A161F6A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559</xdr:row>
      <xdr:rowOff>3246</xdr:rowOff>
    </xdr:from>
    <xdr:ext cx="33655" cy="33655"/>
    <xdr:grpSp>
      <xdr:nvGrpSpPr>
        <xdr:cNvPr id="3792" name="Group 17">
          <a:extLst>
            <a:ext uri="{FF2B5EF4-FFF2-40B4-BE49-F238E27FC236}">
              <a16:creationId xmlns:a16="http://schemas.microsoft.com/office/drawing/2014/main" id="{A530E4FF-30F6-4114-A68F-091A242044C1}"/>
            </a:ext>
          </a:extLst>
        </xdr:cNvPr>
        <xdr:cNvGrpSpPr/>
      </xdr:nvGrpSpPr>
      <xdr:grpSpPr>
        <a:xfrm>
          <a:off x="4603072" y="104484689"/>
          <a:ext cx="33655" cy="33655"/>
          <a:chOff x="0" y="0"/>
          <a:chExt cx="33655" cy="33655"/>
        </a:xfrm>
      </xdr:grpSpPr>
      <xdr:sp macro="" textlink="">
        <xdr:nvSpPr>
          <xdr:cNvPr id="3793" name="Shape 18">
            <a:extLst>
              <a:ext uri="{FF2B5EF4-FFF2-40B4-BE49-F238E27FC236}">
                <a16:creationId xmlns:a16="http://schemas.microsoft.com/office/drawing/2014/main" id="{0D9223D4-AFCB-4791-BD24-EE8866C8245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94" name="Shape 19">
            <a:extLst>
              <a:ext uri="{FF2B5EF4-FFF2-40B4-BE49-F238E27FC236}">
                <a16:creationId xmlns:a16="http://schemas.microsoft.com/office/drawing/2014/main" id="{14F62DD7-1A28-57C3-CD10-9B95CE9FC68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95" name="Shape 20">
            <a:extLst>
              <a:ext uri="{FF2B5EF4-FFF2-40B4-BE49-F238E27FC236}">
                <a16:creationId xmlns:a16="http://schemas.microsoft.com/office/drawing/2014/main" id="{8730E7A7-D842-4F57-9B0A-6C44C2ABECE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96" name="Shape 21">
            <a:extLst>
              <a:ext uri="{FF2B5EF4-FFF2-40B4-BE49-F238E27FC236}">
                <a16:creationId xmlns:a16="http://schemas.microsoft.com/office/drawing/2014/main" id="{5DD82480-2F76-B22A-29DC-F4E7D657EF7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97" name="Shape 22">
            <a:extLst>
              <a:ext uri="{FF2B5EF4-FFF2-40B4-BE49-F238E27FC236}">
                <a16:creationId xmlns:a16="http://schemas.microsoft.com/office/drawing/2014/main" id="{CA36B2FF-70F5-C643-6AEF-E669D781592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798" name="Shape 23">
            <a:extLst>
              <a:ext uri="{FF2B5EF4-FFF2-40B4-BE49-F238E27FC236}">
                <a16:creationId xmlns:a16="http://schemas.microsoft.com/office/drawing/2014/main" id="{B4E7C33F-D060-2157-FE6B-02C1ED94EDA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799" name="Shape 24">
            <a:extLst>
              <a:ext uri="{FF2B5EF4-FFF2-40B4-BE49-F238E27FC236}">
                <a16:creationId xmlns:a16="http://schemas.microsoft.com/office/drawing/2014/main" id="{22318AB0-52F7-CF78-731D-1BC0FAB706A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00" name="Shape 25">
            <a:extLst>
              <a:ext uri="{FF2B5EF4-FFF2-40B4-BE49-F238E27FC236}">
                <a16:creationId xmlns:a16="http://schemas.microsoft.com/office/drawing/2014/main" id="{199BA49E-C32D-CE42-4EB5-59A2E54C83A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01" name="Shape 26">
            <a:extLst>
              <a:ext uri="{FF2B5EF4-FFF2-40B4-BE49-F238E27FC236}">
                <a16:creationId xmlns:a16="http://schemas.microsoft.com/office/drawing/2014/main" id="{57E3CEFB-0CCD-9900-A27C-BE270B292AD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02" name="Shape 27">
            <a:extLst>
              <a:ext uri="{FF2B5EF4-FFF2-40B4-BE49-F238E27FC236}">
                <a16:creationId xmlns:a16="http://schemas.microsoft.com/office/drawing/2014/main" id="{98F975D8-9794-8A13-47D5-D4741E5911A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03" name="Shape 28">
            <a:extLst>
              <a:ext uri="{FF2B5EF4-FFF2-40B4-BE49-F238E27FC236}">
                <a16:creationId xmlns:a16="http://schemas.microsoft.com/office/drawing/2014/main" id="{F5BD9CBE-2253-94B8-F171-74006912C1B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04" name="Shape 29">
            <a:extLst>
              <a:ext uri="{FF2B5EF4-FFF2-40B4-BE49-F238E27FC236}">
                <a16:creationId xmlns:a16="http://schemas.microsoft.com/office/drawing/2014/main" id="{CFFAE4A2-FD34-3BB1-6B0B-08C824F086F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05" name="Shape 30">
            <a:extLst>
              <a:ext uri="{FF2B5EF4-FFF2-40B4-BE49-F238E27FC236}">
                <a16:creationId xmlns:a16="http://schemas.microsoft.com/office/drawing/2014/main" id="{814169AD-B814-71BB-E72E-E19DE043D0D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06" name="Shape 31">
            <a:extLst>
              <a:ext uri="{FF2B5EF4-FFF2-40B4-BE49-F238E27FC236}">
                <a16:creationId xmlns:a16="http://schemas.microsoft.com/office/drawing/2014/main" id="{792D4491-0653-B6D7-2051-CCCF320F860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559</xdr:row>
      <xdr:rowOff>3703</xdr:rowOff>
    </xdr:from>
    <xdr:ext cx="33655" cy="33655"/>
    <xdr:grpSp>
      <xdr:nvGrpSpPr>
        <xdr:cNvPr id="3807" name="Group 32">
          <a:extLst>
            <a:ext uri="{FF2B5EF4-FFF2-40B4-BE49-F238E27FC236}">
              <a16:creationId xmlns:a16="http://schemas.microsoft.com/office/drawing/2014/main" id="{AAB8A2E0-68E1-49E7-AD17-9947D0747F81}"/>
            </a:ext>
          </a:extLst>
        </xdr:cNvPr>
        <xdr:cNvGrpSpPr/>
      </xdr:nvGrpSpPr>
      <xdr:grpSpPr>
        <a:xfrm>
          <a:off x="4603072" y="104485146"/>
          <a:ext cx="33655" cy="33655"/>
          <a:chOff x="0" y="0"/>
          <a:chExt cx="33655" cy="33655"/>
        </a:xfrm>
      </xdr:grpSpPr>
      <xdr:sp macro="" textlink="">
        <xdr:nvSpPr>
          <xdr:cNvPr id="3808" name="Shape 33">
            <a:extLst>
              <a:ext uri="{FF2B5EF4-FFF2-40B4-BE49-F238E27FC236}">
                <a16:creationId xmlns:a16="http://schemas.microsoft.com/office/drawing/2014/main" id="{151DA2AA-6671-E9D2-F4B8-1D1B4CA6AB1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09" name="Shape 34">
            <a:extLst>
              <a:ext uri="{FF2B5EF4-FFF2-40B4-BE49-F238E27FC236}">
                <a16:creationId xmlns:a16="http://schemas.microsoft.com/office/drawing/2014/main" id="{469DFECA-4247-9294-A272-B47527578F2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10" name="Shape 35">
            <a:extLst>
              <a:ext uri="{FF2B5EF4-FFF2-40B4-BE49-F238E27FC236}">
                <a16:creationId xmlns:a16="http://schemas.microsoft.com/office/drawing/2014/main" id="{E33A4D2E-4038-B79C-75F9-22EB66B051D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11" name="Shape 36">
            <a:extLst>
              <a:ext uri="{FF2B5EF4-FFF2-40B4-BE49-F238E27FC236}">
                <a16:creationId xmlns:a16="http://schemas.microsoft.com/office/drawing/2014/main" id="{F654F7B9-7E1B-9FE9-1B55-3EAE48DEA86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12" name="Shape 37">
            <a:extLst>
              <a:ext uri="{FF2B5EF4-FFF2-40B4-BE49-F238E27FC236}">
                <a16:creationId xmlns:a16="http://schemas.microsoft.com/office/drawing/2014/main" id="{8B71D9FE-2462-84DA-9E2A-B9484BFF11F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13" name="Shape 38">
            <a:extLst>
              <a:ext uri="{FF2B5EF4-FFF2-40B4-BE49-F238E27FC236}">
                <a16:creationId xmlns:a16="http://schemas.microsoft.com/office/drawing/2014/main" id="{D9B6636C-D38D-1427-04BE-78701D14AE7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14" name="Shape 39">
            <a:extLst>
              <a:ext uri="{FF2B5EF4-FFF2-40B4-BE49-F238E27FC236}">
                <a16:creationId xmlns:a16="http://schemas.microsoft.com/office/drawing/2014/main" id="{334720C7-81C9-4536-BA13-75CBE0CC806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15" name="Shape 40">
            <a:extLst>
              <a:ext uri="{FF2B5EF4-FFF2-40B4-BE49-F238E27FC236}">
                <a16:creationId xmlns:a16="http://schemas.microsoft.com/office/drawing/2014/main" id="{329EC99F-EDB1-EE0E-27A6-60B9F3E51A4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16" name="Shape 41">
            <a:extLst>
              <a:ext uri="{FF2B5EF4-FFF2-40B4-BE49-F238E27FC236}">
                <a16:creationId xmlns:a16="http://schemas.microsoft.com/office/drawing/2014/main" id="{21999B54-FBC7-C3DC-AC8D-17D52D1689A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17" name="Shape 42">
            <a:extLst>
              <a:ext uri="{FF2B5EF4-FFF2-40B4-BE49-F238E27FC236}">
                <a16:creationId xmlns:a16="http://schemas.microsoft.com/office/drawing/2014/main" id="{75EAC167-47E7-FEF8-5FF9-BB36EA51BC2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18" name="Shape 43">
            <a:extLst>
              <a:ext uri="{FF2B5EF4-FFF2-40B4-BE49-F238E27FC236}">
                <a16:creationId xmlns:a16="http://schemas.microsoft.com/office/drawing/2014/main" id="{A7BED998-3FBB-B6A2-5BA6-7336C4885D8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19" name="Shape 44">
            <a:extLst>
              <a:ext uri="{FF2B5EF4-FFF2-40B4-BE49-F238E27FC236}">
                <a16:creationId xmlns:a16="http://schemas.microsoft.com/office/drawing/2014/main" id="{920128A5-D0C0-B333-538D-DCE09BC0BEA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20" name="Shape 45">
            <a:extLst>
              <a:ext uri="{FF2B5EF4-FFF2-40B4-BE49-F238E27FC236}">
                <a16:creationId xmlns:a16="http://schemas.microsoft.com/office/drawing/2014/main" id="{E138BAE8-7DBE-1B5D-0518-01E73AFA224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21" name="Shape 46">
            <a:extLst>
              <a:ext uri="{FF2B5EF4-FFF2-40B4-BE49-F238E27FC236}">
                <a16:creationId xmlns:a16="http://schemas.microsoft.com/office/drawing/2014/main" id="{8C0CF1E6-6F57-D0D2-27A3-E7C61662814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559</xdr:row>
      <xdr:rowOff>3409</xdr:rowOff>
    </xdr:from>
    <xdr:ext cx="33655" cy="33655"/>
    <xdr:grpSp>
      <xdr:nvGrpSpPr>
        <xdr:cNvPr id="3822" name="Group 47">
          <a:extLst>
            <a:ext uri="{FF2B5EF4-FFF2-40B4-BE49-F238E27FC236}">
              <a16:creationId xmlns:a16="http://schemas.microsoft.com/office/drawing/2014/main" id="{8B395872-26FC-447D-AD6F-DFF1D6E43D42}"/>
            </a:ext>
          </a:extLst>
        </xdr:cNvPr>
        <xdr:cNvGrpSpPr/>
      </xdr:nvGrpSpPr>
      <xdr:grpSpPr>
        <a:xfrm>
          <a:off x="4603072" y="104484852"/>
          <a:ext cx="33655" cy="33655"/>
          <a:chOff x="0" y="0"/>
          <a:chExt cx="33655" cy="33655"/>
        </a:xfrm>
      </xdr:grpSpPr>
      <xdr:sp macro="" textlink="">
        <xdr:nvSpPr>
          <xdr:cNvPr id="3823" name="Shape 48">
            <a:extLst>
              <a:ext uri="{FF2B5EF4-FFF2-40B4-BE49-F238E27FC236}">
                <a16:creationId xmlns:a16="http://schemas.microsoft.com/office/drawing/2014/main" id="{F63B6464-4DC2-7CFE-62BE-B5B7C914C93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24" name="Shape 49">
            <a:extLst>
              <a:ext uri="{FF2B5EF4-FFF2-40B4-BE49-F238E27FC236}">
                <a16:creationId xmlns:a16="http://schemas.microsoft.com/office/drawing/2014/main" id="{731F4ACF-F5B6-10F3-85A3-D154EC2C12A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25" name="Shape 50">
            <a:extLst>
              <a:ext uri="{FF2B5EF4-FFF2-40B4-BE49-F238E27FC236}">
                <a16:creationId xmlns:a16="http://schemas.microsoft.com/office/drawing/2014/main" id="{2A9CD866-5F15-3C6E-47CF-D71A42F4739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26" name="Shape 51">
            <a:extLst>
              <a:ext uri="{FF2B5EF4-FFF2-40B4-BE49-F238E27FC236}">
                <a16:creationId xmlns:a16="http://schemas.microsoft.com/office/drawing/2014/main" id="{164A2BC5-5B99-AB51-29A7-74D4A0E7A84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27" name="Shape 52">
            <a:extLst>
              <a:ext uri="{FF2B5EF4-FFF2-40B4-BE49-F238E27FC236}">
                <a16:creationId xmlns:a16="http://schemas.microsoft.com/office/drawing/2014/main" id="{1DC52A1B-CC35-CD85-DB2F-10C847E80BC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28" name="Shape 53">
            <a:extLst>
              <a:ext uri="{FF2B5EF4-FFF2-40B4-BE49-F238E27FC236}">
                <a16:creationId xmlns:a16="http://schemas.microsoft.com/office/drawing/2014/main" id="{92E72627-627C-95DD-EF64-B4607A0C2E5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29" name="Shape 54">
            <a:extLst>
              <a:ext uri="{FF2B5EF4-FFF2-40B4-BE49-F238E27FC236}">
                <a16:creationId xmlns:a16="http://schemas.microsoft.com/office/drawing/2014/main" id="{30C34D73-FC20-4DEB-E9EC-AFCE952C54E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30" name="Shape 55">
            <a:extLst>
              <a:ext uri="{FF2B5EF4-FFF2-40B4-BE49-F238E27FC236}">
                <a16:creationId xmlns:a16="http://schemas.microsoft.com/office/drawing/2014/main" id="{20C71E93-EF3B-AF24-CD57-CA87E63EF07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31" name="Shape 56">
            <a:extLst>
              <a:ext uri="{FF2B5EF4-FFF2-40B4-BE49-F238E27FC236}">
                <a16:creationId xmlns:a16="http://schemas.microsoft.com/office/drawing/2014/main" id="{DEFE4C2C-77E9-2915-F6F6-A3E9EFD9A24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32" name="Shape 57">
            <a:extLst>
              <a:ext uri="{FF2B5EF4-FFF2-40B4-BE49-F238E27FC236}">
                <a16:creationId xmlns:a16="http://schemas.microsoft.com/office/drawing/2014/main" id="{647F908D-FD4E-9955-4A49-AE50DC9D7F5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33" name="Shape 58">
            <a:extLst>
              <a:ext uri="{FF2B5EF4-FFF2-40B4-BE49-F238E27FC236}">
                <a16:creationId xmlns:a16="http://schemas.microsoft.com/office/drawing/2014/main" id="{5AA42AE5-C930-C4FA-EAAC-F655E7DE14F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34" name="Shape 59">
            <a:extLst>
              <a:ext uri="{FF2B5EF4-FFF2-40B4-BE49-F238E27FC236}">
                <a16:creationId xmlns:a16="http://schemas.microsoft.com/office/drawing/2014/main" id="{F8AF8C19-3A0C-E3AC-7D83-A09699CCBCE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35" name="Shape 60">
            <a:extLst>
              <a:ext uri="{FF2B5EF4-FFF2-40B4-BE49-F238E27FC236}">
                <a16:creationId xmlns:a16="http://schemas.microsoft.com/office/drawing/2014/main" id="{BE4BDE33-264F-05B3-865C-FC0A5FECDDE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36" name="Shape 61">
            <a:extLst>
              <a:ext uri="{FF2B5EF4-FFF2-40B4-BE49-F238E27FC236}">
                <a16:creationId xmlns:a16="http://schemas.microsoft.com/office/drawing/2014/main" id="{869EE76D-5AFA-F5C9-F4CA-84A34327A68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559</xdr:row>
      <xdr:rowOff>3962</xdr:rowOff>
    </xdr:from>
    <xdr:ext cx="33655" cy="33655"/>
    <xdr:grpSp>
      <xdr:nvGrpSpPr>
        <xdr:cNvPr id="3837" name="Group 62">
          <a:extLst>
            <a:ext uri="{FF2B5EF4-FFF2-40B4-BE49-F238E27FC236}">
              <a16:creationId xmlns:a16="http://schemas.microsoft.com/office/drawing/2014/main" id="{ADEF061A-687B-4A43-8FFA-C4392A48476E}"/>
            </a:ext>
          </a:extLst>
        </xdr:cNvPr>
        <xdr:cNvGrpSpPr/>
      </xdr:nvGrpSpPr>
      <xdr:grpSpPr>
        <a:xfrm>
          <a:off x="4603072" y="104485405"/>
          <a:ext cx="33655" cy="33655"/>
          <a:chOff x="0" y="0"/>
          <a:chExt cx="33655" cy="33655"/>
        </a:xfrm>
      </xdr:grpSpPr>
      <xdr:sp macro="" textlink="">
        <xdr:nvSpPr>
          <xdr:cNvPr id="3838" name="Shape 63">
            <a:extLst>
              <a:ext uri="{FF2B5EF4-FFF2-40B4-BE49-F238E27FC236}">
                <a16:creationId xmlns:a16="http://schemas.microsoft.com/office/drawing/2014/main" id="{C2BB3535-5FEE-2DF3-EE82-59BB9965528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39" name="Shape 64">
            <a:extLst>
              <a:ext uri="{FF2B5EF4-FFF2-40B4-BE49-F238E27FC236}">
                <a16:creationId xmlns:a16="http://schemas.microsoft.com/office/drawing/2014/main" id="{717ED076-433C-D839-6995-B6B42A4CB1C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840" name="Shape 65">
            <a:extLst>
              <a:ext uri="{FF2B5EF4-FFF2-40B4-BE49-F238E27FC236}">
                <a16:creationId xmlns:a16="http://schemas.microsoft.com/office/drawing/2014/main" id="{6693E03C-7177-B2BD-47CF-775C9053366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41" name="Shape 66">
            <a:extLst>
              <a:ext uri="{FF2B5EF4-FFF2-40B4-BE49-F238E27FC236}">
                <a16:creationId xmlns:a16="http://schemas.microsoft.com/office/drawing/2014/main" id="{344544FB-0563-E567-48C5-86C81AA9F14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842" name="Shape 67">
            <a:extLst>
              <a:ext uri="{FF2B5EF4-FFF2-40B4-BE49-F238E27FC236}">
                <a16:creationId xmlns:a16="http://schemas.microsoft.com/office/drawing/2014/main" id="{7797F6C9-2514-C560-99D4-24991C153D6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43" name="Shape 68">
            <a:extLst>
              <a:ext uri="{FF2B5EF4-FFF2-40B4-BE49-F238E27FC236}">
                <a16:creationId xmlns:a16="http://schemas.microsoft.com/office/drawing/2014/main" id="{CA779EBB-8BE9-01AE-8FE3-8F3A85E913C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844" name="Shape 69">
            <a:extLst>
              <a:ext uri="{FF2B5EF4-FFF2-40B4-BE49-F238E27FC236}">
                <a16:creationId xmlns:a16="http://schemas.microsoft.com/office/drawing/2014/main" id="{CA6DE137-0D6E-D38D-76EE-D6F5948F918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45" name="Shape 70">
            <a:extLst>
              <a:ext uri="{FF2B5EF4-FFF2-40B4-BE49-F238E27FC236}">
                <a16:creationId xmlns:a16="http://schemas.microsoft.com/office/drawing/2014/main" id="{95A491B4-AEB3-E182-F10B-594CF46F301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846" name="Shape 71">
            <a:extLst>
              <a:ext uri="{FF2B5EF4-FFF2-40B4-BE49-F238E27FC236}">
                <a16:creationId xmlns:a16="http://schemas.microsoft.com/office/drawing/2014/main" id="{264377EC-7612-C8DC-A1D0-639F5B36BCA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47" name="Shape 72">
            <a:extLst>
              <a:ext uri="{FF2B5EF4-FFF2-40B4-BE49-F238E27FC236}">
                <a16:creationId xmlns:a16="http://schemas.microsoft.com/office/drawing/2014/main" id="{158D6892-86CD-480D-8078-595F96F8A33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848" name="Shape 73">
            <a:extLst>
              <a:ext uri="{FF2B5EF4-FFF2-40B4-BE49-F238E27FC236}">
                <a16:creationId xmlns:a16="http://schemas.microsoft.com/office/drawing/2014/main" id="{41D256AF-6974-1E0C-00B0-FD3EE5A1CEE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49" name="Shape 74">
            <a:extLst>
              <a:ext uri="{FF2B5EF4-FFF2-40B4-BE49-F238E27FC236}">
                <a16:creationId xmlns:a16="http://schemas.microsoft.com/office/drawing/2014/main" id="{A26FDA7D-D7B0-AA50-C4A6-6B2DFD26BB5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850" name="Shape 75">
            <a:extLst>
              <a:ext uri="{FF2B5EF4-FFF2-40B4-BE49-F238E27FC236}">
                <a16:creationId xmlns:a16="http://schemas.microsoft.com/office/drawing/2014/main" id="{1FDA793D-6EAE-7DFD-FDA7-4EDB2BA46BC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851" name="Shape 76">
            <a:extLst>
              <a:ext uri="{FF2B5EF4-FFF2-40B4-BE49-F238E27FC236}">
                <a16:creationId xmlns:a16="http://schemas.microsoft.com/office/drawing/2014/main" id="{3EC3F1DE-D36B-6B0F-12CB-1D0E488682B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559</xdr:row>
      <xdr:rowOff>2978</xdr:rowOff>
    </xdr:from>
    <xdr:ext cx="33655" cy="33655"/>
    <xdr:grpSp>
      <xdr:nvGrpSpPr>
        <xdr:cNvPr id="3852" name="Group 2">
          <a:extLst>
            <a:ext uri="{FF2B5EF4-FFF2-40B4-BE49-F238E27FC236}">
              <a16:creationId xmlns:a16="http://schemas.microsoft.com/office/drawing/2014/main" id="{27115135-BF19-43E2-8F5A-E8E089664AEB}"/>
            </a:ext>
          </a:extLst>
        </xdr:cNvPr>
        <xdr:cNvGrpSpPr/>
      </xdr:nvGrpSpPr>
      <xdr:grpSpPr>
        <a:xfrm>
          <a:off x="4603072" y="104484421"/>
          <a:ext cx="33655" cy="33655"/>
          <a:chOff x="0" y="0"/>
          <a:chExt cx="33655" cy="33655"/>
        </a:xfrm>
      </xdr:grpSpPr>
      <xdr:sp macro="" textlink="">
        <xdr:nvSpPr>
          <xdr:cNvPr id="3853" name="Shape 3">
            <a:extLst>
              <a:ext uri="{FF2B5EF4-FFF2-40B4-BE49-F238E27FC236}">
                <a16:creationId xmlns:a16="http://schemas.microsoft.com/office/drawing/2014/main" id="{6CEB424E-B96A-2D4A-FFBE-3876DD06682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54" name="Shape 4">
            <a:extLst>
              <a:ext uri="{FF2B5EF4-FFF2-40B4-BE49-F238E27FC236}">
                <a16:creationId xmlns:a16="http://schemas.microsoft.com/office/drawing/2014/main" id="{3298DBE3-5722-2A1C-4E73-C718EF20EDD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55" name="Shape 5">
            <a:extLst>
              <a:ext uri="{FF2B5EF4-FFF2-40B4-BE49-F238E27FC236}">
                <a16:creationId xmlns:a16="http://schemas.microsoft.com/office/drawing/2014/main" id="{172CAD08-C3D0-3523-65EC-61DB8B804A9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56" name="Shape 6">
            <a:extLst>
              <a:ext uri="{FF2B5EF4-FFF2-40B4-BE49-F238E27FC236}">
                <a16:creationId xmlns:a16="http://schemas.microsoft.com/office/drawing/2014/main" id="{A8E06ECC-0C02-6AA0-4EC8-942B381FF13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57" name="Shape 7">
            <a:extLst>
              <a:ext uri="{FF2B5EF4-FFF2-40B4-BE49-F238E27FC236}">
                <a16:creationId xmlns:a16="http://schemas.microsoft.com/office/drawing/2014/main" id="{EC46FDCE-40D7-E272-4629-53CD5539E5A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58" name="Shape 8">
            <a:extLst>
              <a:ext uri="{FF2B5EF4-FFF2-40B4-BE49-F238E27FC236}">
                <a16:creationId xmlns:a16="http://schemas.microsoft.com/office/drawing/2014/main" id="{BF9E7AF8-52BC-0B80-BEE0-7F771935EB5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59" name="Shape 9">
            <a:extLst>
              <a:ext uri="{FF2B5EF4-FFF2-40B4-BE49-F238E27FC236}">
                <a16:creationId xmlns:a16="http://schemas.microsoft.com/office/drawing/2014/main" id="{A25C0362-89A6-3566-92EC-3D9C63665FC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60" name="Shape 10">
            <a:extLst>
              <a:ext uri="{FF2B5EF4-FFF2-40B4-BE49-F238E27FC236}">
                <a16:creationId xmlns:a16="http://schemas.microsoft.com/office/drawing/2014/main" id="{8949383A-4F42-6720-B246-737C7C9E703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61" name="Shape 11">
            <a:extLst>
              <a:ext uri="{FF2B5EF4-FFF2-40B4-BE49-F238E27FC236}">
                <a16:creationId xmlns:a16="http://schemas.microsoft.com/office/drawing/2014/main" id="{7D625F20-DA4E-9C9D-C8DB-F193FF7ADB0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62" name="Shape 12">
            <a:extLst>
              <a:ext uri="{FF2B5EF4-FFF2-40B4-BE49-F238E27FC236}">
                <a16:creationId xmlns:a16="http://schemas.microsoft.com/office/drawing/2014/main" id="{FC5F083F-CB57-181C-5AC1-C9DAFA8C217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63" name="Shape 13">
            <a:extLst>
              <a:ext uri="{FF2B5EF4-FFF2-40B4-BE49-F238E27FC236}">
                <a16:creationId xmlns:a16="http://schemas.microsoft.com/office/drawing/2014/main" id="{B661A298-3B84-342D-C1F0-4DFB361F087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64" name="Shape 14">
            <a:extLst>
              <a:ext uri="{FF2B5EF4-FFF2-40B4-BE49-F238E27FC236}">
                <a16:creationId xmlns:a16="http://schemas.microsoft.com/office/drawing/2014/main" id="{13A7A530-4B00-6DEC-749A-B616871A52B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65" name="Shape 15">
            <a:extLst>
              <a:ext uri="{FF2B5EF4-FFF2-40B4-BE49-F238E27FC236}">
                <a16:creationId xmlns:a16="http://schemas.microsoft.com/office/drawing/2014/main" id="{FF5ADE88-969F-0D5C-DA96-1A04CE7A18A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66" name="Shape 16">
            <a:extLst>
              <a:ext uri="{FF2B5EF4-FFF2-40B4-BE49-F238E27FC236}">
                <a16:creationId xmlns:a16="http://schemas.microsoft.com/office/drawing/2014/main" id="{66F36107-1029-9776-CB12-FD28A65CD32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559</xdr:row>
      <xdr:rowOff>3246</xdr:rowOff>
    </xdr:from>
    <xdr:ext cx="33655" cy="33655"/>
    <xdr:grpSp>
      <xdr:nvGrpSpPr>
        <xdr:cNvPr id="3867" name="Group 17">
          <a:extLst>
            <a:ext uri="{FF2B5EF4-FFF2-40B4-BE49-F238E27FC236}">
              <a16:creationId xmlns:a16="http://schemas.microsoft.com/office/drawing/2014/main" id="{FD4B75D8-033A-43BE-9C09-8786EF4E0AB0}"/>
            </a:ext>
          </a:extLst>
        </xdr:cNvPr>
        <xdr:cNvGrpSpPr/>
      </xdr:nvGrpSpPr>
      <xdr:grpSpPr>
        <a:xfrm>
          <a:off x="4603072" y="104484689"/>
          <a:ext cx="33655" cy="33655"/>
          <a:chOff x="0" y="0"/>
          <a:chExt cx="33655" cy="33655"/>
        </a:xfrm>
      </xdr:grpSpPr>
      <xdr:sp macro="" textlink="">
        <xdr:nvSpPr>
          <xdr:cNvPr id="3868" name="Shape 18">
            <a:extLst>
              <a:ext uri="{FF2B5EF4-FFF2-40B4-BE49-F238E27FC236}">
                <a16:creationId xmlns:a16="http://schemas.microsoft.com/office/drawing/2014/main" id="{2DB9D960-4DF5-7430-501B-62B9BD4BF29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69" name="Shape 19">
            <a:extLst>
              <a:ext uri="{FF2B5EF4-FFF2-40B4-BE49-F238E27FC236}">
                <a16:creationId xmlns:a16="http://schemas.microsoft.com/office/drawing/2014/main" id="{2C37E8DF-6366-4CFF-1454-AE39A6B4A06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70" name="Shape 20">
            <a:extLst>
              <a:ext uri="{FF2B5EF4-FFF2-40B4-BE49-F238E27FC236}">
                <a16:creationId xmlns:a16="http://schemas.microsoft.com/office/drawing/2014/main" id="{686D7506-C3B5-396F-886A-777F25442AF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71" name="Shape 21">
            <a:extLst>
              <a:ext uri="{FF2B5EF4-FFF2-40B4-BE49-F238E27FC236}">
                <a16:creationId xmlns:a16="http://schemas.microsoft.com/office/drawing/2014/main" id="{3E70E5F0-08DE-6A65-823A-5279E576203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72" name="Shape 22">
            <a:extLst>
              <a:ext uri="{FF2B5EF4-FFF2-40B4-BE49-F238E27FC236}">
                <a16:creationId xmlns:a16="http://schemas.microsoft.com/office/drawing/2014/main" id="{07F1AE14-1F12-F614-123B-758231AE2EA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73" name="Shape 23">
            <a:extLst>
              <a:ext uri="{FF2B5EF4-FFF2-40B4-BE49-F238E27FC236}">
                <a16:creationId xmlns:a16="http://schemas.microsoft.com/office/drawing/2014/main" id="{EC586624-9B96-2437-07AC-EA6E698383D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74" name="Shape 24">
            <a:extLst>
              <a:ext uri="{FF2B5EF4-FFF2-40B4-BE49-F238E27FC236}">
                <a16:creationId xmlns:a16="http://schemas.microsoft.com/office/drawing/2014/main" id="{131A83C3-CA00-68EF-BCB7-2C398D44C0A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75" name="Shape 25">
            <a:extLst>
              <a:ext uri="{FF2B5EF4-FFF2-40B4-BE49-F238E27FC236}">
                <a16:creationId xmlns:a16="http://schemas.microsoft.com/office/drawing/2014/main" id="{55A857A2-0596-3C18-D5C9-5314AB4C3A5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76" name="Shape 26">
            <a:extLst>
              <a:ext uri="{FF2B5EF4-FFF2-40B4-BE49-F238E27FC236}">
                <a16:creationId xmlns:a16="http://schemas.microsoft.com/office/drawing/2014/main" id="{5D19EF6A-8564-AA52-2B60-04C137F5855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77" name="Shape 27">
            <a:extLst>
              <a:ext uri="{FF2B5EF4-FFF2-40B4-BE49-F238E27FC236}">
                <a16:creationId xmlns:a16="http://schemas.microsoft.com/office/drawing/2014/main" id="{A80BEF20-B3B6-7DDD-A4F9-173435975C3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78" name="Shape 28">
            <a:extLst>
              <a:ext uri="{FF2B5EF4-FFF2-40B4-BE49-F238E27FC236}">
                <a16:creationId xmlns:a16="http://schemas.microsoft.com/office/drawing/2014/main" id="{0EFE8F1C-A84A-3364-84F9-60198D7CB7F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79" name="Shape 29">
            <a:extLst>
              <a:ext uri="{FF2B5EF4-FFF2-40B4-BE49-F238E27FC236}">
                <a16:creationId xmlns:a16="http://schemas.microsoft.com/office/drawing/2014/main" id="{EA1FE0F2-CE54-51D3-806E-721442D6F42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80" name="Shape 30">
            <a:extLst>
              <a:ext uri="{FF2B5EF4-FFF2-40B4-BE49-F238E27FC236}">
                <a16:creationId xmlns:a16="http://schemas.microsoft.com/office/drawing/2014/main" id="{77ED637C-9256-DDB0-FE23-28D0C53C912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81" name="Shape 31">
            <a:extLst>
              <a:ext uri="{FF2B5EF4-FFF2-40B4-BE49-F238E27FC236}">
                <a16:creationId xmlns:a16="http://schemas.microsoft.com/office/drawing/2014/main" id="{932BC4F7-6161-08BD-F0E2-2FB6027A20F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559</xdr:row>
      <xdr:rowOff>3703</xdr:rowOff>
    </xdr:from>
    <xdr:ext cx="33655" cy="33655"/>
    <xdr:grpSp>
      <xdr:nvGrpSpPr>
        <xdr:cNvPr id="3882" name="Group 32">
          <a:extLst>
            <a:ext uri="{FF2B5EF4-FFF2-40B4-BE49-F238E27FC236}">
              <a16:creationId xmlns:a16="http://schemas.microsoft.com/office/drawing/2014/main" id="{4E475A9B-F185-44E2-9FDB-68B4DA6217BB}"/>
            </a:ext>
          </a:extLst>
        </xdr:cNvPr>
        <xdr:cNvGrpSpPr/>
      </xdr:nvGrpSpPr>
      <xdr:grpSpPr>
        <a:xfrm>
          <a:off x="4603072" y="104485146"/>
          <a:ext cx="33655" cy="33655"/>
          <a:chOff x="0" y="0"/>
          <a:chExt cx="33655" cy="33655"/>
        </a:xfrm>
      </xdr:grpSpPr>
      <xdr:sp macro="" textlink="">
        <xdr:nvSpPr>
          <xdr:cNvPr id="3883" name="Shape 33">
            <a:extLst>
              <a:ext uri="{FF2B5EF4-FFF2-40B4-BE49-F238E27FC236}">
                <a16:creationId xmlns:a16="http://schemas.microsoft.com/office/drawing/2014/main" id="{9558715F-E745-D7DE-2E28-7928AE3D908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84" name="Shape 34">
            <a:extLst>
              <a:ext uri="{FF2B5EF4-FFF2-40B4-BE49-F238E27FC236}">
                <a16:creationId xmlns:a16="http://schemas.microsoft.com/office/drawing/2014/main" id="{6347F1AD-4031-2ACB-8D0D-30B22A839AB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85" name="Shape 35">
            <a:extLst>
              <a:ext uri="{FF2B5EF4-FFF2-40B4-BE49-F238E27FC236}">
                <a16:creationId xmlns:a16="http://schemas.microsoft.com/office/drawing/2014/main" id="{96E670BA-6A9F-A63C-AE45-2AF723E7169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86" name="Shape 36">
            <a:extLst>
              <a:ext uri="{FF2B5EF4-FFF2-40B4-BE49-F238E27FC236}">
                <a16:creationId xmlns:a16="http://schemas.microsoft.com/office/drawing/2014/main" id="{9901C517-F4DD-EB92-272C-907F0FF8E7C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87" name="Shape 37">
            <a:extLst>
              <a:ext uri="{FF2B5EF4-FFF2-40B4-BE49-F238E27FC236}">
                <a16:creationId xmlns:a16="http://schemas.microsoft.com/office/drawing/2014/main" id="{E67CF5E6-A6B4-3177-2473-CBFD5471517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88" name="Shape 38">
            <a:extLst>
              <a:ext uri="{FF2B5EF4-FFF2-40B4-BE49-F238E27FC236}">
                <a16:creationId xmlns:a16="http://schemas.microsoft.com/office/drawing/2014/main" id="{C6CFDA96-8FB9-9804-A02F-7609FEBCCCD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89" name="Shape 39">
            <a:extLst>
              <a:ext uri="{FF2B5EF4-FFF2-40B4-BE49-F238E27FC236}">
                <a16:creationId xmlns:a16="http://schemas.microsoft.com/office/drawing/2014/main" id="{03F4C621-D624-38D1-3599-3A96A94EB0E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90" name="Shape 40">
            <a:extLst>
              <a:ext uri="{FF2B5EF4-FFF2-40B4-BE49-F238E27FC236}">
                <a16:creationId xmlns:a16="http://schemas.microsoft.com/office/drawing/2014/main" id="{86E2ABA9-FBF7-C8A3-ED56-0D2C2B23EC4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91" name="Shape 41">
            <a:extLst>
              <a:ext uri="{FF2B5EF4-FFF2-40B4-BE49-F238E27FC236}">
                <a16:creationId xmlns:a16="http://schemas.microsoft.com/office/drawing/2014/main" id="{15CC5810-DE16-EA64-90F8-841419B6940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92" name="Shape 42">
            <a:extLst>
              <a:ext uri="{FF2B5EF4-FFF2-40B4-BE49-F238E27FC236}">
                <a16:creationId xmlns:a16="http://schemas.microsoft.com/office/drawing/2014/main" id="{3CEB9263-C870-0C67-C1FA-2AC9B650549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93" name="Shape 43">
            <a:extLst>
              <a:ext uri="{FF2B5EF4-FFF2-40B4-BE49-F238E27FC236}">
                <a16:creationId xmlns:a16="http://schemas.microsoft.com/office/drawing/2014/main" id="{7E249E13-1471-3DA3-F4CB-7349677E9DB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94" name="Shape 44">
            <a:extLst>
              <a:ext uri="{FF2B5EF4-FFF2-40B4-BE49-F238E27FC236}">
                <a16:creationId xmlns:a16="http://schemas.microsoft.com/office/drawing/2014/main" id="{654A51C9-753C-E455-AC1E-CD1E3A93527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95" name="Shape 45">
            <a:extLst>
              <a:ext uri="{FF2B5EF4-FFF2-40B4-BE49-F238E27FC236}">
                <a16:creationId xmlns:a16="http://schemas.microsoft.com/office/drawing/2014/main" id="{F565A853-1D34-4A42-FC35-7BFDCAAC224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896" name="Shape 46">
            <a:extLst>
              <a:ext uri="{FF2B5EF4-FFF2-40B4-BE49-F238E27FC236}">
                <a16:creationId xmlns:a16="http://schemas.microsoft.com/office/drawing/2014/main" id="{A96AED02-4177-F95D-5219-6BF2591064E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559</xdr:row>
      <xdr:rowOff>3409</xdr:rowOff>
    </xdr:from>
    <xdr:ext cx="33655" cy="33655"/>
    <xdr:grpSp>
      <xdr:nvGrpSpPr>
        <xdr:cNvPr id="3897" name="Group 47">
          <a:extLst>
            <a:ext uri="{FF2B5EF4-FFF2-40B4-BE49-F238E27FC236}">
              <a16:creationId xmlns:a16="http://schemas.microsoft.com/office/drawing/2014/main" id="{2A637384-EDF2-47C7-AC9E-F050CB26535A}"/>
            </a:ext>
          </a:extLst>
        </xdr:cNvPr>
        <xdr:cNvGrpSpPr/>
      </xdr:nvGrpSpPr>
      <xdr:grpSpPr>
        <a:xfrm>
          <a:off x="4603072" y="104484852"/>
          <a:ext cx="33655" cy="33655"/>
          <a:chOff x="0" y="0"/>
          <a:chExt cx="33655" cy="33655"/>
        </a:xfrm>
      </xdr:grpSpPr>
      <xdr:sp macro="" textlink="">
        <xdr:nvSpPr>
          <xdr:cNvPr id="3898" name="Shape 48">
            <a:extLst>
              <a:ext uri="{FF2B5EF4-FFF2-40B4-BE49-F238E27FC236}">
                <a16:creationId xmlns:a16="http://schemas.microsoft.com/office/drawing/2014/main" id="{81C2134A-C4A7-3E00-A1BB-8929FC7268B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899" name="Shape 49">
            <a:extLst>
              <a:ext uri="{FF2B5EF4-FFF2-40B4-BE49-F238E27FC236}">
                <a16:creationId xmlns:a16="http://schemas.microsoft.com/office/drawing/2014/main" id="{5C86AF06-9358-4FCE-93C4-522EB0C4D14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00" name="Shape 50">
            <a:extLst>
              <a:ext uri="{FF2B5EF4-FFF2-40B4-BE49-F238E27FC236}">
                <a16:creationId xmlns:a16="http://schemas.microsoft.com/office/drawing/2014/main" id="{C539C327-F4F5-63A5-73BA-B732D93346B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01" name="Shape 51">
            <a:extLst>
              <a:ext uri="{FF2B5EF4-FFF2-40B4-BE49-F238E27FC236}">
                <a16:creationId xmlns:a16="http://schemas.microsoft.com/office/drawing/2014/main" id="{7F47F684-54B1-542A-7063-05781B34490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02" name="Shape 52">
            <a:extLst>
              <a:ext uri="{FF2B5EF4-FFF2-40B4-BE49-F238E27FC236}">
                <a16:creationId xmlns:a16="http://schemas.microsoft.com/office/drawing/2014/main" id="{0BADAC71-ED59-375A-0FE1-AD3BF321FB9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03" name="Shape 53">
            <a:extLst>
              <a:ext uri="{FF2B5EF4-FFF2-40B4-BE49-F238E27FC236}">
                <a16:creationId xmlns:a16="http://schemas.microsoft.com/office/drawing/2014/main" id="{12758D9F-81C7-62B8-93BE-F2CD10836E2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04" name="Shape 54">
            <a:extLst>
              <a:ext uri="{FF2B5EF4-FFF2-40B4-BE49-F238E27FC236}">
                <a16:creationId xmlns:a16="http://schemas.microsoft.com/office/drawing/2014/main" id="{A9F405D3-472D-0E6F-F8D0-88732B9DB6E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05" name="Shape 55">
            <a:extLst>
              <a:ext uri="{FF2B5EF4-FFF2-40B4-BE49-F238E27FC236}">
                <a16:creationId xmlns:a16="http://schemas.microsoft.com/office/drawing/2014/main" id="{B2E60419-1670-8418-2DD0-649FFAC0272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06" name="Shape 56">
            <a:extLst>
              <a:ext uri="{FF2B5EF4-FFF2-40B4-BE49-F238E27FC236}">
                <a16:creationId xmlns:a16="http://schemas.microsoft.com/office/drawing/2014/main" id="{1C15C24C-2106-CA3D-4BB6-706BFC23F9B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07" name="Shape 57">
            <a:extLst>
              <a:ext uri="{FF2B5EF4-FFF2-40B4-BE49-F238E27FC236}">
                <a16:creationId xmlns:a16="http://schemas.microsoft.com/office/drawing/2014/main" id="{767A792C-3125-C16B-E5EE-C0AA527D684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08" name="Shape 58">
            <a:extLst>
              <a:ext uri="{FF2B5EF4-FFF2-40B4-BE49-F238E27FC236}">
                <a16:creationId xmlns:a16="http://schemas.microsoft.com/office/drawing/2014/main" id="{573D62B9-FEA4-F631-8BBB-9EA2EC02203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09" name="Shape 59">
            <a:extLst>
              <a:ext uri="{FF2B5EF4-FFF2-40B4-BE49-F238E27FC236}">
                <a16:creationId xmlns:a16="http://schemas.microsoft.com/office/drawing/2014/main" id="{CAAA569F-50AB-345A-595A-599957D1C11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10" name="Shape 60">
            <a:extLst>
              <a:ext uri="{FF2B5EF4-FFF2-40B4-BE49-F238E27FC236}">
                <a16:creationId xmlns:a16="http://schemas.microsoft.com/office/drawing/2014/main" id="{F55C900A-FCC6-F8EA-32FE-D826031305F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11" name="Shape 61">
            <a:extLst>
              <a:ext uri="{FF2B5EF4-FFF2-40B4-BE49-F238E27FC236}">
                <a16:creationId xmlns:a16="http://schemas.microsoft.com/office/drawing/2014/main" id="{22BF7156-4E5F-2354-C00C-EE338E37029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559</xdr:row>
      <xdr:rowOff>3962</xdr:rowOff>
    </xdr:from>
    <xdr:ext cx="33655" cy="33655"/>
    <xdr:grpSp>
      <xdr:nvGrpSpPr>
        <xdr:cNvPr id="3912" name="Group 62">
          <a:extLst>
            <a:ext uri="{FF2B5EF4-FFF2-40B4-BE49-F238E27FC236}">
              <a16:creationId xmlns:a16="http://schemas.microsoft.com/office/drawing/2014/main" id="{9115E968-A52B-4C84-96EA-65573CAFDDB8}"/>
            </a:ext>
          </a:extLst>
        </xdr:cNvPr>
        <xdr:cNvGrpSpPr/>
      </xdr:nvGrpSpPr>
      <xdr:grpSpPr>
        <a:xfrm>
          <a:off x="4603072" y="104485405"/>
          <a:ext cx="33655" cy="33655"/>
          <a:chOff x="0" y="0"/>
          <a:chExt cx="33655" cy="33655"/>
        </a:xfrm>
      </xdr:grpSpPr>
      <xdr:sp macro="" textlink="">
        <xdr:nvSpPr>
          <xdr:cNvPr id="3913" name="Shape 63">
            <a:extLst>
              <a:ext uri="{FF2B5EF4-FFF2-40B4-BE49-F238E27FC236}">
                <a16:creationId xmlns:a16="http://schemas.microsoft.com/office/drawing/2014/main" id="{4C584C14-3049-EA02-CAE8-063DAD16665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14" name="Shape 64">
            <a:extLst>
              <a:ext uri="{FF2B5EF4-FFF2-40B4-BE49-F238E27FC236}">
                <a16:creationId xmlns:a16="http://schemas.microsoft.com/office/drawing/2014/main" id="{1EA90CBA-EE66-B2C6-BDA2-26ECD17A877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15" name="Shape 65">
            <a:extLst>
              <a:ext uri="{FF2B5EF4-FFF2-40B4-BE49-F238E27FC236}">
                <a16:creationId xmlns:a16="http://schemas.microsoft.com/office/drawing/2014/main" id="{D61377E4-20AD-6E58-B029-2E36D3375D8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16" name="Shape 66">
            <a:extLst>
              <a:ext uri="{FF2B5EF4-FFF2-40B4-BE49-F238E27FC236}">
                <a16:creationId xmlns:a16="http://schemas.microsoft.com/office/drawing/2014/main" id="{C8993782-B190-554E-E904-4F58FB6B684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17" name="Shape 67">
            <a:extLst>
              <a:ext uri="{FF2B5EF4-FFF2-40B4-BE49-F238E27FC236}">
                <a16:creationId xmlns:a16="http://schemas.microsoft.com/office/drawing/2014/main" id="{DB6A761E-0041-BE42-5722-E240BF2A27B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18" name="Shape 68">
            <a:extLst>
              <a:ext uri="{FF2B5EF4-FFF2-40B4-BE49-F238E27FC236}">
                <a16:creationId xmlns:a16="http://schemas.microsoft.com/office/drawing/2014/main" id="{FAE66B8B-C68B-A6FF-54AE-8CCF5AFFE87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19" name="Shape 69">
            <a:extLst>
              <a:ext uri="{FF2B5EF4-FFF2-40B4-BE49-F238E27FC236}">
                <a16:creationId xmlns:a16="http://schemas.microsoft.com/office/drawing/2014/main" id="{D2890C2E-21E8-95D8-A023-67D4B1C3AC2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20" name="Shape 70">
            <a:extLst>
              <a:ext uri="{FF2B5EF4-FFF2-40B4-BE49-F238E27FC236}">
                <a16:creationId xmlns:a16="http://schemas.microsoft.com/office/drawing/2014/main" id="{DB167468-8365-3F2B-2B8C-8A16F5EDEB3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21" name="Shape 71">
            <a:extLst>
              <a:ext uri="{FF2B5EF4-FFF2-40B4-BE49-F238E27FC236}">
                <a16:creationId xmlns:a16="http://schemas.microsoft.com/office/drawing/2014/main" id="{90018AA8-BD13-6BCF-4D7C-529FEF176C0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22" name="Shape 72">
            <a:extLst>
              <a:ext uri="{FF2B5EF4-FFF2-40B4-BE49-F238E27FC236}">
                <a16:creationId xmlns:a16="http://schemas.microsoft.com/office/drawing/2014/main" id="{949CDAD3-38C1-43F5-618E-A23A28DC828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23" name="Shape 73">
            <a:extLst>
              <a:ext uri="{FF2B5EF4-FFF2-40B4-BE49-F238E27FC236}">
                <a16:creationId xmlns:a16="http://schemas.microsoft.com/office/drawing/2014/main" id="{3E710EBF-75AC-0708-0E3A-6F7F8DE9C96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24" name="Shape 74">
            <a:extLst>
              <a:ext uri="{FF2B5EF4-FFF2-40B4-BE49-F238E27FC236}">
                <a16:creationId xmlns:a16="http://schemas.microsoft.com/office/drawing/2014/main" id="{DFC2A9C9-B292-561F-8120-25596FA6941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25" name="Shape 75">
            <a:extLst>
              <a:ext uri="{FF2B5EF4-FFF2-40B4-BE49-F238E27FC236}">
                <a16:creationId xmlns:a16="http://schemas.microsoft.com/office/drawing/2014/main" id="{E5573973-A798-F6F9-473D-424587459A2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26" name="Shape 76">
            <a:extLst>
              <a:ext uri="{FF2B5EF4-FFF2-40B4-BE49-F238E27FC236}">
                <a16:creationId xmlns:a16="http://schemas.microsoft.com/office/drawing/2014/main" id="{8B9B36DA-F5A4-2A4B-C4B6-9BCFA9CA32E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572</xdr:row>
      <xdr:rowOff>2978</xdr:rowOff>
    </xdr:from>
    <xdr:ext cx="33655" cy="33655"/>
    <xdr:grpSp>
      <xdr:nvGrpSpPr>
        <xdr:cNvPr id="3927" name="Group 2">
          <a:extLst>
            <a:ext uri="{FF2B5EF4-FFF2-40B4-BE49-F238E27FC236}">
              <a16:creationId xmlns:a16="http://schemas.microsoft.com/office/drawing/2014/main" id="{73BBA99A-482B-4D60-BC00-1C519899C6C6}"/>
            </a:ext>
          </a:extLst>
        </xdr:cNvPr>
        <xdr:cNvGrpSpPr/>
      </xdr:nvGrpSpPr>
      <xdr:grpSpPr>
        <a:xfrm>
          <a:off x="4603072" y="106795404"/>
          <a:ext cx="33655" cy="33655"/>
          <a:chOff x="0" y="0"/>
          <a:chExt cx="33655" cy="33655"/>
        </a:xfrm>
      </xdr:grpSpPr>
      <xdr:sp macro="" textlink="">
        <xdr:nvSpPr>
          <xdr:cNvPr id="3928" name="Shape 3">
            <a:extLst>
              <a:ext uri="{FF2B5EF4-FFF2-40B4-BE49-F238E27FC236}">
                <a16:creationId xmlns:a16="http://schemas.microsoft.com/office/drawing/2014/main" id="{4505840B-E5D6-6527-E046-182873A5E12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29" name="Shape 4">
            <a:extLst>
              <a:ext uri="{FF2B5EF4-FFF2-40B4-BE49-F238E27FC236}">
                <a16:creationId xmlns:a16="http://schemas.microsoft.com/office/drawing/2014/main" id="{907FA7CB-250B-CB87-8382-0886CE9C343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30" name="Shape 5">
            <a:extLst>
              <a:ext uri="{FF2B5EF4-FFF2-40B4-BE49-F238E27FC236}">
                <a16:creationId xmlns:a16="http://schemas.microsoft.com/office/drawing/2014/main" id="{3722A65E-76AA-B85A-C3BE-6348986C2E5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31" name="Shape 6">
            <a:extLst>
              <a:ext uri="{FF2B5EF4-FFF2-40B4-BE49-F238E27FC236}">
                <a16:creationId xmlns:a16="http://schemas.microsoft.com/office/drawing/2014/main" id="{E61B81E1-93E3-0FF0-8CAE-AFE8395ADA2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32" name="Shape 7">
            <a:extLst>
              <a:ext uri="{FF2B5EF4-FFF2-40B4-BE49-F238E27FC236}">
                <a16:creationId xmlns:a16="http://schemas.microsoft.com/office/drawing/2014/main" id="{FDAD5F07-33B6-6477-AB9D-C7085B5355D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33" name="Shape 8">
            <a:extLst>
              <a:ext uri="{FF2B5EF4-FFF2-40B4-BE49-F238E27FC236}">
                <a16:creationId xmlns:a16="http://schemas.microsoft.com/office/drawing/2014/main" id="{6CC86ED1-364C-45BF-AA13-BBD5E802D79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34" name="Shape 9">
            <a:extLst>
              <a:ext uri="{FF2B5EF4-FFF2-40B4-BE49-F238E27FC236}">
                <a16:creationId xmlns:a16="http://schemas.microsoft.com/office/drawing/2014/main" id="{DC6DA4A8-3205-C1A0-6D16-425456AD829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35" name="Shape 10">
            <a:extLst>
              <a:ext uri="{FF2B5EF4-FFF2-40B4-BE49-F238E27FC236}">
                <a16:creationId xmlns:a16="http://schemas.microsoft.com/office/drawing/2014/main" id="{57787D2A-C95B-BA00-90E8-BEE2ED65F64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36" name="Shape 11">
            <a:extLst>
              <a:ext uri="{FF2B5EF4-FFF2-40B4-BE49-F238E27FC236}">
                <a16:creationId xmlns:a16="http://schemas.microsoft.com/office/drawing/2014/main" id="{5ACE6CB6-0088-6C61-3E66-0F9CB85D105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37" name="Shape 12">
            <a:extLst>
              <a:ext uri="{FF2B5EF4-FFF2-40B4-BE49-F238E27FC236}">
                <a16:creationId xmlns:a16="http://schemas.microsoft.com/office/drawing/2014/main" id="{ED8A84B6-50F8-0B57-BA54-24012540D07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38" name="Shape 13">
            <a:extLst>
              <a:ext uri="{FF2B5EF4-FFF2-40B4-BE49-F238E27FC236}">
                <a16:creationId xmlns:a16="http://schemas.microsoft.com/office/drawing/2014/main" id="{B3E9D611-96F2-E2FE-EAEE-2FADF031BFF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39" name="Shape 14">
            <a:extLst>
              <a:ext uri="{FF2B5EF4-FFF2-40B4-BE49-F238E27FC236}">
                <a16:creationId xmlns:a16="http://schemas.microsoft.com/office/drawing/2014/main" id="{CE6725A8-0FE3-07B3-099F-B9095FCF04D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40" name="Shape 15">
            <a:extLst>
              <a:ext uri="{FF2B5EF4-FFF2-40B4-BE49-F238E27FC236}">
                <a16:creationId xmlns:a16="http://schemas.microsoft.com/office/drawing/2014/main" id="{33F1F201-8AF3-E9D8-DD36-7ED571AD19E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41" name="Shape 16">
            <a:extLst>
              <a:ext uri="{FF2B5EF4-FFF2-40B4-BE49-F238E27FC236}">
                <a16:creationId xmlns:a16="http://schemas.microsoft.com/office/drawing/2014/main" id="{B8BDF7A6-8F26-E9C6-0207-0FE3BBEF265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572</xdr:row>
      <xdr:rowOff>3246</xdr:rowOff>
    </xdr:from>
    <xdr:ext cx="33655" cy="33655"/>
    <xdr:grpSp>
      <xdr:nvGrpSpPr>
        <xdr:cNvPr id="3942" name="Group 17">
          <a:extLst>
            <a:ext uri="{FF2B5EF4-FFF2-40B4-BE49-F238E27FC236}">
              <a16:creationId xmlns:a16="http://schemas.microsoft.com/office/drawing/2014/main" id="{81132446-1ABB-4D89-8815-D55B2F0D1CE6}"/>
            </a:ext>
          </a:extLst>
        </xdr:cNvPr>
        <xdr:cNvGrpSpPr/>
      </xdr:nvGrpSpPr>
      <xdr:grpSpPr>
        <a:xfrm>
          <a:off x="4603072" y="106795672"/>
          <a:ext cx="33655" cy="33655"/>
          <a:chOff x="0" y="0"/>
          <a:chExt cx="33655" cy="33655"/>
        </a:xfrm>
      </xdr:grpSpPr>
      <xdr:sp macro="" textlink="">
        <xdr:nvSpPr>
          <xdr:cNvPr id="3943" name="Shape 18">
            <a:extLst>
              <a:ext uri="{FF2B5EF4-FFF2-40B4-BE49-F238E27FC236}">
                <a16:creationId xmlns:a16="http://schemas.microsoft.com/office/drawing/2014/main" id="{194C3853-EEC9-1F78-6F4C-9930094702D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44" name="Shape 19">
            <a:extLst>
              <a:ext uri="{FF2B5EF4-FFF2-40B4-BE49-F238E27FC236}">
                <a16:creationId xmlns:a16="http://schemas.microsoft.com/office/drawing/2014/main" id="{7D60D956-6A52-94DE-436D-0CEC21CABCD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45" name="Shape 20">
            <a:extLst>
              <a:ext uri="{FF2B5EF4-FFF2-40B4-BE49-F238E27FC236}">
                <a16:creationId xmlns:a16="http://schemas.microsoft.com/office/drawing/2014/main" id="{6554670F-3C16-104E-B42A-C84C73EFB56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46" name="Shape 21">
            <a:extLst>
              <a:ext uri="{FF2B5EF4-FFF2-40B4-BE49-F238E27FC236}">
                <a16:creationId xmlns:a16="http://schemas.microsoft.com/office/drawing/2014/main" id="{19855BA5-7D37-AB7E-2946-521545165AD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47" name="Shape 22">
            <a:extLst>
              <a:ext uri="{FF2B5EF4-FFF2-40B4-BE49-F238E27FC236}">
                <a16:creationId xmlns:a16="http://schemas.microsoft.com/office/drawing/2014/main" id="{EBC2B341-ADA0-4273-BF98-BAAF0E4246F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48" name="Shape 23">
            <a:extLst>
              <a:ext uri="{FF2B5EF4-FFF2-40B4-BE49-F238E27FC236}">
                <a16:creationId xmlns:a16="http://schemas.microsoft.com/office/drawing/2014/main" id="{8D2DD276-0918-B574-7C68-6D7EE333A81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49" name="Shape 24">
            <a:extLst>
              <a:ext uri="{FF2B5EF4-FFF2-40B4-BE49-F238E27FC236}">
                <a16:creationId xmlns:a16="http://schemas.microsoft.com/office/drawing/2014/main" id="{4DFC8BBD-9305-3ACE-7C75-0F11BBA87E9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50" name="Shape 25">
            <a:extLst>
              <a:ext uri="{FF2B5EF4-FFF2-40B4-BE49-F238E27FC236}">
                <a16:creationId xmlns:a16="http://schemas.microsoft.com/office/drawing/2014/main" id="{A71502F5-4696-269C-A3D2-0769017E895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51" name="Shape 26">
            <a:extLst>
              <a:ext uri="{FF2B5EF4-FFF2-40B4-BE49-F238E27FC236}">
                <a16:creationId xmlns:a16="http://schemas.microsoft.com/office/drawing/2014/main" id="{91B38358-B211-5785-9F61-7FAF4AB10A6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52" name="Shape 27">
            <a:extLst>
              <a:ext uri="{FF2B5EF4-FFF2-40B4-BE49-F238E27FC236}">
                <a16:creationId xmlns:a16="http://schemas.microsoft.com/office/drawing/2014/main" id="{F87A29C8-C0E6-76A8-9D5B-23597FA19F6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53" name="Shape 28">
            <a:extLst>
              <a:ext uri="{FF2B5EF4-FFF2-40B4-BE49-F238E27FC236}">
                <a16:creationId xmlns:a16="http://schemas.microsoft.com/office/drawing/2014/main" id="{2B71E886-453D-01A3-AFF7-A58B0C4F4A4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54" name="Shape 29">
            <a:extLst>
              <a:ext uri="{FF2B5EF4-FFF2-40B4-BE49-F238E27FC236}">
                <a16:creationId xmlns:a16="http://schemas.microsoft.com/office/drawing/2014/main" id="{36141C8F-6298-C8DE-8455-7B8D70B5BB7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55" name="Shape 30">
            <a:extLst>
              <a:ext uri="{FF2B5EF4-FFF2-40B4-BE49-F238E27FC236}">
                <a16:creationId xmlns:a16="http://schemas.microsoft.com/office/drawing/2014/main" id="{90CF9BC3-23FE-79CF-77E1-8088EF08F7A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56" name="Shape 31">
            <a:extLst>
              <a:ext uri="{FF2B5EF4-FFF2-40B4-BE49-F238E27FC236}">
                <a16:creationId xmlns:a16="http://schemas.microsoft.com/office/drawing/2014/main" id="{32F7C634-538E-4C95-D556-C4AB14F30F8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572</xdr:row>
      <xdr:rowOff>3703</xdr:rowOff>
    </xdr:from>
    <xdr:ext cx="33655" cy="33655"/>
    <xdr:grpSp>
      <xdr:nvGrpSpPr>
        <xdr:cNvPr id="3957" name="Group 32">
          <a:extLst>
            <a:ext uri="{FF2B5EF4-FFF2-40B4-BE49-F238E27FC236}">
              <a16:creationId xmlns:a16="http://schemas.microsoft.com/office/drawing/2014/main" id="{F5A5D9B3-EAF8-47CB-BBD1-6DDFECDA0923}"/>
            </a:ext>
          </a:extLst>
        </xdr:cNvPr>
        <xdr:cNvGrpSpPr/>
      </xdr:nvGrpSpPr>
      <xdr:grpSpPr>
        <a:xfrm>
          <a:off x="4603072" y="106796129"/>
          <a:ext cx="33655" cy="33655"/>
          <a:chOff x="0" y="0"/>
          <a:chExt cx="33655" cy="33655"/>
        </a:xfrm>
      </xdr:grpSpPr>
      <xdr:sp macro="" textlink="">
        <xdr:nvSpPr>
          <xdr:cNvPr id="3958" name="Shape 33">
            <a:extLst>
              <a:ext uri="{FF2B5EF4-FFF2-40B4-BE49-F238E27FC236}">
                <a16:creationId xmlns:a16="http://schemas.microsoft.com/office/drawing/2014/main" id="{F24D056F-1DB7-054B-CCA5-86E48EFFB5A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59" name="Shape 34">
            <a:extLst>
              <a:ext uri="{FF2B5EF4-FFF2-40B4-BE49-F238E27FC236}">
                <a16:creationId xmlns:a16="http://schemas.microsoft.com/office/drawing/2014/main" id="{7D086749-8892-7DBB-5D4A-6C24036F3BA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60" name="Shape 35">
            <a:extLst>
              <a:ext uri="{FF2B5EF4-FFF2-40B4-BE49-F238E27FC236}">
                <a16:creationId xmlns:a16="http://schemas.microsoft.com/office/drawing/2014/main" id="{3855DAA6-D6B2-5106-BC9E-389CBC46473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61" name="Shape 36">
            <a:extLst>
              <a:ext uri="{FF2B5EF4-FFF2-40B4-BE49-F238E27FC236}">
                <a16:creationId xmlns:a16="http://schemas.microsoft.com/office/drawing/2014/main" id="{488EE38A-EFCD-7FCB-8FB3-1A8B9456350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62" name="Shape 37">
            <a:extLst>
              <a:ext uri="{FF2B5EF4-FFF2-40B4-BE49-F238E27FC236}">
                <a16:creationId xmlns:a16="http://schemas.microsoft.com/office/drawing/2014/main" id="{2D5D2DA1-960C-DBE6-5E9E-DAC26481FBA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63" name="Shape 38">
            <a:extLst>
              <a:ext uri="{FF2B5EF4-FFF2-40B4-BE49-F238E27FC236}">
                <a16:creationId xmlns:a16="http://schemas.microsoft.com/office/drawing/2014/main" id="{3B6E07AC-C953-ABF5-15ED-490A644B5AB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64" name="Shape 39">
            <a:extLst>
              <a:ext uri="{FF2B5EF4-FFF2-40B4-BE49-F238E27FC236}">
                <a16:creationId xmlns:a16="http://schemas.microsoft.com/office/drawing/2014/main" id="{2A32C13A-5B41-1E39-1244-808B87F4E09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65" name="Shape 40">
            <a:extLst>
              <a:ext uri="{FF2B5EF4-FFF2-40B4-BE49-F238E27FC236}">
                <a16:creationId xmlns:a16="http://schemas.microsoft.com/office/drawing/2014/main" id="{4F0DE213-A4D8-D037-072E-6341966029A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66" name="Shape 41">
            <a:extLst>
              <a:ext uri="{FF2B5EF4-FFF2-40B4-BE49-F238E27FC236}">
                <a16:creationId xmlns:a16="http://schemas.microsoft.com/office/drawing/2014/main" id="{13A170CF-24EE-AFBA-53E2-59B0C4080B0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67" name="Shape 42">
            <a:extLst>
              <a:ext uri="{FF2B5EF4-FFF2-40B4-BE49-F238E27FC236}">
                <a16:creationId xmlns:a16="http://schemas.microsoft.com/office/drawing/2014/main" id="{988CBA5B-6269-CBB3-9004-8CBC37EE9CC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68" name="Shape 43">
            <a:extLst>
              <a:ext uri="{FF2B5EF4-FFF2-40B4-BE49-F238E27FC236}">
                <a16:creationId xmlns:a16="http://schemas.microsoft.com/office/drawing/2014/main" id="{A233D05F-3A3C-AB9C-911E-60E58F3C210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69" name="Shape 44">
            <a:extLst>
              <a:ext uri="{FF2B5EF4-FFF2-40B4-BE49-F238E27FC236}">
                <a16:creationId xmlns:a16="http://schemas.microsoft.com/office/drawing/2014/main" id="{640B50E1-5A45-D7CE-1791-306AC15FAB8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70" name="Shape 45">
            <a:extLst>
              <a:ext uri="{FF2B5EF4-FFF2-40B4-BE49-F238E27FC236}">
                <a16:creationId xmlns:a16="http://schemas.microsoft.com/office/drawing/2014/main" id="{516C3002-F7F5-D111-8538-C1AF615D982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71" name="Shape 46">
            <a:extLst>
              <a:ext uri="{FF2B5EF4-FFF2-40B4-BE49-F238E27FC236}">
                <a16:creationId xmlns:a16="http://schemas.microsoft.com/office/drawing/2014/main" id="{58659AA7-F521-AD8A-8A07-EC884521443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572</xdr:row>
      <xdr:rowOff>3409</xdr:rowOff>
    </xdr:from>
    <xdr:ext cx="33655" cy="33655"/>
    <xdr:grpSp>
      <xdr:nvGrpSpPr>
        <xdr:cNvPr id="3972" name="Group 47">
          <a:extLst>
            <a:ext uri="{FF2B5EF4-FFF2-40B4-BE49-F238E27FC236}">
              <a16:creationId xmlns:a16="http://schemas.microsoft.com/office/drawing/2014/main" id="{0BADD80A-4E8A-490B-80F6-D613B1D890A4}"/>
            </a:ext>
          </a:extLst>
        </xdr:cNvPr>
        <xdr:cNvGrpSpPr/>
      </xdr:nvGrpSpPr>
      <xdr:grpSpPr>
        <a:xfrm>
          <a:off x="4603072" y="106795835"/>
          <a:ext cx="33655" cy="33655"/>
          <a:chOff x="0" y="0"/>
          <a:chExt cx="33655" cy="33655"/>
        </a:xfrm>
      </xdr:grpSpPr>
      <xdr:sp macro="" textlink="">
        <xdr:nvSpPr>
          <xdr:cNvPr id="3973" name="Shape 48">
            <a:extLst>
              <a:ext uri="{FF2B5EF4-FFF2-40B4-BE49-F238E27FC236}">
                <a16:creationId xmlns:a16="http://schemas.microsoft.com/office/drawing/2014/main" id="{8D155CC2-22E8-9F0C-9C79-EAF0465D1DB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74" name="Shape 49">
            <a:extLst>
              <a:ext uri="{FF2B5EF4-FFF2-40B4-BE49-F238E27FC236}">
                <a16:creationId xmlns:a16="http://schemas.microsoft.com/office/drawing/2014/main" id="{19A3A4AF-DAE2-17F0-88D7-694607BE834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75" name="Shape 50">
            <a:extLst>
              <a:ext uri="{FF2B5EF4-FFF2-40B4-BE49-F238E27FC236}">
                <a16:creationId xmlns:a16="http://schemas.microsoft.com/office/drawing/2014/main" id="{9E43FB61-B3A6-AA76-2C6D-B1AC0F0144C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76" name="Shape 51">
            <a:extLst>
              <a:ext uri="{FF2B5EF4-FFF2-40B4-BE49-F238E27FC236}">
                <a16:creationId xmlns:a16="http://schemas.microsoft.com/office/drawing/2014/main" id="{90E0F80F-FF1B-DCFE-C60F-0BC8C5D4672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77" name="Shape 52">
            <a:extLst>
              <a:ext uri="{FF2B5EF4-FFF2-40B4-BE49-F238E27FC236}">
                <a16:creationId xmlns:a16="http://schemas.microsoft.com/office/drawing/2014/main" id="{AE8B0D9A-9A90-0760-34D1-C627EE7F7D0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78" name="Shape 53">
            <a:extLst>
              <a:ext uri="{FF2B5EF4-FFF2-40B4-BE49-F238E27FC236}">
                <a16:creationId xmlns:a16="http://schemas.microsoft.com/office/drawing/2014/main" id="{50726949-2546-E6DC-D49E-30EC3FD0612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79" name="Shape 54">
            <a:extLst>
              <a:ext uri="{FF2B5EF4-FFF2-40B4-BE49-F238E27FC236}">
                <a16:creationId xmlns:a16="http://schemas.microsoft.com/office/drawing/2014/main" id="{B8080EE6-0D71-08FC-A647-DE794FA38DF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80" name="Shape 55">
            <a:extLst>
              <a:ext uri="{FF2B5EF4-FFF2-40B4-BE49-F238E27FC236}">
                <a16:creationId xmlns:a16="http://schemas.microsoft.com/office/drawing/2014/main" id="{43657021-878B-319D-0622-682DE75ECD9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81" name="Shape 56">
            <a:extLst>
              <a:ext uri="{FF2B5EF4-FFF2-40B4-BE49-F238E27FC236}">
                <a16:creationId xmlns:a16="http://schemas.microsoft.com/office/drawing/2014/main" id="{3289649C-F521-80E3-F968-505CA8DFF17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82" name="Shape 57">
            <a:extLst>
              <a:ext uri="{FF2B5EF4-FFF2-40B4-BE49-F238E27FC236}">
                <a16:creationId xmlns:a16="http://schemas.microsoft.com/office/drawing/2014/main" id="{58D80E46-2270-F9D5-D7A2-D41FC4C434E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83" name="Shape 58">
            <a:extLst>
              <a:ext uri="{FF2B5EF4-FFF2-40B4-BE49-F238E27FC236}">
                <a16:creationId xmlns:a16="http://schemas.microsoft.com/office/drawing/2014/main" id="{78575C79-4A18-EAF3-2E15-47CC6918244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84" name="Shape 59">
            <a:extLst>
              <a:ext uri="{FF2B5EF4-FFF2-40B4-BE49-F238E27FC236}">
                <a16:creationId xmlns:a16="http://schemas.microsoft.com/office/drawing/2014/main" id="{E09744EE-183A-8F74-692A-C08AE858CC2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85" name="Shape 60">
            <a:extLst>
              <a:ext uri="{FF2B5EF4-FFF2-40B4-BE49-F238E27FC236}">
                <a16:creationId xmlns:a16="http://schemas.microsoft.com/office/drawing/2014/main" id="{8611B5E0-29E2-68AE-D1B1-3DD8771AC94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3986" name="Shape 61">
            <a:extLst>
              <a:ext uri="{FF2B5EF4-FFF2-40B4-BE49-F238E27FC236}">
                <a16:creationId xmlns:a16="http://schemas.microsoft.com/office/drawing/2014/main" id="{2341EA34-7A84-0707-3734-5FD97850CCC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572</xdr:row>
      <xdr:rowOff>3962</xdr:rowOff>
    </xdr:from>
    <xdr:ext cx="33655" cy="33655"/>
    <xdr:grpSp>
      <xdr:nvGrpSpPr>
        <xdr:cNvPr id="3987" name="Group 62">
          <a:extLst>
            <a:ext uri="{FF2B5EF4-FFF2-40B4-BE49-F238E27FC236}">
              <a16:creationId xmlns:a16="http://schemas.microsoft.com/office/drawing/2014/main" id="{87460885-E01C-48D7-B312-C9FDC600C647}"/>
            </a:ext>
          </a:extLst>
        </xdr:cNvPr>
        <xdr:cNvGrpSpPr/>
      </xdr:nvGrpSpPr>
      <xdr:grpSpPr>
        <a:xfrm>
          <a:off x="4603072" y="106796388"/>
          <a:ext cx="33655" cy="33655"/>
          <a:chOff x="0" y="0"/>
          <a:chExt cx="33655" cy="33655"/>
        </a:xfrm>
      </xdr:grpSpPr>
      <xdr:sp macro="" textlink="">
        <xdr:nvSpPr>
          <xdr:cNvPr id="3988" name="Shape 63">
            <a:extLst>
              <a:ext uri="{FF2B5EF4-FFF2-40B4-BE49-F238E27FC236}">
                <a16:creationId xmlns:a16="http://schemas.microsoft.com/office/drawing/2014/main" id="{268352CD-879E-2E31-FD6C-421FF249A74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89" name="Shape 64">
            <a:extLst>
              <a:ext uri="{FF2B5EF4-FFF2-40B4-BE49-F238E27FC236}">
                <a16:creationId xmlns:a16="http://schemas.microsoft.com/office/drawing/2014/main" id="{56418588-4842-0316-B2F6-57623687C51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90" name="Shape 65">
            <a:extLst>
              <a:ext uri="{FF2B5EF4-FFF2-40B4-BE49-F238E27FC236}">
                <a16:creationId xmlns:a16="http://schemas.microsoft.com/office/drawing/2014/main" id="{FD3C90F1-E7D9-87B4-1D96-876805F55C1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91" name="Shape 66">
            <a:extLst>
              <a:ext uri="{FF2B5EF4-FFF2-40B4-BE49-F238E27FC236}">
                <a16:creationId xmlns:a16="http://schemas.microsoft.com/office/drawing/2014/main" id="{DF8D6D2E-A1B4-FB6E-4592-BA6E264C82E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92" name="Shape 67">
            <a:extLst>
              <a:ext uri="{FF2B5EF4-FFF2-40B4-BE49-F238E27FC236}">
                <a16:creationId xmlns:a16="http://schemas.microsoft.com/office/drawing/2014/main" id="{21BCCD07-97DB-A9E3-30D7-49ED6AECEAC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93" name="Shape 68">
            <a:extLst>
              <a:ext uri="{FF2B5EF4-FFF2-40B4-BE49-F238E27FC236}">
                <a16:creationId xmlns:a16="http://schemas.microsoft.com/office/drawing/2014/main" id="{4B1BCA3A-D132-AD89-4999-FB8C0807500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94" name="Shape 69">
            <a:extLst>
              <a:ext uri="{FF2B5EF4-FFF2-40B4-BE49-F238E27FC236}">
                <a16:creationId xmlns:a16="http://schemas.microsoft.com/office/drawing/2014/main" id="{68DA86B0-A5E2-51A7-C7D9-85DA4E82B8A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95" name="Shape 70">
            <a:extLst>
              <a:ext uri="{FF2B5EF4-FFF2-40B4-BE49-F238E27FC236}">
                <a16:creationId xmlns:a16="http://schemas.microsoft.com/office/drawing/2014/main" id="{B42DFE92-3118-C000-C3DF-8CD54A71B5E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96" name="Shape 71">
            <a:extLst>
              <a:ext uri="{FF2B5EF4-FFF2-40B4-BE49-F238E27FC236}">
                <a16:creationId xmlns:a16="http://schemas.microsoft.com/office/drawing/2014/main" id="{547CEED7-593C-5231-F426-7F14050BD9D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97" name="Shape 72">
            <a:extLst>
              <a:ext uri="{FF2B5EF4-FFF2-40B4-BE49-F238E27FC236}">
                <a16:creationId xmlns:a16="http://schemas.microsoft.com/office/drawing/2014/main" id="{938C35DD-9D23-7C12-ADE6-56453DA434A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3998" name="Shape 73">
            <a:extLst>
              <a:ext uri="{FF2B5EF4-FFF2-40B4-BE49-F238E27FC236}">
                <a16:creationId xmlns:a16="http://schemas.microsoft.com/office/drawing/2014/main" id="{BE414DC3-F9D9-919D-079B-17078B39403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3999" name="Shape 74">
            <a:extLst>
              <a:ext uri="{FF2B5EF4-FFF2-40B4-BE49-F238E27FC236}">
                <a16:creationId xmlns:a16="http://schemas.microsoft.com/office/drawing/2014/main" id="{141E654A-F478-F0F6-181A-EF67B58A45F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00" name="Shape 75">
            <a:extLst>
              <a:ext uri="{FF2B5EF4-FFF2-40B4-BE49-F238E27FC236}">
                <a16:creationId xmlns:a16="http://schemas.microsoft.com/office/drawing/2014/main" id="{B76109E2-E43A-21AD-CE5F-630E7203C04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01" name="Shape 76">
            <a:extLst>
              <a:ext uri="{FF2B5EF4-FFF2-40B4-BE49-F238E27FC236}">
                <a16:creationId xmlns:a16="http://schemas.microsoft.com/office/drawing/2014/main" id="{6946C07A-87A9-358A-05BD-827AAC2C09D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572</xdr:row>
      <xdr:rowOff>2978</xdr:rowOff>
    </xdr:from>
    <xdr:ext cx="33655" cy="33655"/>
    <xdr:grpSp>
      <xdr:nvGrpSpPr>
        <xdr:cNvPr id="4002" name="Group 2">
          <a:extLst>
            <a:ext uri="{FF2B5EF4-FFF2-40B4-BE49-F238E27FC236}">
              <a16:creationId xmlns:a16="http://schemas.microsoft.com/office/drawing/2014/main" id="{601C6A18-5CCF-429A-A43F-185C33FCDC29}"/>
            </a:ext>
          </a:extLst>
        </xdr:cNvPr>
        <xdr:cNvGrpSpPr/>
      </xdr:nvGrpSpPr>
      <xdr:grpSpPr>
        <a:xfrm>
          <a:off x="4603072" y="106795404"/>
          <a:ext cx="33655" cy="33655"/>
          <a:chOff x="0" y="0"/>
          <a:chExt cx="33655" cy="33655"/>
        </a:xfrm>
      </xdr:grpSpPr>
      <xdr:sp macro="" textlink="">
        <xdr:nvSpPr>
          <xdr:cNvPr id="4003" name="Shape 3">
            <a:extLst>
              <a:ext uri="{FF2B5EF4-FFF2-40B4-BE49-F238E27FC236}">
                <a16:creationId xmlns:a16="http://schemas.microsoft.com/office/drawing/2014/main" id="{97442F49-3174-8838-69E9-A962C4D26D4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04" name="Shape 4">
            <a:extLst>
              <a:ext uri="{FF2B5EF4-FFF2-40B4-BE49-F238E27FC236}">
                <a16:creationId xmlns:a16="http://schemas.microsoft.com/office/drawing/2014/main" id="{A98DCA24-C304-C28F-0527-907E239C4C6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05" name="Shape 5">
            <a:extLst>
              <a:ext uri="{FF2B5EF4-FFF2-40B4-BE49-F238E27FC236}">
                <a16:creationId xmlns:a16="http://schemas.microsoft.com/office/drawing/2014/main" id="{D4293BCC-7C48-1909-3DBB-C140C39AD80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06" name="Shape 6">
            <a:extLst>
              <a:ext uri="{FF2B5EF4-FFF2-40B4-BE49-F238E27FC236}">
                <a16:creationId xmlns:a16="http://schemas.microsoft.com/office/drawing/2014/main" id="{019705D2-7C08-0730-9FDF-875B903BE9C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07" name="Shape 7">
            <a:extLst>
              <a:ext uri="{FF2B5EF4-FFF2-40B4-BE49-F238E27FC236}">
                <a16:creationId xmlns:a16="http://schemas.microsoft.com/office/drawing/2014/main" id="{B02CC5F2-95D4-E19F-DDCE-A32B51C4987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08" name="Shape 8">
            <a:extLst>
              <a:ext uri="{FF2B5EF4-FFF2-40B4-BE49-F238E27FC236}">
                <a16:creationId xmlns:a16="http://schemas.microsoft.com/office/drawing/2014/main" id="{188D5FB7-F4E8-66A7-610E-591B3CFD6F7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09" name="Shape 9">
            <a:extLst>
              <a:ext uri="{FF2B5EF4-FFF2-40B4-BE49-F238E27FC236}">
                <a16:creationId xmlns:a16="http://schemas.microsoft.com/office/drawing/2014/main" id="{780C81C8-62FD-E585-36AA-F997E7B95E5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10" name="Shape 10">
            <a:extLst>
              <a:ext uri="{FF2B5EF4-FFF2-40B4-BE49-F238E27FC236}">
                <a16:creationId xmlns:a16="http://schemas.microsoft.com/office/drawing/2014/main" id="{0128AC8E-3B4A-AFE4-00CC-42D1A7E428C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11" name="Shape 11">
            <a:extLst>
              <a:ext uri="{FF2B5EF4-FFF2-40B4-BE49-F238E27FC236}">
                <a16:creationId xmlns:a16="http://schemas.microsoft.com/office/drawing/2014/main" id="{E6FD3791-971C-2834-5F4D-CFD961D7519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12" name="Shape 12">
            <a:extLst>
              <a:ext uri="{FF2B5EF4-FFF2-40B4-BE49-F238E27FC236}">
                <a16:creationId xmlns:a16="http://schemas.microsoft.com/office/drawing/2014/main" id="{53418383-79BF-AF61-B4B8-480E3354D59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13" name="Shape 13">
            <a:extLst>
              <a:ext uri="{FF2B5EF4-FFF2-40B4-BE49-F238E27FC236}">
                <a16:creationId xmlns:a16="http://schemas.microsoft.com/office/drawing/2014/main" id="{7FD9BF18-C87E-7202-25DA-F1209853C0D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14" name="Shape 14">
            <a:extLst>
              <a:ext uri="{FF2B5EF4-FFF2-40B4-BE49-F238E27FC236}">
                <a16:creationId xmlns:a16="http://schemas.microsoft.com/office/drawing/2014/main" id="{1185E453-0634-0291-C7CE-EC2F3DB9DA7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15" name="Shape 15">
            <a:extLst>
              <a:ext uri="{FF2B5EF4-FFF2-40B4-BE49-F238E27FC236}">
                <a16:creationId xmlns:a16="http://schemas.microsoft.com/office/drawing/2014/main" id="{5A179182-EA23-B8AE-802A-C435E744D08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16" name="Shape 16">
            <a:extLst>
              <a:ext uri="{FF2B5EF4-FFF2-40B4-BE49-F238E27FC236}">
                <a16:creationId xmlns:a16="http://schemas.microsoft.com/office/drawing/2014/main" id="{C7818986-6F99-5FC0-BF5E-B4D2390FEE4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572</xdr:row>
      <xdr:rowOff>3246</xdr:rowOff>
    </xdr:from>
    <xdr:ext cx="33655" cy="33655"/>
    <xdr:grpSp>
      <xdr:nvGrpSpPr>
        <xdr:cNvPr id="4017" name="Group 17">
          <a:extLst>
            <a:ext uri="{FF2B5EF4-FFF2-40B4-BE49-F238E27FC236}">
              <a16:creationId xmlns:a16="http://schemas.microsoft.com/office/drawing/2014/main" id="{4D79B1A9-AC7B-4872-A41E-4DFD82074AE1}"/>
            </a:ext>
          </a:extLst>
        </xdr:cNvPr>
        <xdr:cNvGrpSpPr/>
      </xdr:nvGrpSpPr>
      <xdr:grpSpPr>
        <a:xfrm>
          <a:off x="4603072" y="106795672"/>
          <a:ext cx="33655" cy="33655"/>
          <a:chOff x="0" y="0"/>
          <a:chExt cx="33655" cy="33655"/>
        </a:xfrm>
      </xdr:grpSpPr>
      <xdr:sp macro="" textlink="">
        <xdr:nvSpPr>
          <xdr:cNvPr id="4018" name="Shape 18">
            <a:extLst>
              <a:ext uri="{FF2B5EF4-FFF2-40B4-BE49-F238E27FC236}">
                <a16:creationId xmlns:a16="http://schemas.microsoft.com/office/drawing/2014/main" id="{DDD1049C-3794-F345-E378-AFAD0731F87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19" name="Shape 19">
            <a:extLst>
              <a:ext uri="{FF2B5EF4-FFF2-40B4-BE49-F238E27FC236}">
                <a16:creationId xmlns:a16="http://schemas.microsoft.com/office/drawing/2014/main" id="{C3F0E992-F56C-248B-17F2-0F8C1E5D18F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20" name="Shape 20">
            <a:extLst>
              <a:ext uri="{FF2B5EF4-FFF2-40B4-BE49-F238E27FC236}">
                <a16:creationId xmlns:a16="http://schemas.microsoft.com/office/drawing/2014/main" id="{445A5294-1C16-CB4B-3360-9B71F614889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21" name="Shape 21">
            <a:extLst>
              <a:ext uri="{FF2B5EF4-FFF2-40B4-BE49-F238E27FC236}">
                <a16:creationId xmlns:a16="http://schemas.microsoft.com/office/drawing/2014/main" id="{5EAA55C8-0111-EC05-C507-244E43B0EEE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22" name="Shape 22">
            <a:extLst>
              <a:ext uri="{FF2B5EF4-FFF2-40B4-BE49-F238E27FC236}">
                <a16:creationId xmlns:a16="http://schemas.microsoft.com/office/drawing/2014/main" id="{C7B0D94F-151A-F8FC-0B20-4CE66B63524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23" name="Shape 23">
            <a:extLst>
              <a:ext uri="{FF2B5EF4-FFF2-40B4-BE49-F238E27FC236}">
                <a16:creationId xmlns:a16="http://schemas.microsoft.com/office/drawing/2014/main" id="{EE18BD4B-1ABA-A94E-691D-B6929C8B458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24" name="Shape 24">
            <a:extLst>
              <a:ext uri="{FF2B5EF4-FFF2-40B4-BE49-F238E27FC236}">
                <a16:creationId xmlns:a16="http://schemas.microsoft.com/office/drawing/2014/main" id="{B7AA1450-F35D-258F-C084-7095C54FB10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25" name="Shape 25">
            <a:extLst>
              <a:ext uri="{FF2B5EF4-FFF2-40B4-BE49-F238E27FC236}">
                <a16:creationId xmlns:a16="http://schemas.microsoft.com/office/drawing/2014/main" id="{925F627F-E9BC-9D2A-93ED-E64BAB8813F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26" name="Shape 26">
            <a:extLst>
              <a:ext uri="{FF2B5EF4-FFF2-40B4-BE49-F238E27FC236}">
                <a16:creationId xmlns:a16="http://schemas.microsoft.com/office/drawing/2014/main" id="{14757AC0-17B4-9683-1365-98614A9FC42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27" name="Shape 27">
            <a:extLst>
              <a:ext uri="{FF2B5EF4-FFF2-40B4-BE49-F238E27FC236}">
                <a16:creationId xmlns:a16="http://schemas.microsoft.com/office/drawing/2014/main" id="{EAF5B3A2-99FA-78C9-BC7F-5D9E19BE8E5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28" name="Shape 28">
            <a:extLst>
              <a:ext uri="{FF2B5EF4-FFF2-40B4-BE49-F238E27FC236}">
                <a16:creationId xmlns:a16="http://schemas.microsoft.com/office/drawing/2014/main" id="{A985FFCD-AADF-2476-486E-D65CBBA96D6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29" name="Shape 29">
            <a:extLst>
              <a:ext uri="{FF2B5EF4-FFF2-40B4-BE49-F238E27FC236}">
                <a16:creationId xmlns:a16="http://schemas.microsoft.com/office/drawing/2014/main" id="{E7E5E5E2-F905-C193-EFF8-980FEF17F95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30" name="Shape 30">
            <a:extLst>
              <a:ext uri="{FF2B5EF4-FFF2-40B4-BE49-F238E27FC236}">
                <a16:creationId xmlns:a16="http://schemas.microsoft.com/office/drawing/2014/main" id="{FED689EE-E594-8D41-6637-5084B1A4FC6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31" name="Shape 31">
            <a:extLst>
              <a:ext uri="{FF2B5EF4-FFF2-40B4-BE49-F238E27FC236}">
                <a16:creationId xmlns:a16="http://schemas.microsoft.com/office/drawing/2014/main" id="{DDC605FD-98F3-6216-7E78-F4AE6E79432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572</xdr:row>
      <xdr:rowOff>3703</xdr:rowOff>
    </xdr:from>
    <xdr:ext cx="33655" cy="33655"/>
    <xdr:grpSp>
      <xdr:nvGrpSpPr>
        <xdr:cNvPr id="4032" name="Group 32">
          <a:extLst>
            <a:ext uri="{FF2B5EF4-FFF2-40B4-BE49-F238E27FC236}">
              <a16:creationId xmlns:a16="http://schemas.microsoft.com/office/drawing/2014/main" id="{01B51D5C-4EC4-4531-A764-F277C34E0562}"/>
            </a:ext>
          </a:extLst>
        </xdr:cNvPr>
        <xdr:cNvGrpSpPr/>
      </xdr:nvGrpSpPr>
      <xdr:grpSpPr>
        <a:xfrm>
          <a:off x="4603072" y="106796129"/>
          <a:ext cx="33655" cy="33655"/>
          <a:chOff x="0" y="0"/>
          <a:chExt cx="33655" cy="33655"/>
        </a:xfrm>
      </xdr:grpSpPr>
      <xdr:sp macro="" textlink="">
        <xdr:nvSpPr>
          <xdr:cNvPr id="4033" name="Shape 33">
            <a:extLst>
              <a:ext uri="{FF2B5EF4-FFF2-40B4-BE49-F238E27FC236}">
                <a16:creationId xmlns:a16="http://schemas.microsoft.com/office/drawing/2014/main" id="{4C2B3D5D-DD05-7303-FEB8-FDC5CF9F226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34" name="Shape 34">
            <a:extLst>
              <a:ext uri="{FF2B5EF4-FFF2-40B4-BE49-F238E27FC236}">
                <a16:creationId xmlns:a16="http://schemas.microsoft.com/office/drawing/2014/main" id="{768DFD34-9E36-30BC-B5A1-DA13EA25076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35" name="Shape 35">
            <a:extLst>
              <a:ext uri="{FF2B5EF4-FFF2-40B4-BE49-F238E27FC236}">
                <a16:creationId xmlns:a16="http://schemas.microsoft.com/office/drawing/2014/main" id="{FAFA62D3-01C7-3676-B7E3-05CADC903BD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36" name="Shape 36">
            <a:extLst>
              <a:ext uri="{FF2B5EF4-FFF2-40B4-BE49-F238E27FC236}">
                <a16:creationId xmlns:a16="http://schemas.microsoft.com/office/drawing/2014/main" id="{A56229A4-826D-F520-B7EC-92CEC20775F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37" name="Shape 37">
            <a:extLst>
              <a:ext uri="{FF2B5EF4-FFF2-40B4-BE49-F238E27FC236}">
                <a16:creationId xmlns:a16="http://schemas.microsoft.com/office/drawing/2014/main" id="{A62F7698-5D35-54F3-D097-0630EC5B4F8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38" name="Shape 38">
            <a:extLst>
              <a:ext uri="{FF2B5EF4-FFF2-40B4-BE49-F238E27FC236}">
                <a16:creationId xmlns:a16="http://schemas.microsoft.com/office/drawing/2014/main" id="{B8782020-1073-9068-2627-D291BD52F24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39" name="Shape 39">
            <a:extLst>
              <a:ext uri="{FF2B5EF4-FFF2-40B4-BE49-F238E27FC236}">
                <a16:creationId xmlns:a16="http://schemas.microsoft.com/office/drawing/2014/main" id="{FB92470D-E523-111E-6EAC-213395932E1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40" name="Shape 40">
            <a:extLst>
              <a:ext uri="{FF2B5EF4-FFF2-40B4-BE49-F238E27FC236}">
                <a16:creationId xmlns:a16="http://schemas.microsoft.com/office/drawing/2014/main" id="{A80CCE49-726A-DEF0-507E-72A6577C892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41" name="Shape 41">
            <a:extLst>
              <a:ext uri="{FF2B5EF4-FFF2-40B4-BE49-F238E27FC236}">
                <a16:creationId xmlns:a16="http://schemas.microsoft.com/office/drawing/2014/main" id="{6E86FD96-AF43-A0E6-2821-AE9E3EFB23A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42" name="Shape 42">
            <a:extLst>
              <a:ext uri="{FF2B5EF4-FFF2-40B4-BE49-F238E27FC236}">
                <a16:creationId xmlns:a16="http://schemas.microsoft.com/office/drawing/2014/main" id="{A14FAACC-7BB7-DCD2-43EE-CD2FC82DBC8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43" name="Shape 43">
            <a:extLst>
              <a:ext uri="{FF2B5EF4-FFF2-40B4-BE49-F238E27FC236}">
                <a16:creationId xmlns:a16="http://schemas.microsoft.com/office/drawing/2014/main" id="{3217D19B-C15F-ED42-C634-4A773B1FA8F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44" name="Shape 44">
            <a:extLst>
              <a:ext uri="{FF2B5EF4-FFF2-40B4-BE49-F238E27FC236}">
                <a16:creationId xmlns:a16="http://schemas.microsoft.com/office/drawing/2014/main" id="{29213A4C-2FB9-23ED-68EE-68C146B3245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45" name="Shape 45">
            <a:extLst>
              <a:ext uri="{FF2B5EF4-FFF2-40B4-BE49-F238E27FC236}">
                <a16:creationId xmlns:a16="http://schemas.microsoft.com/office/drawing/2014/main" id="{1916919B-48F6-9CF2-1684-B11271FF5FA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46" name="Shape 46">
            <a:extLst>
              <a:ext uri="{FF2B5EF4-FFF2-40B4-BE49-F238E27FC236}">
                <a16:creationId xmlns:a16="http://schemas.microsoft.com/office/drawing/2014/main" id="{D85D3234-892B-1DE3-8595-EE121A67CB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572</xdr:row>
      <xdr:rowOff>3409</xdr:rowOff>
    </xdr:from>
    <xdr:ext cx="33655" cy="33655"/>
    <xdr:grpSp>
      <xdr:nvGrpSpPr>
        <xdr:cNvPr id="4047" name="Group 47">
          <a:extLst>
            <a:ext uri="{FF2B5EF4-FFF2-40B4-BE49-F238E27FC236}">
              <a16:creationId xmlns:a16="http://schemas.microsoft.com/office/drawing/2014/main" id="{6849D7CF-8A57-4F24-B1D0-7FC9E7FBCB22}"/>
            </a:ext>
          </a:extLst>
        </xdr:cNvPr>
        <xdr:cNvGrpSpPr/>
      </xdr:nvGrpSpPr>
      <xdr:grpSpPr>
        <a:xfrm>
          <a:off x="4603072" y="106795835"/>
          <a:ext cx="33655" cy="33655"/>
          <a:chOff x="0" y="0"/>
          <a:chExt cx="33655" cy="33655"/>
        </a:xfrm>
      </xdr:grpSpPr>
      <xdr:sp macro="" textlink="">
        <xdr:nvSpPr>
          <xdr:cNvPr id="4048" name="Shape 48">
            <a:extLst>
              <a:ext uri="{FF2B5EF4-FFF2-40B4-BE49-F238E27FC236}">
                <a16:creationId xmlns:a16="http://schemas.microsoft.com/office/drawing/2014/main" id="{858D08EE-40C7-B047-0AAA-F77509BF196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49" name="Shape 49">
            <a:extLst>
              <a:ext uri="{FF2B5EF4-FFF2-40B4-BE49-F238E27FC236}">
                <a16:creationId xmlns:a16="http://schemas.microsoft.com/office/drawing/2014/main" id="{B6184764-F22F-D91F-2017-81F0295F766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50" name="Shape 50">
            <a:extLst>
              <a:ext uri="{FF2B5EF4-FFF2-40B4-BE49-F238E27FC236}">
                <a16:creationId xmlns:a16="http://schemas.microsoft.com/office/drawing/2014/main" id="{9F436B13-2BD4-0EB0-7141-B03A14A8F82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51" name="Shape 51">
            <a:extLst>
              <a:ext uri="{FF2B5EF4-FFF2-40B4-BE49-F238E27FC236}">
                <a16:creationId xmlns:a16="http://schemas.microsoft.com/office/drawing/2014/main" id="{50FC7ADF-22C6-AF75-B176-D8B75097595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52" name="Shape 52">
            <a:extLst>
              <a:ext uri="{FF2B5EF4-FFF2-40B4-BE49-F238E27FC236}">
                <a16:creationId xmlns:a16="http://schemas.microsoft.com/office/drawing/2014/main" id="{53F9C051-F920-EBE0-6783-E394368AFC8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53" name="Shape 53">
            <a:extLst>
              <a:ext uri="{FF2B5EF4-FFF2-40B4-BE49-F238E27FC236}">
                <a16:creationId xmlns:a16="http://schemas.microsoft.com/office/drawing/2014/main" id="{76FCEA2A-0CED-FB51-ADA9-DC8BDD3998A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54" name="Shape 54">
            <a:extLst>
              <a:ext uri="{FF2B5EF4-FFF2-40B4-BE49-F238E27FC236}">
                <a16:creationId xmlns:a16="http://schemas.microsoft.com/office/drawing/2014/main" id="{C267113B-64D9-48F5-29B3-D02DB964A52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55" name="Shape 55">
            <a:extLst>
              <a:ext uri="{FF2B5EF4-FFF2-40B4-BE49-F238E27FC236}">
                <a16:creationId xmlns:a16="http://schemas.microsoft.com/office/drawing/2014/main" id="{72B7FD22-3D56-728A-217D-02CD7078426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56" name="Shape 56">
            <a:extLst>
              <a:ext uri="{FF2B5EF4-FFF2-40B4-BE49-F238E27FC236}">
                <a16:creationId xmlns:a16="http://schemas.microsoft.com/office/drawing/2014/main" id="{D088715C-93FA-6B51-4C55-2A6C7E1BF98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57" name="Shape 57">
            <a:extLst>
              <a:ext uri="{FF2B5EF4-FFF2-40B4-BE49-F238E27FC236}">
                <a16:creationId xmlns:a16="http://schemas.microsoft.com/office/drawing/2014/main" id="{3F6D999A-327C-2A4D-EEF5-6DD4ECD9A4B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58" name="Shape 58">
            <a:extLst>
              <a:ext uri="{FF2B5EF4-FFF2-40B4-BE49-F238E27FC236}">
                <a16:creationId xmlns:a16="http://schemas.microsoft.com/office/drawing/2014/main" id="{61BE9613-241D-4872-FBE3-6D807FDF1FC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59" name="Shape 59">
            <a:extLst>
              <a:ext uri="{FF2B5EF4-FFF2-40B4-BE49-F238E27FC236}">
                <a16:creationId xmlns:a16="http://schemas.microsoft.com/office/drawing/2014/main" id="{F331901A-8910-2DE2-1714-B7A97FABF32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60" name="Shape 60">
            <a:extLst>
              <a:ext uri="{FF2B5EF4-FFF2-40B4-BE49-F238E27FC236}">
                <a16:creationId xmlns:a16="http://schemas.microsoft.com/office/drawing/2014/main" id="{ECF000CC-9330-2F9E-C31C-A065FB46808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61" name="Shape 61">
            <a:extLst>
              <a:ext uri="{FF2B5EF4-FFF2-40B4-BE49-F238E27FC236}">
                <a16:creationId xmlns:a16="http://schemas.microsoft.com/office/drawing/2014/main" id="{13EDF7BE-DD42-3E80-4AC3-984FDD3F24E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572</xdr:row>
      <xdr:rowOff>3962</xdr:rowOff>
    </xdr:from>
    <xdr:ext cx="33655" cy="33655"/>
    <xdr:grpSp>
      <xdr:nvGrpSpPr>
        <xdr:cNvPr id="4062" name="Group 62">
          <a:extLst>
            <a:ext uri="{FF2B5EF4-FFF2-40B4-BE49-F238E27FC236}">
              <a16:creationId xmlns:a16="http://schemas.microsoft.com/office/drawing/2014/main" id="{E7DCB137-5CC8-4043-8981-081BFE9F5360}"/>
            </a:ext>
          </a:extLst>
        </xdr:cNvPr>
        <xdr:cNvGrpSpPr/>
      </xdr:nvGrpSpPr>
      <xdr:grpSpPr>
        <a:xfrm>
          <a:off x="4603072" y="106796388"/>
          <a:ext cx="33655" cy="33655"/>
          <a:chOff x="0" y="0"/>
          <a:chExt cx="33655" cy="33655"/>
        </a:xfrm>
      </xdr:grpSpPr>
      <xdr:sp macro="" textlink="">
        <xdr:nvSpPr>
          <xdr:cNvPr id="4063" name="Shape 63">
            <a:extLst>
              <a:ext uri="{FF2B5EF4-FFF2-40B4-BE49-F238E27FC236}">
                <a16:creationId xmlns:a16="http://schemas.microsoft.com/office/drawing/2014/main" id="{D010C031-CCEE-B5CE-295E-7650C3A0E21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64" name="Shape 64">
            <a:extLst>
              <a:ext uri="{FF2B5EF4-FFF2-40B4-BE49-F238E27FC236}">
                <a16:creationId xmlns:a16="http://schemas.microsoft.com/office/drawing/2014/main" id="{10164E43-B846-BE8D-18F0-6FB4DE3D8AB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65" name="Shape 65">
            <a:extLst>
              <a:ext uri="{FF2B5EF4-FFF2-40B4-BE49-F238E27FC236}">
                <a16:creationId xmlns:a16="http://schemas.microsoft.com/office/drawing/2014/main" id="{2AE07BA1-CE40-8E25-8749-B23972A4177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66" name="Shape 66">
            <a:extLst>
              <a:ext uri="{FF2B5EF4-FFF2-40B4-BE49-F238E27FC236}">
                <a16:creationId xmlns:a16="http://schemas.microsoft.com/office/drawing/2014/main" id="{94260B4B-D754-6645-DC2C-98789D5BE23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67" name="Shape 67">
            <a:extLst>
              <a:ext uri="{FF2B5EF4-FFF2-40B4-BE49-F238E27FC236}">
                <a16:creationId xmlns:a16="http://schemas.microsoft.com/office/drawing/2014/main" id="{D58F4533-6062-5D75-9A8B-A5ECA8D812E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68" name="Shape 68">
            <a:extLst>
              <a:ext uri="{FF2B5EF4-FFF2-40B4-BE49-F238E27FC236}">
                <a16:creationId xmlns:a16="http://schemas.microsoft.com/office/drawing/2014/main" id="{D540D3E1-6936-6417-687C-9606A6685D8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69" name="Shape 69">
            <a:extLst>
              <a:ext uri="{FF2B5EF4-FFF2-40B4-BE49-F238E27FC236}">
                <a16:creationId xmlns:a16="http://schemas.microsoft.com/office/drawing/2014/main" id="{86E3F9E3-7002-E3CA-A44C-D08B4FD4276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70" name="Shape 70">
            <a:extLst>
              <a:ext uri="{FF2B5EF4-FFF2-40B4-BE49-F238E27FC236}">
                <a16:creationId xmlns:a16="http://schemas.microsoft.com/office/drawing/2014/main" id="{013CC970-7DE0-8A77-BBC1-AF9A7C4431E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71" name="Shape 71">
            <a:extLst>
              <a:ext uri="{FF2B5EF4-FFF2-40B4-BE49-F238E27FC236}">
                <a16:creationId xmlns:a16="http://schemas.microsoft.com/office/drawing/2014/main" id="{5624311D-E749-34B0-A9AC-25EB61D3D9B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72" name="Shape 72">
            <a:extLst>
              <a:ext uri="{FF2B5EF4-FFF2-40B4-BE49-F238E27FC236}">
                <a16:creationId xmlns:a16="http://schemas.microsoft.com/office/drawing/2014/main" id="{301CC245-3FB4-44EE-615A-FDADF064B63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73" name="Shape 73">
            <a:extLst>
              <a:ext uri="{FF2B5EF4-FFF2-40B4-BE49-F238E27FC236}">
                <a16:creationId xmlns:a16="http://schemas.microsoft.com/office/drawing/2014/main" id="{F82F3632-451C-4785-FB14-9C539976D56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74" name="Shape 74">
            <a:extLst>
              <a:ext uri="{FF2B5EF4-FFF2-40B4-BE49-F238E27FC236}">
                <a16:creationId xmlns:a16="http://schemas.microsoft.com/office/drawing/2014/main" id="{4C0A11E6-6A45-749F-ECDC-31BF57B0CD2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75" name="Shape 75">
            <a:extLst>
              <a:ext uri="{FF2B5EF4-FFF2-40B4-BE49-F238E27FC236}">
                <a16:creationId xmlns:a16="http://schemas.microsoft.com/office/drawing/2014/main" id="{771EC14A-0E47-4276-7FB6-F44F876680C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076" name="Shape 76">
            <a:extLst>
              <a:ext uri="{FF2B5EF4-FFF2-40B4-BE49-F238E27FC236}">
                <a16:creationId xmlns:a16="http://schemas.microsoft.com/office/drawing/2014/main" id="{10D31D0E-0CE7-82E1-254B-478AD698CFE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587</xdr:row>
      <xdr:rowOff>2978</xdr:rowOff>
    </xdr:from>
    <xdr:ext cx="33655" cy="33655"/>
    <xdr:grpSp>
      <xdr:nvGrpSpPr>
        <xdr:cNvPr id="4077" name="Group 2">
          <a:extLst>
            <a:ext uri="{FF2B5EF4-FFF2-40B4-BE49-F238E27FC236}">
              <a16:creationId xmlns:a16="http://schemas.microsoft.com/office/drawing/2014/main" id="{699AB353-0CC3-4143-BE64-22C7496A8C6A}"/>
            </a:ext>
          </a:extLst>
        </xdr:cNvPr>
        <xdr:cNvGrpSpPr/>
      </xdr:nvGrpSpPr>
      <xdr:grpSpPr>
        <a:xfrm>
          <a:off x="4603072" y="109462404"/>
          <a:ext cx="33655" cy="33655"/>
          <a:chOff x="0" y="0"/>
          <a:chExt cx="33655" cy="33655"/>
        </a:xfrm>
      </xdr:grpSpPr>
      <xdr:sp macro="" textlink="">
        <xdr:nvSpPr>
          <xdr:cNvPr id="4078" name="Shape 3">
            <a:extLst>
              <a:ext uri="{FF2B5EF4-FFF2-40B4-BE49-F238E27FC236}">
                <a16:creationId xmlns:a16="http://schemas.microsoft.com/office/drawing/2014/main" id="{C3E42408-1F80-5AF6-3B95-D11D609C2F0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79" name="Shape 4">
            <a:extLst>
              <a:ext uri="{FF2B5EF4-FFF2-40B4-BE49-F238E27FC236}">
                <a16:creationId xmlns:a16="http://schemas.microsoft.com/office/drawing/2014/main" id="{448C1DB3-60FA-1E60-423A-BEE0B0D5809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80" name="Shape 5">
            <a:extLst>
              <a:ext uri="{FF2B5EF4-FFF2-40B4-BE49-F238E27FC236}">
                <a16:creationId xmlns:a16="http://schemas.microsoft.com/office/drawing/2014/main" id="{551DDC64-86B4-C1DC-0901-C6645164EAF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81" name="Shape 6">
            <a:extLst>
              <a:ext uri="{FF2B5EF4-FFF2-40B4-BE49-F238E27FC236}">
                <a16:creationId xmlns:a16="http://schemas.microsoft.com/office/drawing/2014/main" id="{43FE7C48-2962-FBC2-F246-9AE4E6214F5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82" name="Shape 7">
            <a:extLst>
              <a:ext uri="{FF2B5EF4-FFF2-40B4-BE49-F238E27FC236}">
                <a16:creationId xmlns:a16="http://schemas.microsoft.com/office/drawing/2014/main" id="{9E2860BF-7F28-27F7-0D8F-894C52A80E8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83" name="Shape 8">
            <a:extLst>
              <a:ext uri="{FF2B5EF4-FFF2-40B4-BE49-F238E27FC236}">
                <a16:creationId xmlns:a16="http://schemas.microsoft.com/office/drawing/2014/main" id="{C6C6E168-E0AF-930C-7811-F1CD8FF2F45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84" name="Shape 9">
            <a:extLst>
              <a:ext uri="{FF2B5EF4-FFF2-40B4-BE49-F238E27FC236}">
                <a16:creationId xmlns:a16="http://schemas.microsoft.com/office/drawing/2014/main" id="{E372B713-3841-A2DF-2F86-D67E4A225E4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85" name="Shape 10">
            <a:extLst>
              <a:ext uri="{FF2B5EF4-FFF2-40B4-BE49-F238E27FC236}">
                <a16:creationId xmlns:a16="http://schemas.microsoft.com/office/drawing/2014/main" id="{1BFA9225-0EAF-8540-D4FE-25CCCC2B1AC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86" name="Shape 11">
            <a:extLst>
              <a:ext uri="{FF2B5EF4-FFF2-40B4-BE49-F238E27FC236}">
                <a16:creationId xmlns:a16="http://schemas.microsoft.com/office/drawing/2014/main" id="{ED9FD151-1525-3F88-F3D2-0D56845C0BE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87" name="Shape 12">
            <a:extLst>
              <a:ext uri="{FF2B5EF4-FFF2-40B4-BE49-F238E27FC236}">
                <a16:creationId xmlns:a16="http://schemas.microsoft.com/office/drawing/2014/main" id="{A874665E-E41C-07A3-CE9B-2D94AB7071C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88" name="Shape 13">
            <a:extLst>
              <a:ext uri="{FF2B5EF4-FFF2-40B4-BE49-F238E27FC236}">
                <a16:creationId xmlns:a16="http://schemas.microsoft.com/office/drawing/2014/main" id="{8BBD20F8-C2B1-92CB-EBEA-CB284FE5052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89" name="Shape 14">
            <a:extLst>
              <a:ext uri="{FF2B5EF4-FFF2-40B4-BE49-F238E27FC236}">
                <a16:creationId xmlns:a16="http://schemas.microsoft.com/office/drawing/2014/main" id="{B644F33E-1380-3FFC-2602-67DE9C27E1A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90" name="Shape 15">
            <a:extLst>
              <a:ext uri="{FF2B5EF4-FFF2-40B4-BE49-F238E27FC236}">
                <a16:creationId xmlns:a16="http://schemas.microsoft.com/office/drawing/2014/main" id="{9BED195A-EB84-429E-35B5-5281DD93314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91" name="Shape 16">
            <a:extLst>
              <a:ext uri="{FF2B5EF4-FFF2-40B4-BE49-F238E27FC236}">
                <a16:creationId xmlns:a16="http://schemas.microsoft.com/office/drawing/2014/main" id="{C2EBB369-DBC2-F4AD-027B-E1489F36A73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587</xdr:row>
      <xdr:rowOff>3246</xdr:rowOff>
    </xdr:from>
    <xdr:ext cx="33655" cy="33655"/>
    <xdr:grpSp>
      <xdr:nvGrpSpPr>
        <xdr:cNvPr id="4092" name="Group 17">
          <a:extLst>
            <a:ext uri="{FF2B5EF4-FFF2-40B4-BE49-F238E27FC236}">
              <a16:creationId xmlns:a16="http://schemas.microsoft.com/office/drawing/2014/main" id="{9A085D90-0595-4681-9077-8C44EC69A4A9}"/>
            </a:ext>
          </a:extLst>
        </xdr:cNvPr>
        <xdr:cNvGrpSpPr/>
      </xdr:nvGrpSpPr>
      <xdr:grpSpPr>
        <a:xfrm>
          <a:off x="4603072" y="109462672"/>
          <a:ext cx="33655" cy="33655"/>
          <a:chOff x="0" y="0"/>
          <a:chExt cx="33655" cy="33655"/>
        </a:xfrm>
      </xdr:grpSpPr>
      <xdr:sp macro="" textlink="">
        <xdr:nvSpPr>
          <xdr:cNvPr id="4093" name="Shape 18">
            <a:extLst>
              <a:ext uri="{FF2B5EF4-FFF2-40B4-BE49-F238E27FC236}">
                <a16:creationId xmlns:a16="http://schemas.microsoft.com/office/drawing/2014/main" id="{423F6CE7-C525-5641-3D4C-53C1661F04D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94" name="Shape 19">
            <a:extLst>
              <a:ext uri="{FF2B5EF4-FFF2-40B4-BE49-F238E27FC236}">
                <a16:creationId xmlns:a16="http://schemas.microsoft.com/office/drawing/2014/main" id="{210F9B71-2C41-D3CA-960D-C14084094A6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95" name="Shape 20">
            <a:extLst>
              <a:ext uri="{FF2B5EF4-FFF2-40B4-BE49-F238E27FC236}">
                <a16:creationId xmlns:a16="http://schemas.microsoft.com/office/drawing/2014/main" id="{578F05D8-4340-F9B8-682D-053862AC9CE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96" name="Shape 21">
            <a:extLst>
              <a:ext uri="{FF2B5EF4-FFF2-40B4-BE49-F238E27FC236}">
                <a16:creationId xmlns:a16="http://schemas.microsoft.com/office/drawing/2014/main" id="{2449479E-04A1-A494-A62E-DC39CA383F7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97" name="Shape 22">
            <a:extLst>
              <a:ext uri="{FF2B5EF4-FFF2-40B4-BE49-F238E27FC236}">
                <a16:creationId xmlns:a16="http://schemas.microsoft.com/office/drawing/2014/main" id="{1807DBB2-84F7-5714-28E1-44B6FB37A98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098" name="Shape 23">
            <a:extLst>
              <a:ext uri="{FF2B5EF4-FFF2-40B4-BE49-F238E27FC236}">
                <a16:creationId xmlns:a16="http://schemas.microsoft.com/office/drawing/2014/main" id="{07099DEC-5A86-4C8B-18D2-BC15AFFA677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099" name="Shape 24">
            <a:extLst>
              <a:ext uri="{FF2B5EF4-FFF2-40B4-BE49-F238E27FC236}">
                <a16:creationId xmlns:a16="http://schemas.microsoft.com/office/drawing/2014/main" id="{AE3FA673-9D91-359A-5EC3-AB496C4A76A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00" name="Shape 25">
            <a:extLst>
              <a:ext uri="{FF2B5EF4-FFF2-40B4-BE49-F238E27FC236}">
                <a16:creationId xmlns:a16="http://schemas.microsoft.com/office/drawing/2014/main" id="{5450258F-771A-E3BD-1667-D2D5BDE5E76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01" name="Shape 26">
            <a:extLst>
              <a:ext uri="{FF2B5EF4-FFF2-40B4-BE49-F238E27FC236}">
                <a16:creationId xmlns:a16="http://schemas.microsoft.com/office/drawing/2014/main" id="{1405701A-B24F-FD22-C731-F0EA4BC2E43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02" name="Shape 27">
            <a:extLst>
              <a:ext uri="{FF2B5EF4-FFF2-40B4-BE49-F238E27FC236}">
                <a16:creationId xmlns:a16="http://schemas.microsoft.com/office/drawing/2014/main" id="{74E12AB6-74EA-F39E-F76E-E8F4A6F8850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03" name="Shape 28">
            <a:extLst>
              <a:ext uri="{FF2B5EF4-FFF2-40B4-BE49-F238E27FC236}">
                <a16:creationId xmlns:a16="http://schemas.microsoft.com/office/drawing/2014/main" id="{BDC57F91-418D-68D6-6BAC-52A1EB985CF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04" name="Shape 29">
            <a:extLst>
              <a:ext uri="{FF2B5EF4-FFF2-40B4-BE49-F238E27FC236}">
                <a16:creationId xmlns:a16="http://schemas.microsoft.com/office/drawing/2014/main" id="{E32BF33A-22A1-B314-7115-7132905A316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05" name="Shape 30">
            <a:extLst>
              <a:ext uri="{FF2B5EF4-FFF2-40B4-BE49-F238E27FC236}">
                <a16:creationId xmlns:a16="http://schemas.microsoft.com/office/drawing/2014/main" id="{A75FD965-720C-DD05-7B71-459D17DEB3E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06" name="Shape 31">
            <a:extLst>
              <a:ext uri="{FF2B5EF4-FFF2-40B4-BE49-F238E27FC236}">
                <a16:creationId xmlns:a16="http://schemas.microsoft.com/office/drawing/2014/main" id="{4A18A159-4DCD-3DBB-8094-6FDFE7B8947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587</xdr:row>
      <xdr:rowOff>3703</xdr:rowOff>
    </xdr:from>
    <xdr:ext cx="33655" cy="33655"/>
    <xdr:grpSp>
      <xdr:nvGrpSpPr>
        <xdr:cNvPr id="4107" name="Group 32">
          <a:extLst>
            <a:ext uri="{FF2B5EF4-FFF2-40B4-BE49-F238E27FC236}">
              <a16:creationId xmlns:a16="http://schemas.microsoft.com/office/drawing/2014/main" id="{7E3BAFCC-9150-4449-998B-D5AF09AC1462}"/>
            </a:ext>
          </a:extLst>
        </xdr:cNvPr>
        <xdr:cNvGrpSpPr/>
      </xdr:nvGrpSpPr>
      <xdr:grpSpPr>
        <a:xfrm>
          <a:off x="4603072" y="109463129"/>
          <a:ext cx="33655" cy="33655"/>
          <a:chOff x="0" y="0"/>
          <a:chExt cx="33655" cy="33655"/>
        </a:xfrm>
      </xdr:grpSpPr>
      <xdr:sp macro="" textlink="">
        <xdr:nvSpPr>
          <xdr:cNvPr id="4108" name="Shape 33">
            <a:extLst>
              <a:ext uri="{FF2B5EF4-FFF2-40B4-BE49-F238E27FC236}">
                <a16:creationId xmlns:a16="http://schemas.microsoft.com/office/drawing/2014/main" id="{D433355F-8EC7-0D60-5779-76B586DC504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09" name="Shape 34">
            <a:extLst>
              <a:ext uri="{FF2B5EF4-FFF2-40B4-BE49-F238E27FC236}">
                <a16:creationId xmlns:a16="http://schemas.microsoft.com/office/drawing/2014/main" id="{57E19DAD-2265-4C57-496A-22D7EC0989C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10" name="Shape 35">
            <a:extLst>
              <a:ext uri="{FF2B5EF4-FFF2-40B4-BE49-F238E27FC236}">
                <a16:creationId xmlns:a16="http://schemas.microsoft.com/office/drawing/2014/main" id="{90FF6E08-7F05-AEAB-9DEC-7C6DB091784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11" name="Shape 36">
            <a:extLst>
              <a:ext uri="{FF2B5EF4-FFF2-40B4-BE49-F238E27FC236}">
                <a16:creationId xmlns:a16="http://schemas.microsoft.com/office/drawing/2014/main" id="{CDAFF5CE-704C-8C9A-89B0-0DA1D8E93FB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12" name="Shape 37">
            <a:extLst>
              <a:ext uri="{FF2B5EF4-FFF2-40B4-BE49-F238E27FC236}">
                <a16:creationId xmlns:a16="http://schemas.microsoft.com/office/drawing/2014/main" id="{01CE894E-9621-535B-EA78-EB003EBFDB4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13" name="Shape 38">
            <a:extLst>
              <a:ext uri="{FF2B5EF4-FFF2-40B4-BE49-F238E27FC236}">
                <a16:creationId xmlns:a16="http://schemas.microsoft.com/office/drawing/2014/main" id="{241D4221-DC88-5135-3C2D-02746AD2F15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14" name="Shape 39">
            <a:extLst>
              <a:ext uri="{FF2B5EF4-FFF2-40B4-BE49-F238E27FC236}">
                <a16:creationId xmlns:a16="http://schemas.microsoft.com/office/drawing/2014/main" id="{E8C7C18F-9CE8-6343-E601-744E6477A15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15" name="Shape 40">
            <a:extLst>
              <a:ext uri="{FF2B5EF4-FFF2-40B4-BE49-F238E27FC236}">
                <a16:creationId xmlns:a16="http://schemas.microsoft.com/office/drawing/2014/main" id="{FC01B629-022B-8A2A-E397-6A9CD2CFFC6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16" name="Shape 41">
            <a:extLst>
              <a:ext uri="{FF2B5EF4-FFF2-40B4-BE49-F238E27FC236}">
                <a16:creationId xmlns:a16="http://schemas.microsoft.com/office/drawing/2014/main" id="{F94FCC24-0D29-4D56-F3CE-18F7DE2AB5C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17" name="Shape 42">
            <a:extLst>
              <a:ext uri="{FF2B5EF4-FFF2-40B4-BE49-F238E27FC236}">
                <a16:creationId xmlns:a16="http://schemas.microsoft.com/office/drawing/2014/main" id="{4D2DBFB3-DE4E-70C7-64A7-CC982C7C925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18" name="Shape 43">
            <a:extLst>
              <a:ext uri="{FF2B5EF4-FFF2-40B4-BE49-F238E27FC236}">
                <a16:creationId xmlns:a16="http://schemas.microsoft.com/office/drawing/2014/main" id="{6890B429-552A-1D0C-8C57-3F26D4E8079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19" name="Shape 44">
            <a:extLst>
              <a:ext uri="{FF2B5EF4-FFF2-40B4-BE49-F238E27FC236}">
                <a16:creationId xmlns:a16="http://schemas.microsoft.com/office/drawing/2014/main" id="{CCDF2253-3621-3128-2C0C-7C23754A39F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20" name="Shape 45">
            <a:extLst>
              <a:ext uri="{FF2B5EF4-FFF2-40B4-BE49-F238E27FC236}">
                <a16:creationId xmlns:a16="http://schemas.microsoft.com/office/drawing/2014/main" id="{A5E2C047-1A06-916C-B6DF-B98F8C0A0D2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21" name="Shape 46">
            <a:extLst>
              <a:ext uri="{FF2B5EF4-FFF2-40B4-BE49-F238E27FC236}">
                <a16:creationId xmlns:a16="http://schemas.microsoft.com/office/drawing/2014/main" id="{52E5E210-5CF8-04A7-1972-41C015BAAF2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587</xdr:row>
      <xdr:rowOff>3409</xdr:rowOff>
    </xdr:from>
    <xdr:ext cx="33655" cy="33655"/>
    <xdr:grpSp>
      <xdr:nvGrpSpPr>
        <xdr:cNvPr id="4122" name="Group 47">
          <a:extLst>
            <a:ext uri="{FF2B5EF4-FFF2-40B4-BE49-F238E27FC236}">
              <a16:creationId xmlns:a16="http://schemas.microsoft.com/office/drawing/2014/main" id="{902327B9-A2C4-4D5B-9D43-2600427E16F9}"/>
            </a:ext>
          </a:extLst>
        </xdr:cNvPr>
        <xdr:cNvGrpSpPr/>
      </xdr:nvGrpSpPr>
      <xdr:grpSpPr>
        <a:xfrm>
          <a:off x="4603072" y="109462835"/>
          <a:ext cx="33655" cy="33655"/>
          <a:chOff x="0" y="0"/>
          <a:chExt cx="33655" cy="33655"/>
        </a:xfrm>
      </xdr:grpSpPr>
      <xdr:sp macro="" textlink="">
        <xdr:nvSpPr>
          <xdr:cNvPr id="4123" name="Shape 48">
            <a:extLst>
              <a:ext uri="{FF2B5EF4-FFF2-40B4-BE49-F238E27FC236}">
                <a16:creationId xmlns:a16="http://schemas.microsoft.com/office/drawing/2014/main" id="{1DBE9BF9-BA8A-9C82-25B7-EC389410F69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24" name="Shape 49">
            <a:extLst>
              <a:ext uri="{FF2B5EF4-FFF2-40B4-BE49-F238E27FC236}">
                <a16:creationId xmlns:a16="http://schemas.microsoft.com/office/drawing/2014/main" id="{3F1ED1D7-AB21-AC69-90AD-0DF96F9D1A8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25" name="Shape 50">
            <a:extLst>
              <a:ext uri="{FF2B5EF4-FFF2-40B4-BE49-F238E27FC236}">
                <a16:creationId xmlns:a16="http://schemas.microsoft.com/office/drawing/2014/main" id="{F074373E-CEF1-68B7-3FA8-B5406AD7CDE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26" name="Shape 51">
            <a:extLst>
              <a:ext uri="{FF2B5EF4-FFF2-40B4-BE49-F238E27FC236}">
                <a16:creationId xmlns:a16="http://schemas.microsoft.com/office/drawing/2014/main" id="{805608CF-EE6B-EAE9-6B9F-9846C9B653C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27" name="Shape 52">
            <a:extLst>
              <a:ext uri="{FF2B5EF4-FFF2-40B4-BE49-F238E27FC236}">
                <a16:creationId xmlns:a16="http://schemas.microsoft.com/office/drawing/2014/main" id="{9D7F2AB3-FF24-8BC2-DECE-B89F2E9420B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28" name="Shape 53">
            <a:extLst>
              <a:ext uri="{FF2B5EF4-FFF2-40B4-BE49-F238E27FC236}">
                <a16:creationId xmlns:a16="http://schemas.microsoft.com/office/drawing/2014/main" id="{903A846F-BF09-CE51-E3E3-36F5DEB151E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29" name="Shape 54">
            <a:extLst>
              <a:ext uri="{FF2B5EF4-FFF2-40B4-BE49-F238E27FC236}">
                <a16:creationId xmlns:a16="http://schemas.microsoft.com/office/drawing/2014/main" id="{6C038B63-CD2D-7809-2AFA-49301FEE528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30" name="Shape 55">
            <a:extLst>
              <a:ext uri="{FF2B5EF4-FFF2-40B4-BE49-F238E27FC236}">
                <a16:creationId xmlns:a16="http://schemas.microsoft.com/office/drawing/2014/main" id="{5249D675-F213-CB37-6B2C-81E28A22679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31" name="Shape 56">
            <a:extLst>
              <a:ext uri="{FF2B5EF4-FFF2-40B4-BE49-F238E27FC236}">
                <a16:creationId xmlns:a16="http://schemas.microsoft.com/office/drawing/2014/main" id="{896CBC7F-8485-9638-C76E-EED5BE0C17E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32" name="Shape 57">
            <a:extLst>
              <a:ext uri="{FF2B5EF4-FFF2-40B4-BE49-F238E27FC236}">
                <a16:creationId xmlns:a16="http://schemas.microsoft.com/office/drawing/2014/main" id="{B9E9608B-6D66-F101-5F47-D9155D7C630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33" name="Shape 58">
            <a:extLst>
              <a:ext uri="{FF2B5EF4-FFF2-40B4-BE49-F238E27FC236}">
                <a16:creationId xmlns:a16="http://schemas.microsoft.com/office/drawing/2014/main" id="{731D8094-CA2B-1A05-E203-19584906250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34" name="Shape 59">
            <a:extLst>
              <a:ext uri="{FF2B5EF4-FFF2-40B4-BE49-F238E27FC236}">
                <a16:creationId xmlns:a16="http://schemas.microsoft.com/office/drawing/2014/main" id="{0BE2F445-3ED2-7B6C-BD5D-F55350E0888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35" name="Shape 60">
            <a:extLst>
              <a:ext uri="{FF2B5EF4-FFF2-40B4-BE49-F238E27FC236}">
                <a16:creationId xmlns:a16="http://schemas.microsoft.com/office/drawing/2014/main" id="{0D46C5F5-A399-1B48-267E-858DA2D47F5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36" name="Shape 61">
            <a:extLst>
              <a:ext uri="{FF2B5EF4-FFF2-40B4-BE49-F238E27FC236}">
                <a16:creationId xmlns:a16="http://schemas.microsoft.com/office/drawing/2014/main" id="{D555B566-520E-39CD-9709-BCFEB2B989C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587</xdr:row>
      <xdr:rowOff>3962</xdr:rowOff>
    </xdr:from>
    <xdr:ext cx="33655" cy="33655"/>
    <xdr:grpSp>
      <xdr:nvGrpSpPr>
        <xdr:cNvPr id="4137" name="Group 62">
          <a:extLst>
            <a:ext uri="{FF2B5EF4-FFF2-40B4-BE49-F238E27FC236}">
              <a16:creationId xmlns:a16="http://schemas.microsoft.com/office/drawing/2014/main" id="{D65769BF-B208-48DA-B14A-EC818115B33D}"/>
            </a:ext>
          </a:extLst>
        </xdr:cNvPr>
        <xdr:cNvGrpSpPr/>
      </xdr:nvGrpSpPr>
      <xdr:grpSpPr>
        <a:xfrm>
          <a:off x="4603072" y="109463388"/>
          <a:ext cx="33655" cy="33655"/>
          <a:chOff x="0" y="0"/>
          <a:chExt cx="33655" cy="33655"/>
        </a:xfrm>
      </xdr:grpSpPr>
      <xdr:sp macro="" textlink="">
        <xdr:nvSpPr>
          <xdr:cNvPr id="4138" name="Shape 63">
            <a:extLst>
              <a:ext uri="{FF2B5EF4-FFF2-40B4-BE49-F238E27FC236}">
                <a16:creationId xmlns:a16="http://schemas.microsoft.com/office/drawing/2014/main" id="{2EEAC75B-CF3B-CC7C-AD70-1CB475549C0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39" name="Shape 64">
            <a:extLst>
              <a:ext uri="{FF2B5EF4-FFF2-40B4-BE49-F238E27FC236}">
                <a16:creationId xmlns:a16="http://schemas.microsoft.com/office/drawing/2014/main" id="{0C3B1D6C-D8EF-8A40-20BD-68671625BCF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140" name="Shape 65">
            <a:extLst>
              <a:ext uri="{FF2B5EF4-FFF2-40B4-BE49-F238E27FC236}">
                <a16:creationId xmlns:a16="http://schemas.microsoft.com/office/drawing/2014/main" id="{371BE5A7-9B17-FDD5-DD77-14F109A60AB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41" name="Shape 66">
            <a:extLst>
              <a:ext uri="{FF2B5EF4-FFF2-40B4-BE49-F238E27FC236}">
                <a16:creationId xmlns:a16="http://schemas.microsoft.com/office/drawing/2014/main" id="{21FCA671-4A08-7169-2754-9B755FA5001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142" name="Shape 67">
            <a:extLst>
              <a:ext uri="{FF2B5EF4-FFF2-40B4-BE49-F238E27FC236}">
                <a16:creationId xmlns:a16="http://schemas.microsoft.com/office/drawing/2014/main" id="{B11D78A8-A07F-3C5F-1094-C584EDFE1E5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43" name="Shape 68">
            <a:extLst>
              <a:ext uri="{FF2B5EF4-FFF2-40B4-BE49-F238E27FC236}">
                <a16:creationId xmlns:a16="http://schemas.microsoft.com/office/drawing/2014/main" id="{812DBFA3-5E49-E2F2-CBAD-88D2F9F72CF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144" name="Shape 69">
            <a:extLst>
              <a:ext uri="{FF2B5EF4-FFF2-40B4-BE49-F238E27FC236}">
                <a16:creationId xmlns:a16="http://schemas.microsoft.com/office/drawing/2014/main" id="{666A47BA-DA70-4224-1598-3FDCAD4210C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45" name="Shape 70">
            <a:extLst>
              <a:ext uri="{FF2B5EF4-FFF2-40B4-BE49-F238E27FC236}">
                <a16:creationId xmlns:a16="http://schemas.microsoft.com/office/drawing/2014/main" id="{EAD3CA6B-6C17-DF7A-C532-7E478B74D04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146" name="Shape 71">
            <a:extLst>
              <a:ext uri="{FF2B5EF4-FFF2-40B4-BE49-F238E27FC236}">
                <a16:creationId xmlns:a16="http://schemas.microsoft.com/office/drawing/2014/main" id="{712C8AFD-E2CE-CDC2-A2A7-BC517233C08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47" name="Shape 72">
            <a:extLst>
              <a:ext uri="{FF2B5EF4-FFF2-40B4-BE49-F238E27FC236}">
                <a16:creationId xmlns:a16="http://schemas.microsoft.com/office/drawing/2014/main" id="{D9D66CC8-7D61-BBC1-B031-3BDACEBED9F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148" name="Shape 73">
            <a:extLst>
              <a:ext uri="{FF2B5EF4-FFF2-40B4-BE49-F238E27FC236}">
                <a16:creationId xmlns:a16="http://schemas.microsoft.com/office/drawing/2014/main" id="{9ACA894D-737A-6D85-D546-449EEA8A93A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49" name="Shape 74">
            <a:extLst>
              <a:ext uri="{FF2B5EF4-FFF2-40B4-BE49-F238E27FC236}">
                <a16:creationId xmlns:a16="http://schemas.microsoft.com/office/drawing/2014/main" id="{FA2C3D89-52A4-1F66-BA15-F1D9BAD7250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150" name="Shape 75">
            <a:extLst>
              <a:ext uri="{FF2B5EF4-FFF2-40B4-BE49-F238E27FC236}">
                <a16:creationId xmlns:a16="http://schemas.microsoft.com/office/drawing/2014/main" id="{3B6DEBBB-1E15-4D61-D618-D62914CE481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151" name="Shape 76">
            <a:extLst>
              <a:ext uri="{FF2B5EF4-FFF2-40B4-BE49-F238E27FC236}">
                <a16:creationId xmlns:a16="http://schemas.microsoft.com/office/drawing/2014/main" id="{75C29FB8-B465-3626-DA30-4C76F564945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587</xdr:row>
      <xdr:rowOff>2978</xdr:rowOff>
    </xdr:from>
    <xdr:ext cx="33655" cy="33655"/>
    <xdr:grpSp>
      <xdr:nvGrpSpPr>
        <xdr:cNvPr id="4152" name="Group 2">
          <a:extLst>
            <a:ext uri="{FF2B5EF4-FFF2-40B4-BE49-F238E27FC236}">
              <a16:creationId xmlns:a16="http://schemas.microsoft.com/office/drawing/2014/main" id="{BD3FA7E5-A6DF-4761-8868-17D9D75C1298}"/>
            </a:ext>
          </a:extLst>
        </xdr:cNvPr>
        <xdr:cNvGrpSpPr/>
      </xdr:nvGrpSpPr>
      <xdr:grpSpPr>
        <a:xfrm>
          <a:off x="4603072" y="109462404"/>
          <a:ext cx="33655" cy="33655"/>
          <a:chOff x="0" y="0"/>
          <a:chExt cx="33655" cy="33655"/>
        </a:xfrm>
      </xdr:grpSpPr>
      <xdr:sp macro="" textlink="">
        <xdr:nvSpPr>
          <xdr:cNvPr id="4153" name="Shape 3">
            <a:extLst>
              <a:ext uri="{FF2B5EF4-FFF2-40B4-BE49-F238E27FC236}">
                <a16:creationId xmlns:a16="http://schemas.microsoft.com/office/drawing/2014/main" id="{794EC4D7-24F3-A70B-2EBA-AFD7B3FFDC4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54" name="Shape 4">
            <a:extLst>
              <a:ext uri="{FF2B5EF4-FFF2-40B4-BE49-F238E27FC236}">
                <a16:creationId xmlns:a16="http://schemas.microsoft.com/office/drawing/2014/main" id="{CC9577A0-0C3D-A5FB-B6C7-5B688C3391A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55" name="Shape 5">
            <a:extLst>
              <a:ext uri="{FF2B5EF4-FFF2-40B4-BE49-F238E27FC236}">
                <a16:creationId xmlns:a16="http://schemas.microsoft.com/office/drawing/2014/main" id="{7CE05E9D-7829-D9AE-4BDE-FEC56B56531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56" name="Shape 6">
            <a:extLst>
              <a:ext uri="{FF2B5EF4-FFF2-40B4-BE49-F238E27FC236}">
                <a16:creationId xmlns:a16="http://schemas.microsoft.com/office/drawing/2014/main" id="{94187153-479E-20EC-DA65-108CE448A68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57" name="Shape 7">
            <a:extLst>
              <a:ext uri="{FF2B5EF4-FFF2-40B4-BE49-F238E27FC236}">
                <a16:creationId xmlns:a16="http://schemas.microsoft.com/office/drawing/2014/main" id="{C779CEFD-6DAB-17AC-121C-344B2DE02DB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58" name="Shape 8">
            <a:extLst>
              <a:ext uri="{FF2B5EF4-FFF2-40B4-BE49-F238E27FC236}">
                <a16:creationId xmlns:a16="http://schemas.microsoft.com/office/drawing/2014/main" id="{749726F1-A614-EB72-C099-EF519D4CE13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59" name="Shape 9">
            <a:extLst>
              <a:ext uri="{FF2B5EF4-FFF2-40B4-BE49-F238E27FC236}">
                <a16:creationId xmlns:a16="http://schemas.microsoft.com/office/drawing/2014/main" id="{392BDF23-1C09-E5EA-4781-C5CCA3A0EBD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60" name="Shape 10">
            <a:extLst>
              <a:ext uri="{FF2B5EF4-FFF2-40B4-BE49-F238E27FC236}">
                <a16:creationId xmlns:a16="http://schemas.microsoft.com/office/drawing/2014/main" id="{A3C89C1D-6ADA-47CA-A8E1-FABF60F4A86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61" name="Shape 11">
            <a:extLst>
              <a:ext uri="{FF2B5EF4-FFF2-40B4-BE49-F238E27FC236}">
                <a16:creationId xmlns:a16="http://schemas.microsoft.com/office/drawing/2014/main" id="{E1CCFDE3-142F-27A1-D9B3-4A99931A320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62" name="Shape 12">
            <a:extLst>
              <a:ext uri="{FF2B5EF4-FFF2-40B4-BE49-F238E27FC236}">
                <a16:creationId xmlns:a16="http://schemas.microsoft.com/office/drawing/2014/main" id="{C53B5C41-D01D-4A6F-6C31-CA2937E68A9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63" name="Shape 13">
            <a:extLst>
              <a:ext uri="{FF2B5EF4-FFF2-40B4-BE49-F238E27FC236}">
                <a16:creationId xmlns:a16="http://schemas.microsoft.com/office/drawing/2014/main" id="{0712676B-2CD8-55B7-1F59-72617F25FCB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64" name="Shape 14">
            <a:extLst>
              <a:ext uri="{FF2B5EF4-FFF2-40B4-BE49-F238E27FC236}">
                <a16:creationId xmlns:a16="http://schemas.microsoft.com/office/drawing/2014/main" id="{09D7E479-FA03-DF6A-4150-73EE4404B73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65" name="Shape 15">
            <a:extLst>
              <a:ext uri="{FF2B5EF4-FFF2-40B4-BE49-F238E27FC236}">
                <a16:creationId xmlns:a16="http://schemas.microsoft.com/office/drawing/2014/main" id="{44D480E3-031F-B830-2F60-D44D7337A2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66" name="Shape 16">
            <a:extLst>
              <a:ext uri="{FF2B5EF4-FFF2-40B4-BE49-F238E27FC236}">
                <a16:creationId xmlns:a16="http://schemas.microsoft.com/office/drawing/2014/main" id="{2A2A9D47-4716-9CA2-1FA6-B0CF52DB968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587</xdr:row>
      <xdr:rowOff>3246</xdr:rowOff>
    </xdr:from>
    <xdr:ext cx="33655" cy="33655"/>
    <xdr:grpSp>
      <xdr:nvGrpSpPr>
        <xdr:cNvPr id="4167" name="Group 17">
          <a:extLst>
            <a:ext uri="{FF2B5EF4-FFF2-40B4-BE49-F238E27FC236}">
              <a16:creationId xmlns:a16="http://schemas.microsoft.com/office/drawing/2014/main" id="{83CC2DE3-0525-4B61-80F0-6F5C24D63B2F}"/>
            </a:ext>
          </a:extLst>
        </xdr:cNvPr>
        <xdr:cNvGrpSpPr/>
      </xdr:nvGrpSpPr>
      <xdr:grpSpPr>
        <a:xfrm>
          <a:off x="4603072" y="109462672"/>
          <a:ext cx="33655" cy="33655"/>
          <a:chOff x="0" y="0"/>
          <a:chExt cx="33655" cy="33655"/>
        </a:xfrm>
      </xdr:grpSpPr>
      <xdr:sp macro="" textlink="">
        <xdr:nvSpPr>
          <xdr:cNvPr id="4168" name="Shape 18">
            <a:extLst>
              <a:ext uri="{FF2B5EF4-FFF2-40B4-BE49-F238E27FC236}">
                <a16:creationId xmlns:a16="http://schemas.microsoft.com/office/drawing/2014/main" id="{DC7CD10C-0464-3E8B-2164-7EA2C013CEE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69" name="Shape 19">
            <a:extLst>
              <a:ext uri="{FF2B5EF4-FFF2-40B4-BE49-F238E27FC236}">
                <a16:creationId xmlns:a16="http://schemas.microsoft.com/office/drawing/2014/main" id="{99D244A0-D4C4-A1FC-C23B-C26C06398E2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70" name="Shape 20">
            <a:extLst>
              <a:ext uri="{FF2B5EF4-FFF2-40B4-BE49-F238E27FC236}">
                <a16:creationId xmlns:a16="http://schemas.microsoft.com/office/drawing/2014/main" id="{EE6A1EE5-7A64-264B-3DB0-10F4A164F22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71" name="Shape 21">
            <a:extLst>
              <a:ext uri="{FF2B5EF4-FFF2-40B4-BE49-F238E27FC236}">
                <a16:creationId xmlns:a16="http://schemas.microsoft.com/office/drawing/2014/main" id="{505EF711-D961-A531-F62A-378702E165A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72" name="Shape 22">
            <a:extLst>
              <a:ext uri="{FF2B5EF4-FFF2-40B4-BE49-F238E27FC236}">
                <a16:creationId xmlns:a16="http://schemas.microsoft.com/office/drawing/2014/main" id="{1927DC50-7F23-4F69-F85B-4375B11EBD6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73" name="Shape 23">
            <a:extLst>
              <a:ext uri="{FF2B5EF4-FFF2-40B4-BE49-F238E27FC236}">
                <a16:creationId xmlns:a16="http://schemas.microsoft.com/office/drawing/2014/main" id="{83FEE511-9B61-DCB7-3F69-A00407CFB7A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74" name="Shape 24">
            <a:extLst>
              <a:ext uri="{FF2B5EF4-FFF2-40B4-BE49-F238E27FC236}">
                <a16:creationId xmlns:a16="http://schemas.microsoft.com/office/drawing/2014/main" id="{B424328E-3A2A-4B21-2DFE-CB8E80634D2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75" name="Shape 25">
            <a:extLst>
              <a:ext uri="{FF2B5EF4-FFF2-40B4-BE49-F238E27FC236}">
                <a16:creationId xmlns:a16="http://schemas.microsoft.com/office/drawing/2014/main" id="{501336E5-B395-E646-3110-0EC968F112C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76" name="Shape 26">
            <a:extLst>
              <a:ext uri="{FF2B5EF4-FFF2-40B4-BE49-F238E27FC236}">
                <a16:creationId xmlns:a16="http://schemas.microsoft.com/office/drawing/2014/main" id="{8180E56C-1B58-AF90-C1B0-04A34D8C78D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77" name="Shape 27">
            <a:extLst>
              <a:ext uri="{FF2B5EF4-FFF2-40B4-BE49-F238E27FC236}">
                <a16:creationId xmlns:a16="http://schemas.microsoft.com/office/drawing/2014/main" id="{6F71122E-FDEA-AF7E-C07E-A821E8F8B3A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78" name="Shape 28">
            <a:extLst>
              <a:ext uri="{FF2B5EF4-FFF2-40B4-BE49-F238E27FC236}">
                <a16:creationId xmlns:a16="http://schemas.microsoft.com/office/drawing/2014/main" id="{D3B6E201-95D9-D70D-8220-DC5B9109C42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79" name="Shape 29">
            <a:extLst>
              <a:ext uri="{FF2B5EF4-FFF2-40B4-BE49-F238E27FC236}">
                <a16:creationId xmlns:a16="http://schemas.microsoft.com/office/drawing/2014/main" id="{348F156E-51EF-1EA2-0392-100A83A6DD2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80" name="Shape 30">
            <a:extLst>
              <a:ext uri="{FF2B5EF4-FFF2-40B4-BE49-F238E27FC236}">
                <a16:creationId xmlns:a16="http://schemas.microsoft.com/office/drawing/2014/main" id="{8439BE5A-B108-3205-E455-D8472D2E408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81" name="Shape 31">
            <a:extLst>
              <a:ext uri="{FF2B5EF4-FFF2-40B4-BE49-F238E27FC236}">
                <a16:creationId xmlns:a16="http://schemas.microsoft.com/office/drawing/2014/main" id="{A51EA53A-C76A-2919-2E07-C3106B0C3CC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587</xdr:row>
      <xdr:rowOff>3703</xdr:rowOff>
    </xdr:from>
    <xdr:ext cx="33655" cy="33655"/>
    <xdr:grpSp>
      <xdr:nvGrpSpPr>
        <xdr:cNvPr id="4182" name="Group 32">
          <a:extLst>
            <a:ext uri="{FF2B5EF4-FFF2-40B4-BE49-F238E27FC236}">
              <a16:creationId xmlns:a16="http://schemas.microsoft.com/office/drawing/2014/main" id="{44DAE644-3927-44DD-9BE2-B5BE4B11AD80}"/>
            </a:ext>
          </a:extLst>
        </xdr:cNvPr>
        <xdr:cNvGrpSpPr/>
      </xdr:nvGrpSpPr>
      <xdr:grpSpPr>
        <a:xfrm>
          <a:off x="4603072" y="109463129"/>
          <a:ext cx="33655" cy="33655"/>
          <a:chOff x="0" y="0"/>
          <a:chExt cx="33655" cy="33655"/>
        </a:xfrm>
      </xdr:grpSpPr>
      <xdr:sp macro="" textlink="">
        <xdr:nvSpPr>
          <xdr:cNvPr id="4183" name="Shape 33">
            <a:extLst>
              <a:ext uri="{FF2B5EF4-FFF2-40B4-BE49-F238E27FC236}">
                <a16:creationId xmlns:a16="http://schemas.microsoft.com/office/drawing/2014/main" id="{34C3C57E-C0FD-8C00-05AF-341FCBF042E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84" name="Shape 34">
            <a:extLst>
              <a:ext uri="{FF2B5EF4-FFF2-40B4-BE49-F238E27FC236}">
                <a16:creationId xmlns:a16="http://schemas.microsoft.com/office/drawing/2014/main" id="{92F651CE-38D2-CDDC-75A5-E42E8DC07C6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85" name="Shape 35">
            <a:extLst>
              <a:ext uri="{FF2B5EF4-FFF2-40B4-BE49-F238E27FC236}">
                <a16:creationId xmlns:a16="http://schemas.microsoft.com/office/drawing/2014/main" id="{ECD30F0F-7B39-7381-8C44-E7E9294C973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86" name="Shape 36">
            <a:extLst>
              <a:ext uri="{FF2B5EF4-FFF2-40B4-BE49-F238E27FC236}">
                <a16:creationId xmlns:a16="http://schemas.microsoft.com/office/drawing/2014/main" id="{BBF2814C-E9E9-2BE3-0ED6-F4F8F783C70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87" name="Shape 37">
            <a:extLst>
              <a:ext uri="{FF2B5EF4-FFF2-40B4-BE49-F238E27FC236}">
                <a16:creationId xmlns:a16="http://schemas.microsoft.com/office/drawing/2014/main" id="{A4F23133-53BB-6A9C-AC51-DEBF126AFD6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88" name="Shape 38">
            <a:extLst>
              <a:ext uri="{FF2B5EF4-FFF2-40B4-BE49-F238E27FC236}">
                <a16:creationId xmlns:a16="http://schemas.microsoft.com/office/drawing/2014/main" id="{BE613330-72F4-558E-8921-A02261DBE5B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89" name="Shape 39">
            <a:extLst>
              <a:ext uri="{FF2B5EF4-FFF2-40B4-BE49-F238E27FC236}">
                <a16:creationId xmlns:a16="http://schemas.microsoft.com/office/drawing/2014/main" id="{312FDB5F-1E81-33B2-3411-20FDAFE6C37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90" name="Shape 40">
            <a:extLst>
              <a:ext uri="{FF2B5EF4-FFF2-40B4-BE49-F238E27FC236}">
                <a16:creationId xmlns:a16="http://schemas.microsoft.com/office/drawing/2014/main" id="{4F2FE3D9-24D6-E374-DA7D-697E651B34A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91" name="Shape 41">
            <a:extLst>
              <a:ext uri="{FF2B5EF4-FFF2-40B4-BE49-F238E27FC236}">
                <a16:creationId xmlns:a16="http://schemas.microsoft.com/office/drawing/2014/main" id="{4DFAA31B-6FEA-3450-D68E-8823E59E059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92" name="Shape 42">
            <a:extLst>
              <a:ext uri="{FF2B5EF4-FFF2-40B4-BE49-F238E27FC236}">
                <a16:creationId xmlns:a16="http://schemas.microsoft.com/office/drawing/2014/main" id="{13BBC0F3-8644-B5F4-78EB-38BB5B35C0D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93" name="Shape 43">
            <a:extLst>
              <a:ext uri="{FF2B5EF4-FFF2-40B4-BE49-F238E27FC236}">
                <a16:creationId xmlns:a16="http://schemas.microsoft.com/office/drawing/2014/main" id="{76985FA1-A1F2-49C4-951E-DADC6101FFA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94" name="Shape 44">
            <a:extLst>
              <a:ext uri="{FF2B5EF4-FFF2-40B4-BE49-F238E27FC236}">
                <a16:creationId xmlns:a16="http://schemas.microsoft.com/office/drawing/2014/main" id="{C147FA76-2401-1EA7-9ACD-F0EE54BA11F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95" name="Shape 45">
            <a:extLst>
              <a:ext uri="{FF2B5EF4-FFF2-40B4-BE49-F238E27FC236}">
                <a16:creationId xmlns:a16="http://schemas.microsoft.com/office/drawing/2014/main" id="{B1E10FD8-375E-4DF1-AB12-8057EBA5BD7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196" name="Shape 46">
            <a:extLst>
              <a:ext uri="{FF2B5EF4-FFF2-40B4-BE49-F238E27FC236}">
                <a16:creationId xmlns:a16="http://schemas.microsoft.com/office/drawing/2014/main" id="{C7CC2410-719E-8E11-23C9-D5433E9A19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587</xdr:row>
      <xdr:rowOff>3409</xdr:rowOff>
    </xdr:from>
    <xdr:ext cx="33655" cy="33655"/>
    <xdr:grpSp>
      <xdr:nvGrpSpPr>
        <xdr:cNvPr id="4197" name="Group 47">
          <a:extLst>
            <a:ext uri="{FF2B5EF4-FFF2-40B4-BE49-F238E27FC236}">
              <a16:creationId xmlns:a16="http://schemas.microsoft.com/office/drawing/2014/main" id="{8A835524-C679-475A-B3FE-B231CF8684D1}"/>
            </a:ext>
          </a:extLst>
        </xdr:cNvPr>
        <xdr:cNvGrpSpPr/>
      </xdr:nvGrpSpPr>
      <xdr:grpSpPr>
        <a:xfrm>
          <a:off x="4603072" y="109462835"/>
          <a:ext cx="33655" cy="33655"/>
          <a:chOff x="0" y="0"/>
          <a:chExt cx="33655" cy="33655"/>
        </a:xfrm>
      </xdr:grpSpPr>
      <xdr:sp macro="" textlink="">
        <xdr:nvSpPr>
          <xdr:cNvPr id="4198" name="Shape 48">
            <a:extLst>
              <a:ext uri="{FF2B5EF4-FFF2-40B4-BE49-F238E27FC236}">
                <a16:creationId xmlns:a16="http://schemas.microsoft.com/office/drawing/2014/main" id="{A1332E44-0BFA-1A54-C54B-B321670A178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199" name="Shape 49">
            <a:extLst>
              <a:ext uri="{FF2B5EF4-FFF2-40B4-BE49-F238E27FC236}">
                <a16:creationId xmlns:a16="http://schemas.microsoft.com/office/drawing/2014/main" id="{D5E9E158-039E-F639-A020-975FC021EFC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00" name="Shape 50">
            <a:extLst>
              <a:ext uri="{FF2B5EF4-FFF2-40B4-BE49-F238E27FC236}">
                <a16:creationId xmlns:a16="http://schemas.microsoft.com/office/drawing/2014/main" id="{F4FA8589-4AEE-C239-FCA1-FA1E7575230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01" name="Shape 51">
            <a:extLst>
              <a:ext uri="{FF2B5EF4-FFF2-40B4-BE49-F238E27FC236}">
                <a16:creationId xmlns:a16="http://schemas.microsoft.com/office/drawing/2014/main" id="{072B9074-0B08-1DE1-058F-86F3B47FADA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02" name="Shape 52">
            <a:extLst>
              <a:ext uri="{FF2B5EF4-FFF2-40B4-BE49-F238E27FC236}">
                <a16:creationId xmlns:a16="http://schemas.microsoft.com/office/drawing/2014/main" id="{D67BD2DE-0A49-4A3F-A0AF-0C363DB1428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03" name="Shape 53">
            <a:extLst>
              <a:ext uri="{FF2B5EF4-FFF2-40B4-BE49-F238E27FC236}">
                <a16:creationId xmlns:a16="http://schemas.microsoft.com/office/drawing/2014/main" id="{559A40B4-E31E-1ABF-3870-D25D268E5D9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04" name="Shape 54">
            <a:extLst>
              <a:ext uri="{FF2B5EF4-FFF2-40B4-BE49-F238E27FC236}">
                <a16:creationId xmlns:a16="http://schemas.microsoft.com/office/drawing/2014/main" id="{043023CE-C35B-12EE-2F3C-FE00B3FF3B3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05" name="Shape 55">
            <a:extLst>
              <a:ext uri="{FF2B5EF4-FFF2-40B4-BE49-F238E27FC236}">
                <a16:creationId xmlns:a16="http://schemas.microsoft.com/office/drawing/2014/main" id="{67E89786-5D09-517F-9D99-619AEB11CF9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06" name="Shape 56">
            <a:extLst>
              <a:ext uri="{FF2B5EF4-FFF2-40B4-BE49-F238E27FC236}">
                <a16:creationId xmlns:a16="http://schemas.microsoft.com/office/drawing/2014/main" id="{A1297EAB-2852-A253-8D75-7D32C052DB2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07" name="Shape 57">
            <a:extLst>
              <a:ext uri="{FF2B5EF4-FFF2-40B4-BE49-F238E27FC236}">
                <a16:creationId xmlns:a16="http://schemas.microsoft.com/office/drawing/2014/main" id="{82A2CB37-4436-BCF8-27D9-277EC412EE6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08" name="Shape 58">
            <a:extLst>
              <a:ext uri="{FF2B5EF4-FFF2-40B4-BE49-F238E27FC236}">
                <a16:creationId xmlns:a16="http://schemas.microsoft.com/office/drawing/2014/main" id="{13E0841F-72F3-9D6D-A6C5-9DBB063DF2F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09" name="Shape 59">
            <a:extLst>
              <a:ext uri="{FF2B5EF4-FFF2-40B4-BE49-F238E27FC236}">
                <a16:creationId xmlns:a16="http://schemas.microsoft.com/office/drawing/2014/main" id="{E47EDCF0-CA6F-3E0A-8BA6-B77334EF620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10" name="Shape 60">
            <a:extLst>
              <a:ext uri="{FF2B5EF4-FFF2-40B4-BE49-F238E27FC236}">
                <a16:creationId xmlns:a16="http://schemas.microsoft.com/office/drawing/2014/main" id="{EC2D10F7-8454-5B6E-8F6D-1254BCBDDAC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11" name="Shape 61">
            <a:extLst>
              <a:ext uri="{FF2B5EF4-FFF2-40B4-BE49-F238E27FC236}">
                <a16:creationId xmlns:a16="http://schemas.microsoft.com/office/drawing/2014/main" id="{43C47993-7970-17B8-6255-AFDC642CCB1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587</xdr:row>
      <xdr:rowOff>3962</xdr:rowOff>
    </xdr:from>
    <xdr:ext cx="33655" cy="33655"/>
    <xdr:grpSp>
      <xdr:nvGrpSpPr>
        <xdr:cNvPr id="4212" name="Group 62">
          <a:extLst>
            <a:ext uri="{FF2B5EF4-FFF2-40B4-BE49-F238E27FC236}">
              <a16:creationId xmlns:a16="http://schemas.microsoft.com/office/drawing/2014/main" id="{DEDAA0F7-AD02-4B0A-90DC-2FD4C8051894}"/>
            </a:ext>
          </a:extLst>
        </xdr:cNvPr>
        <xdr:cNvGrpSpPr/>
      </xdr:nvGrpSpPr>
      <xdr:grpSpPr>
        <a:xfrm>
          <a:off x="4603072" y="109463388"/>
          <a:ext cx="33655" cy="33655"/>
          <a:chOff x="0" y="0"/>
          <a:chExt cx="33655" cy="33655"/>
        </a:xfrm>
      </xdr:grpSpPr>
      <xdr:sp macro="" textlink="">
        <xdr:nvSpPr>
          <xdr:cNvPr id="4213" name="Shape 63">
            <a:extLst>
              <a:ext uri="{FF2B5EF4-FFF2-40B4-BE49-F238E27FC236}">
                <a16:creationId xmlns:a16="http://schemas.microsoft.com/office/drawing/2014/main" id="{088BC687-B03A-6C6A-E631-7B05AEAA037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14" name="Shape 64">
            <a:extLst>
              <a:ext uri="{FF2B5EF4-FFF2-40B4-BE49-F238E27FC236}">
                <a16:creationId xmlns:a16="http://schemas.microsoft.com/office/drawing/2014/main" id="{3CC4A2EB-E71E-D356-431F-B413AF65B33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15" name="Shape 65">
            <a:extLst>
              <a:ext uri="{FF2B5EF4-FFF2-40B4-BE49-F238E27FC236}">
                <a16:creationId xmlns:a16="http://schemas.microsoft.com/office/drawing/2014/main" id="{EA2B40E5-735F-4C6B-B6D2-9584B41EC48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16" name="Shape 66">
            <a:extLst>
              <a:ext uri="{FF2B5EF4-FFF2-40B4-BE49-F238E27FC236}">
                <a16:creationId xmlns:a16="http://schemas.microsoft.com/office/drawing/2014/main" id="{E505F7EB-D677-F5BE-AA73-10203378607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17" name="Shape 67">
            <a:extLst>
              <a:ext uri="{FF2B5EF4-FFF2-40B4-BE49-F238E27FC236}">
                <a16:creationId xmlns:a16="http://schemas.microsoft.com/office/drawing/2014/main" id="{B92012B0-6B95-A242-AB22-5D8054CFB87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18" name="Shape 68">
            <a:extLst>
              <a:ext uri="{FF2B5EF4-FFF2-40B4-BE49-F238E27FC236}">
                <a16:creationId xmlns:a16="http://schemas.microsoft.com/office/drawing/2014/main" id="{C8B9308F-E567-EB6E-B83E-684A3CAE763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19" name="Shape 69">
            <a:extLst>
              <a:ext uri="{FF2B5EF4-FFF2-40B4-BE49-F238E27FC236}">
                <a16:creationId xmlns:a16="http://schemas.microsoft.com/office/drawing/2014/main" id="{DC15C38B-495D-F3B5-1602-98CB7582A9A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20" name="Shape 70">
            <a:extLst>
              <a:ext uri="{FF2B5EF4-FFF2-40B4-BE49-F238E27FC236}">
                <a16:creationId xmlns:a16="http://schemas.microsoft.com/office/drawing/2014/main" id="{E81259CA-9675-BBC9-7509-D8E62731754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21" name="Shape 71">
            <a:extLst>
              <a:ext uri="{FF2B5EF4-FFF2-40B4-BE49-F238E27FC236}">
                <a16:creationId xmlns:a16="http://schemas.microsoft.com/office/drawing/2014/main" id="{830392BA-31C6-80A5-D1DF-0DCFC019C69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22" name="Shape 72">
            <a:extLst>
              <a:ext uri="{FF2B5EF4-FFF2-40B4-BE49-F238E27FC236}">
                <a16:creationId xmlns:a16="http://schemas.microsoft.com/office/drawing/2014/main" id="{958F7B70-38C1-6902-862A-7B1000A26AC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23" name="Shape 73">
            <a:extLst>
              <a:ext uri="{FF2B5EF4-FFF2-40B4-BE49-F238E27FC236}">
                <a16:creationId xmlns:a16="http://schemas.microsoft.com/office/drawing/2014/main" id="{940E61EF-5A97-E644-4786-FD605177799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24" name="Shape 74">
            <a:extLst>
              <a:ext uri="{FF2B5EF4-FFF2-40B4-BE49-F238E27FC236}">
                <a16:creationId xmlns:a16="http://schemas.microsoft.com/office/drawing/2014/main" id="{991E8829-CF43-40F7-A21C-1CE7B7CAE94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25" name="Shape 75">
            <a:extLst>
              <a:ext uri="{FF2B5EF4-FFF2-40B4-BE49-F238E27FC236}">
                <a16:creationId xmlns:a16="http://schemas.microsoft.com/office/drawing/2014/main" id="{4CF1D360-FAE1-1DCD-B442-2D47565EB07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26" name="Shape 76">
            <a:extLst>
              <a:ext uri="{FF2B5EF4-FFF2-40B4-BE49-F238E27FC236}">
                <a16:creationId xmlns:a16="http://schemas.microsoft.com/office/drawing/2014/main" id="{A73127DD-0033-D11D-9EB5-0B70ED7F3E9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613</xdr:row>
      <xdr:rowOff>2978</xdr:rowOff>
    </xdr:from>
    <xdr:ext cx="33655" cy="33655"/>
    <xdr:grpSp>
      <xdr:nvGrpSpPr>
        <xdr:cNvPr id="4227" name="Group 2">
          <a:extLst>
            <a:ext uri="{FF2B5EF4-FFF2-40B4-BE49-F238E27FC236}">
              <a16:creationId xmlns:a16="http://schemas.microsoft.com/office/drawing/2014/main" id="{9E7035CC-5403-4FA1-978F-CDEC1BB3FFC5}"/>
            </a:ext>
          </a:extLst>
        </xdr:cNvPr>
        <xdr:cNvGrpSpPr/>
      </xdr:nvGrpSpPr>
      <xdr:grpSpPr>
        <a:xfrm>
          <a:off x="4603072" y="114121847"/>
          <a:ext cx="33655" cy="33655"/>
          <a:chOff x="0" y="0"/>
          <a:chExt cx="33655" cy="33655"/>
        </a:xfrm>
      </xdr:grpSpPr>
      <xdr:sp macro="" textlink="">
        <xdr:nvSpPr>
          <xdr:cNvPr id="4228" name="Shape 3">
            <a:extLst>
              <a:ext uri="{FF2B5EF4-FFF2-40B4-BE49-F238E27FC236}">
                <a16:creationId xmlns:a16="http://schemas.microsoft.com/office/drawing/2014/main" id="{03027526-CC2B-B8C3-D346-2C6D8FEB725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29" name="Shape 4">
            <a:extLst>
              <a:ext uri="{FF2B5EF4-FFF2-40B4-BE49-F238E27FC236}">
                <a16:creationId xmlns:a16="http://schemas.microsoft.com/office/drawing/2014/main" id="{C03C4E3D-C5DA-59FA-2E03-A37850A8C6F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30" name="Shape 5">
            <a:extLst>
              <a:ext uri="{FF2B5EF4-FFF2-40B4-BE49-F238E27FC236}">
                <a16:creationId xmlns:a16="http://schemas.microsoft.com/office/drawing/2014/main" id="{68EA3F14-81B5-48F4-2638-7B0ED16EE68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31" name="Shape 6">
            <a:extLst>
              <a:ext uri="{FF2B5EF4-FFF2-40B4-BE49-F238E27FC236}">
                <a16:creationId xmlns:a16="http://schemas.microsoft.com/office/drawing/2014/main" id="{A8E2D55F-496C-C341-D042-503585E361F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32" name="Shape 7">
            <a:extLst>
              <a:ext uri="{FF2B5EF4-FFF2-40B4-BE49-F238E27FC236}">
                <a16:creationId xmlns:a16="http://schemas.microsoft.com/office/drawing/2014/main" id="{EA94522F-5788-FEA1-2ACD-DD0E2D6B8B0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33" name="Shape 8">
            <a:extLst>
              <a:ext uri="{FF2B5EF4-FFF2-40B4-BE49-F238E27FC236}">
                <a16:creationId xmlns:a16="http://schemas.microsoft.com/office/drawing/2014/main" id="{768EE741-6714-64E7-B40E-97DB9630A83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34" name="Shape 9">
            <a:extLst>
              <a:ext uri="{FF2B5EF4-FFF2-40B4-BE49-F238E27FC236}">
                <a16:creationId xmlns:a16="http://schemas.microsoft.com/office/drawing/2014/main" id="{D57BAEFE-5A59-601D-34B1-8DFE3E35A8E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35" name="Shape 10">
            <a:extLst>
              <a:ext uri="{FF2B5EF4-FFF2-40B4-BE49-F238E27FC236}">
                <a16:creationId xmlns:a16="http://schemas.microsoft.com/office/drawing/2014/main" id="{0A15C6B0-8293-5846-CCF8-22F2692C229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36" name="Shape 11">
            <a:extLst>
              <a:ext uri="{FF2B5EF4-FFF2-40B4-BE49-F238E27FC236}">
                <a16:creationId xmlns:a16="http://schemas.microsoft.com/office/drawing/2014/main" id="{2A8E241E-E2FF-5BE1-0001-95818D63E49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37" name="Shape 12">
            <a:extLst>
              <a:ext uri="{FF2B5EF4-FFF2-40B4-BE49-F238E27FC236}">
                <a16:creationId xmlns:a16="http://schemas.microsoft.com/office/drawing/2014/main" id="{899B0921-ED7E-369A-BC38-C2B4E02CD68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38" name="Shape 13">
            <a:extLst>
              <a:ext uri="{FF2B5EF4-FFF2-40B4-BE49-F238E27FC236}">
                <a16:creationId xmlns:a16="http://schemas.microsoft.com/office/drawing/2014/main" id="{58C41B1E-9132-73A2-7682-AF78371C312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39" name="Shape 14">
            <a:extLst>
              <a:ext uri="{FF2B5EF4-FFF2-40B4-BE49-F238E27FC236}">
                <a16:creationId xmlns:a16="http://schemas.microsoft.com/office/drawing/2014/main" id="{DC99D026-CC8D-FA23-D97E-0AA8DDC5570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40" name="Shape 15">
            <a:extLst>
              <a:ext uri="{FF2B5EF4-FFF2-40B4-BE49-F238E27FC236}">
                <a16:creationId xmlns:a16="http://schemas.microsoft.com/office/drawing/2014/main" id="{FFDCC973-801C-E7DB-3810-90E9E35E43F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41" name="Shape 16">
            <a:extLst>
              <a:ext uri="{FF2B5EF4-FFF2-40B4-BE49-F238E27FC236}">
                <a16:creationId xmlns:a16="http://schemas.microsoft.com/office/drawing/2014/main" id="{4E244522-C62E-6DAF-1F3E-9C78F280499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613</xdr:row>
      <xdr:rowOff>3246</xdr:rowOff>
    </xdr:from>
    <xdr:ext cx="33655" cy="33655"/>
    <xdr:grpSp>
      <xdr:nvGrpSpPr>
        <xdr:cNvPr id="4242" name="Group 17">
          <a:extLst>
            <a:ext uri="{FF2B5EF4-FFF2-40B4-BE49-F238E27FC236}">
              <a16:creationId xmlns:a16="http://schemas.microsoft.com/office/drawing/2014/main" id="{BB2777C4-5F07-465D-99E8-4FDA09E9AC8B}"/>
            </a:ext>
          </a:extLst>
        </xdr:cNvPr>
        <xdr:cNvGrpSpPr/>
      </xdr:nvGrpSpPr>
      <xdr:grpSpPr>
        <a:xfrm>
          <a:off x="4603072" y="114122115"/>
          <a:ext cx="33655" cy="33655"/>
          <a:chOff x="0" y="0"/>
          <a:chExt cx="33655" cy="33655"/>
        </a:xfrm>
      </xdr:grpSpPr>
      <xdr:sp macro="" textlink="">
        <xdr:nvSpPr>
          <xdr:cNvPr id="4243" name="Shape 18">
            <a:extLst>
              <a:ext uri="{FF2B5EF4-FFF2-40B4-BE49-F238E27FC236}">
                <a16:creationId xmlns:a16="http://schemas.microsoft.com/office/drawing/2014/main" id="{488147B0-BB33-80A8-0E53-89C67A26F62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44" name="Shape 19">
            <a:extLst>
              <a:ext uri="{FF2B5EF4-FFF2-40B4-BE49-F238E27FC236}">
                <a16:creationId xmlns:a16="http://schemas.microsoft.com/office/drawing/2014/main" id="{E7F71A31-4F7B-A7C6-D81B-BFCF810E21E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45" name="Shape 20">
            <a:extLst>
              <a:ext uri="{FF2B5EF4-FFF2-40B4-BE49-F238E27FC236}">
                <a16:creationId xmlns:a16="http://schemas.microsoft.com/office/drawing/2014/main" id="{32B79B80-DB80-19DF-5C8D-A3B13873293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46" name="Shape 21">
            <a:extLst>
              <a:ext uri="{FF2B5EF4-FFF2-40B4-BE49-F238E27FC236}">
                <a16:creationId xmlns:a16="http://schemas.microsoft.com/office/drawing/2014/main" id="{C98659A2-2342-BFC0-20D7-C3BCF47E0E1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47" name="Shape 22">
            <a:extLst>
              <a:ext uri="{FF2B5EF4-FFF2-40B4-BE49-F238E27FC236}">
                <a16:creationId xmlns:a16="http://schemas.microsoft.com/office/drawing/2014/main" id="{560C4EC8-EF5A-ACB2-96EA-4BE206630C5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48" name="Shape 23">
            <a:extLst>
              <a:ext uri="{FF2B5EF4-FFF2-40B4-BE49-F238E27FC236}">
                <a16:creationId xmlns:a16="http://schemas.microsoft.com/office/drawing/2014/main" id="{281750C5-6A60-8753-35C4-6282D10C191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49" name="Shape 24">
            <a:extLst>
              <a:ext uri="{FF2B5EF4-FFF2-40B4-BE49-F238E27FC236}">
                <a16:creationId xmlns:a16="http://schemas.microsoft.com/office/drawing/2014/main" id="{A117291B-0FDB-4F2C-2237-7B3BD38C04D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50" name="Shape 25">
            <a:extLst>
              <a:ext uri="{FF2B5EF4-FFF2-40B4-BE49-F238E27FC236}">
                <a16:creationId xmlns:a16="http://schemas.microsoft.com/office/drawing/2014/main" id="{3AE14BF0-24DA-FCD5-1842-66F76F2A8EF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51" name="Shape 26">
            <a:extLst>
              <a:ext uri="{FF2B5EF4-FFF2-40B4-BE49-F238E27FC236}">
                <a16:creationId xmlns:a16="http://schemas.microsoft.com/office/drawing/2014/main" id="{390312CE-9465-0317-1793-AFFE9917EBE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52" name="Shape 27">
            <a:extLst>
              <a:ext uri="{FF2B5EF4-FFF2-40B4-BE49-F238E27FC236}">
                <a16:creationId xmlns:a16="http://schemas.microsoft.com/office/drawing/2014/main" id="{9C97A2BB-8FE3-AF62-BC03-49FCF1F6060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53" name="Shape 28">
            <a:extLst>
              <a:ext uri="{FF2B5EF4-FFF2-40B4-BE49-F238E27FC236}">
                <a16:creationId xmlns:a16="http://schemas.microsoft.com/office/drawing/2014/main" id="{AC218E27-9616-9551-6933-37EAF75C342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54" name="Shape 29">
            <a:extLst>
              <a:ext uri="{FF2B5EF4-FFF2-40B4-BE49-F238E27FC236}">
                <a16:creationId xmlns:a16="http://schemas.microsoft.com/office/drawing/2014/main" id="{0D4C56F1-FF83-C55F-93A3-2547073062E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55" name="Shape 30">
            <a:extLst>
              <a:ext uri="{FF2B5EF4-FFF2-40B4-BE49-F238E27FC236}">
                <a16:creationId xmlns:a16="http://schemas.microsoft.com/office/drawing/2014/main" id="{61042FAD-8E06-E57E-EE35-16AE53E4FEF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56" name="Shape 31">
            <a:extLst>
              <a:ext uri="{FF2B5EF4-FFF2-40B4-BE49-F238E27FC236}">
                <a16:creationId xmlns:a16="http://schemas.microsoft.com/office/drawing/2014/main" id="{77DFFCE8-3C0D-BD6D-4F0D-73651507EE0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613</xdr:row>
      <xdr:rowOff>3703</xdr:rowOff>
    </xdr:from>
    <xdr:ext cx="33655" cy="33655"/>
    <xdr:grpSp>
      <xdr:nvGrpSpPr>
        <xdr:cNvPr id="4257" name="Group 32">
          <a:extLst>
            <a:ext uri="{FF2B5EF4-FFF2-40B4-BE49-F238E27FC236}">
              <a16:creationId xmlns:a16="http://schemas.microsoft.com/office/drawing/2014/main" id="{128676BC-17CA-42BE-845D-099ED62C646B}"/>
            </a:ext>
          </a:extLst>
        </xdr:cNvPr>
        <xdr:cNvGrpSpPr/>
      </xdr:nvGrpSpPr>
      <xdr:grpSpPr>
        <a:xfrm>
          <a:off x="4603072" y="114122572"/>
          <a:ext cx="33655" cy="33655"/>
          <a:chOff x="0" y="0"/>
          <a:chExt cx="33655" cy="33655"/>
        </a:xfrm>
      </xdr:grpSpPr>
      <xdr:sp macro="" textlink="">
        <xdr:nvSpPr>
          <xdr:cNvPr id="4258" name="Shape 33">
            <a:extLst>
              <a:ext uri="{FF2B5EF4-FFF2-40B4-BE49-F238E27FC236}">
                <a16:creationId xmlns:a16="http://schemas.microsoft.com/office/drawing/2014/main" id="{A657D933-B79A-E7CB-A98C-1F7DA6BABA5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59" name="Shape 34">
            <a:extLst>
              <a:ext uri="{FF2B5EF4-FFF2-40B4-BE49-F238E27FC236}">
                <a16:creationId xmlns:a16="http://schemas.microsoft.com/office/drawing/2014/main" id="{FA58AD50-3987-4231-0BC2-90034616012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60" name="Shape 35">
            <a:extLst>
              <a:ext uri="{FF2B5EF4-FFF2-40B4-BE49-F238E27FC236}">
                <a16:creationId xmlns:a16="http://schemas.microsoft.com/office/drawing/2014/main" id="{5B63FB2D-44CB-D55F-BDC8-AA29FDC13F5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61" name="Shape 36">
            <a:extLst>
              <a:ext uri="{FF2B5EF4-FFF2-40B4-BE49-F238E27FC236}">
                <a16:creationId xmlns:a16="http://schemas.microsoft.com/office/drawing/2014/main" id="{DB5149A9-42C5-DB90-1ADA-350C89AAC44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62" name="Shape 37">
            <a:extLst>
              <a:ext uri="{FF2B5EF4-FFF2-40B4-BE49-F238E27FC236}">
                <a16:creationId xmlns:a16="http://schemas.microsoft.com/office/drawing/2014/main" id="{4B4D953F-FDB1-C0FA-045F-893BA637139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63" name="Shape 38">
            <a:extLst>
              <a:ext uri="{FF2B5EF4-FFF2-40B4-BE49-F238E27FC236}">
                <a16:creationId xmlns:a16="http://schemas.microsoft.com/office/drawing/2014/main" id="{66C08CA9-D49F-056E-3506-20A14BDD7A9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64" name="Shape 39">
            <a:extLst>
              <a:ext uri="{FF2B5EF4-FFF2-40B4-BE49-F238E27FC236}">
                <a16:creationId xmlns:a16="http://schemas.microsoft.com/office/drawing/2014/main" id="{5F78B404-40EB-17C6-CD94-E0BA03B9F3C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65" name="Shape 40">
            <a:extLst>
              <a:ext uri="{FF2B5EF4-FFF2-40B4-BE49-F238E27FC236}">
                <a16:creationId xmlns:a16="http://schemas.microsoft.com/office/drawing/2014/main" id="{BC9BEE0A-1897-7F18-9E1D-9BDE8E2DCB6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66" name="Shape 41">
            <a:extLst>
              <a:ext uri="{FF2B5EF4-FFF2-40B4-BE49-F238E27FC236}">
                <a16:creationId xmlns:a16="http://schemas.microsoft.com/office/drawing/2014/main" id="{E12961BA-6F86-4C56-D906-14CC7E0E18C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67" name="Shape 42">
            <a:extLst>
              <a:ext uri="{FF2B5EF4-FFF2-40B4-BE49-F238E27FC236}">
                <a16:creationId xmlns:a16="http://schemas.microsoft.com/office/drawing/2014/main" id="{76C08012-30ED-9296-C96B-75705982E2F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68" name="Shape 43">
            <a:extLst>
              <a:ext uri="{FF2B5EF4-FFF2-40B4-BE49-F238E27FC236}">
                <a16:creationId xmlns:a16="http://schemas.microsoft.com/office/drawing/2014/main" id="{76B34006-399C-7703-4C48-90CB9D14DDF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69" name="Shape 44">
            <a:extLst>
              <a:ext uri="{FF2B5EF4-FFF2-40B4-BE49-F238E27FC236}">
                <a16:creationId xmlns:a16="http://schemas.microsoft.com/office/drawing/2014/main" id="{69FF7BA4-9E91-F902-8F99-866326AA872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70" name="Shape 45">
            <a:extLst>
              <a:ext uri="{FF2B5EF4-FFF2-40B4-BE49-F238E27FC236}">
                <a16:creationId xmlns:a16="http://schemas.microsoft.com/office/drawing/2014/main" id="{4B41090A-4445-0ED9-87D9-FA510386E0B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71" name="Shape 46">
            <a:extLst>
              <a:ext uri="{FF2B5EF4-FFF2-40B4-BE49-F238E27FC236}">
                <a16:creationId xmlns:a16="http://schemas.microsoft.com/office/drawing/2014/main" id="{55385253-CE23-D3A3-C9B1-53F8757E4F1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613</xdr:row>
      <xdr:rowOff>3409</xdr:rowOff>
    </xdr:from>
    <xdr:ext cx="33655" cy="33655"/>
    <xdr:grpSp>
      <xdr:nvGrpSpPr>
        <xdr:cNvPr id="4272" name="Group 47">
          <a:extLst>
            <a:ext uri="{FF2B5EF4-FFF2-40B4-BE49-F238E27FC236}">
              <a16:creationId xmlns:a16="http://schemas.microsoft.com/office/drawing/2014/main" id="{36E2D39C-8658-4567-A75E-5E2D40DE7871}"/>
            </a:ext>
          </a:extLst>
        </xdr:cNvPr>
        <xdr:cNvGrpSpPr/>
      </xdr:nvGrpSpPr>
      <xdr:grpSpPr>
        <a:xfrm>
          <a:off x="4603072" y="114122278"/>
          <a:ext cx="33655" cy="33655"/>
          <a:chOff x="0" y="0"/>
          <a:chExt cx="33655" cy="33655"/>
        </a:xfrm>
      </xdr:grpSpPr>
      <xdr:sp macro="" textlink="">
        <xdr:nvSpPr>
          <xdr:cNvPr id="4273" name="Shape 48">
            <a:extLst>
              <a:ext uri="{FF2B5EF4-FFF2-40B4-BE49-F238E27FC236}">
                <a16:creationId xmlns:a16="http://schemas.microsoft.com/office/drawing/2014/main" id="{45514576-2EDF-96A4-ACC9-EFAC3701659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74" name="Shape 49">
            <a:extLst>
              <a:ext uri="{FF2B5EF4-FFF2-40B4-BE49-F238E27FC236}">
                <a16:creationId xmlns:a16="http://schemas.microsoft.com/office/drawing/2014/main" id="{50D25686-9765-F38A-2CE0-FB7B016CD37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75" name="Shape 50">
            <a:extLst>
              <a:ext uri="{FF2B5EF4-FFF2-40B4-BE49-F238E27FC236}">
                <a16:creationId xmlns:a16="http://schemas.microsoft.com/office/drawing/2014/main" id="{EEA18093-E9C1-B1BF-0D80-0D89B082FA0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76" name="Shape 51">
            <a:extLst>
              <a:ext uri="{FF2B5EF4-FFF2-40B4-BE49-F238E27FC236}">
                <a16:creationId xmlns:a16="http://schemas.microsoft.com/office/drawing/2014/main" id="{2AEC788B-31A4-6546-B670-17E7F5D8AA3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77" name="Shape 52">
            <a:extLst>
              <a:ext uri="{FF2B5EF4-FFF2-40B4-BE49-F238E27FC236}">
                <a16:creationId xmlns:a16="http://schemas.microsoft.com/office/drawing/2014/main" id="{0FF97BF8-D1B4-3FE8-AFA1-A59032A8291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78" name="Shape 53">
            <a:extLst>
              <a:ext uri="{FF2B5EF4-FFF2-40B4-BE49-F238E27FC236}">
                <a16:creationId xmlns:a16="http://schemas.microsoft.com/office/drawing/2014/main" id="{80CD53E2-0386-6B3E-D06A-CFC2A190D9F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79" name="Shape 54">
            <a:extLst>
              <a:ext uri="{FF2B5EF4-FFF2-40B4-BE49-F238E27FC236}">
                <a16:creationId xmlns:a16="http://schemas.microsoft.com/office/drawing/2014/main" id="{FDD05939-F0D3-F1D6-B98C-9CCCF07B709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80" name="Shape 55">
            <a:extLst>
              <a:ext uri="{FF2B5EF4-FFF2-40B4-BE49-F238E27FC236}">
                <a16:creationId xmlns:a16="http://schemas.microsoft.com/office/drawing/2014/main" id="{65DDFBCA-AE6F-3E17-A604-ED412186591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81" name="Shape 56">
            <a:extLst>
              <a:ext uri="{FF2B5EF4-FFF2-40B4-BE49-F238E27FC236}">
                <a16:creationId xmlns:a16="http://schemas.microsoft.com/office/drawing/2014/main" id="{CB473648-F366-FB4C-9B29-16394FF6FB7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82" name="Shape 57">
            <a:extLst>
              <a:ext uri="{FF2B5EF4-FFF2-40B4-BE49-F238E27FC236}">
                <a16:creationId xmlns:a16="http://schemas.microsoft.com/office/drawing/2014/main" id="{71913BF4-6E12-8F5F-D562-A17872EC0E6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83" name="Shape 58">
            <a:extLst>
              <a:ext uri="{FF2B5EF4-FFF2-40B4-BE49-F238E27FC236}">
                <a16:creationId xmlns:a16="http://schemas.microsoft.com/office/drawing/2014/main" id="{D13341B7-ECBB-F035-6CC0-9D28ED07A6B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84" name="Shape 59">
            <a:extLst>
              <a:ext uri="{FF2B5EF4-FFF2-40B4-BE49-F238E27FC236}">
                <a16:creationId xmlns:a16="http://schemas.microsoft.com/office/drawing/2014/main" id="{FFFCAD5A-95CB-02A8-D43E-4C58BBA4AA1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85" name="Shape 60">
            <a:extLst>
              <a:ext uri="{FF2B5EF4-FFF2-40B4-BE49-F238E27FC236}">
                <a16:creationId xmlns:a16="http://schemas.microsoft.com/office/drawing/2014/main" id="{888CAF52-6968-E823-DB0A-CD4077C2C58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286" name="Shape 61">
            <a:extLst>
              <a:ext uri="{FF2B5EF4-FFF2-40B4-BE49-F238E27FC236}">
                <a16:creationId xmlns:a16="http://schemas.microsoft.com/office/drawing/2014/main" id="{B69756A9-AB0B-7720-BD81-E1D602E44F9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613</xdr:row>
      <xdr:rowOff>3962</xdr:rowOff>
    </xdr:from>
    <xdr:ext cx="33655" cy="33655"/>
    <xdr:grpSp>
      <xdr:nvGrpSpPr>
        <xdr:cNvPr id="4287" name="Group 62">
          <a:extLst>
            <a:ext uri="{FF2B5EF4-FFF2-40B4-BE49-F238E27FC236}">
              <a16:creationId xmlns:a16="http://schemas.microsoft.com/office/drawing/2014/main" id="{FE50DFBE-D27C-4D25-93EC-E9F6FB3FD891}"/>
            </a:ext>
          </a:extLst>
        </xdr:cNvPr>
        <xdr:cNvGrpSpPr/>
      </xdr:nvGrpSpPr>
      <xdr:grpSpPr>
        <a:xfrm>
          <a:off x="4603072" y="114122831"/>
          <a:ext cx="33655" cy="33655"/>
          <a:chOff x="0" y="0"/>
          <a:chExt cx="33655" cy="33655"/>
        </a:xfrm>
      </xdr:grpSpPr>
      <xdr:sp macro="" textlink="">
        <xdr:nvSpPr>
          <xdr:cNvPr id="4288" name="Shape 63">
            <a:extLst>
              <a:ext uri="{FF2B5EF4-FFF2-40B4-BE49-F238E27FC236}">
                <a16:creationId xmlns:a16="http://schemas.microsoft.com/office/drawing/2014/main" id="{1CC7071C-9031-A982-B071-5536078C023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89" name="Shape 64">
            <a:extLst>
              <a:ext uri="{FF2B5EF4-FFF2-40B4-BE49-F238E27FC236}">
                <a16:creationId xmlns:a16="http://schemas.microsoft.com/office/drawing/2014/main" id="{AB1F1806-0AB2-00C6-E397-FBA6B22BE54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90" name="Shape 65">
            <a:extLst>
              <a:ext uri="{FF2B5EF4-FFF2-40B4-BE49-F238E27FC236}">
                <a16:creationId xmlns:a16="http://schemas.microsoft.com/office/drawing/2014/main" id="{0C4309E3-C294-3133-168C-4FB0F67DB52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91" name="Shape 66">
            <a:extLst>
              <a:ext uri="{FF2B5EF4-FFF2-40B4-BE49-F238E27FC236}">
                <a16:creationId xmlns:a16="http://schemas.microsoft.com/office/drawing/2014/main" id="{FD94FDDC-9838-C1DF-7EA7-E15E02193EF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92" name="Shape 67">
            <a:extLst>
              <a:ext uri="{FF2B5EF4-FFF2-40B4-BE49-F238E27FC236}">
                <a16:creationId xmlns:a16="http://schemas.microsoft.com/office/drawing/2014/main" id="{F0C0ED11-0C69-C199-5D8C-3201D324988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93" name="Shape 68">
            <a:extLst>
              <a:ext uri="{FF2B5EF4-FFF2-40B4-BE49-F238E27FC236}">
                <a16:creationId xmlns:a16="http://schemas.microsoft.com/office/drawing/2014/main" id="{AD36D097-D125-1D1A-04A9-3E1E13701D0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94" name="Shape 69">
            <a:extLst>
              <a:ext uri="{FF2B5EF4-FFF2-40B4-BE49-F238E27FC236}">
                <a16:creationId xmlns:a16="http://schemas.microsoft.com/office/drawing/2014/main" id="{1FD6D491-F635-2972-A2EE-8BC19B31FF3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95" name="Shape 70">
            <a:extLst>
              <a:ext uri="{FF2B5EF4-FFF2-40B4-BE49-F238E27FC236}">
                <a16:creationId xmlns:a16="http://schemas.microsoft.com/office/drawing/2014/main" id="{7E3A0399-1959-E6B7-2771-D92268A5FFC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96" name="Shape 71">
            <a:extLst>
              <a:ext uri="{FF2B5EF4-FFF2-40B4-BE49-F238E27FC236}">
                <a16:creationId xmlns:a16="http://schemas.microsoft.com/office/drawing/2014/main" id="{3A983C42-F02A-C7A9-8561-96571A68E44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97" name="Shape 72">
            <a:extLst>
              <a:ext uri="{FF2B5EF4-FFF2-40B4-BE49-F238E27FC236}">
                <a16:creationId xmlns:a16="http://schemas.microsoft.com/office/drawing/2014/main" id="{E0356D7A-EC43-9433-D8CC-9FD53364A4D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298" name="Shape 73">
            <a:extLst>
              <a:ext uri="{FF2B5EF4-FFF2-40B4-BE49-F238E27FC236}">
                <a16:creationId xmlns:a16="http://schemas.microsoft.com/office/drawing/2014/main" id="{60F7B7E4-AF22-D239-637F-F6FDD6091CD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299" name="Shape 74">
            <a:extLst>
              <a:ext uri="{FF2B5EF4-FFF2-40B4-BE49-F238E27FC236}">
                <a16:creationId xmlns:a16="http://schemas.microsoft.com/office/drawing/2014/main" id="{8E4DC1E8-F348-D49F-2CCA-783DCE7FA7B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00" name="Shape 75">
            <a:extLst>
              <a:ext uri="{FF2B5EF4-FFF2-40B4-BE49-F238E27FC236}">
                <a16:creationId xmlns:a16="http://schemas.microsoft.com/office/drawing/2014/main" id="{7F88C615-5C71-FCA1-4D7D-C8DEBB0FAEE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01" name="Shape 76">
            <a:extLst>
              <a:ext uri="{FF2B5EF4-FFF2-40B4-BE49-F238E27FC236}">
                <a16:creationId xmlns:a16="http://schemas.microsoft.com/office/drawing/2014/main" id="{4D9C71EA-CBEB-6887-7E8C-2FC96E1F056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613</xdr:row>
      <xdr:rowOff>2978</xdr:rowOff>
    </xdr:from>
    <xdr:ext cx="33655" cy="33655"/>
    <xdr:grpSp>
      <xdr:nvGrpSpPr>
        <xdr:cNvPr id="4302" name="Group 2">
          <a:extLst>
            <a:ext uri="{FF2B5EF4-FFF2-40B4-BE49-F238E27FC236}">
              <a16:creationId xmlns:a16="http://schemas.microsoft.com/office/drawing/2014/main" id="{A8FA27FE-2218-479C-A08C-D1C0C286CE5C}"/>
            </a:ext>
          </a:extLst>
        </xdr:cNvPr>
        <xdr:cNvGrpSpPr/>
      </xdr:nvGrpSpPr>
      <xdr:grpSpPr>
        <a:xfrm>
          <a:off x="4603072" y="114121847"/>
          <a:ext cx="33655" cy="33655"/>
          <a:chOff x="0" y="0"/>
          <a:chExt cx="33655" cy="33655"/>
        </a:xfrm>
      </xdr:grpSpPr>
      <xdr:sp macro="" textlink="">
        <xdr:nvSpPr>
          <xdr:cNvPr id="4303" name="Shape 3">
            <a:extLst>
              <a:ext uri="{FF2B5EF4-FFF2-40B4-BE49-F238E27FC236}">
                <a16:creationId xmlns:a16="http://schemas.microsoft.com/office/drawing/2014/main" id="{57367213-3917-9E77-14E8-E695DBEE69E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04" name="Shape 4">
            <a:extLst>
              <a:ext uri="{FF2B5EF4-FFF2-40B4-BE49-F238E27FC236}">
                <a16:creationId xmlns:a16="http://schemas.microsoft.com/office/drawing/2014/main" id="{A5F37966-5AC9-16F2-92B2-FB4423FBD42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05" name="Shape 5">
            <a:extLst>
              <a:ext uri="{FF2B5EF4-FFF2-40B4-BE49-F238E27FC236}">
                <a16:creationId xmlns:a16="http://schemas.microsoft.com/office/drawing/2014/main" id="{B8F1B5D0-E7CC-4C66-A17B-9B91D195C67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06" name="Shape 6">
            <a:extLst>
              <a:ext uri="{FF2B5EF4-FFF2-40B4-BE49-F238E27FC236}">
                <a16:creationId xmlns:a16="http://schemas.microsoft.com/office/drawing/2014/main" id="{B4355FF2-0599-5403-6AA1-613C6368746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07" name="Shape 7">
            <a:extLst>
              <a:ext uri="{FF2B5EF4-FFF2-40B4-BE49-F238E27FC236}">
                <a16:creationId xmlns:a16="http://schemas.microsoft.com/office/drawing/2014/main" id="{6259A337-09A9-0915-A039-C97531C5AA1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08" name="Shape 8">
            <a:extLst>
              <a:ext uri="{FF2B5EF4-FFF2-40B4-BE49-F238E27FC236}">
                <a16:creationId xmlns:a16="http://schemas.microsoft.com/office/drawing/2014/main" id="{B8A3A12B-86BB-B82B-C4FD-685DF1662BF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09" name="Shape 9">
            <a:extLst>
              <a:ext uri="{FF2B5EF4-FFF2-40B4-BE49-F238E27FC236}">
                <a16:creationId xmlns:a16="http://schemas.microsoft.com/office/drawing/2014/main" id="{7E8CE549-75AF-9AEE-3F9E-88C265B2E8B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10" name="Shape 10">
            <a:extLst>
              <a:ext uri="{FF2B5EF4-FFF2-40B4-BE49-F238E27FC236}">
                <a16:creationId xmlns:a16="http://schemas.microsoft.com/office/drawing/2014/main" id="{7A027357-0839-EF5F-8B3D-8D67D5D00BB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11" name="Shape 11">
            <a:extLst>
              <a:ext uri="{FF2B5EF4-FFF2-40B4-BE49-F238E27FC236}">
                <a16:creationId xmlns:a16="http://schemas.microsoft.com/office/drawing/2014/main" id="{2CF9572F-B2AC-7EF9-7C83-2E3D80CEB7A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12" name="Shape 12">
            <a:extLst>
              <a:ext uri="{FF2B5EF4-FFF2-40B4-BE49-F238E27FC236}">
                <a16:creationId xmlns:a16="http://schemas.microsoft.com/office/drawing/2014/main" id="{AF7DED4B-96FE-69F6-021F-7A408C11B0F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13" name="Shape 13">
            <a:extLst>
              <a:ext uri="{FF2B5EF4-FFF2-40B4-BE49-F238E27FC236}">
                <a16:creationId xmlns:a16="http://schemas.microsoft.com/office/drawing/2014/main" id="{459CFE0E-C9C2-0AAC-8119-08D696533B7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14" name="Shape 14">
            <a:extLst>
              <a:ext uri="{FF2B5EF4-FFF2-40B4-BE49-F238E27FC236}">
                <a16:creationId xmlns:a16="http://schemas.microsoft.com/office/drawing/2014/main" id="{ACE589BF-0694-FE60-71E5-65B01C44188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15" name="Shape 15">
            <a:extLst>
              <a:ext uri="{FF2B5EF4-FFF2-40B4-BE49-F238E27FC236}">
                <a16:creationId xmlns:a16="http://schemas.microsoft.com/office/drawing/2014/main" id="{27B9378D-4F9B-CA1A-2658-4B0BB3596D0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16" name="Shape 16">
            <a:extLst>
              <a:ext uri="{FF2B5EF4-FFF2-40B4-BE49-F238E27FC236}">
                <a16:creationId xmlns:a16="http://schemas.microsoft.com/office/drawing/2014/main" id="{1A788D3A-CF98-CB23-0AFD-657E3DE36C9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613</xdr:row>
      <xdr:rowOff>3246</xdr:rowOff>
    </xdr:from>
    <xdr:ext cx="33655" cy="33655"/>
    <xdr:grpSp>
      <xdr:nvGrpSpPr>
        <xdr:cNvPr id="4317" name="Group 17">
          <a:extLst>
            <a:ext uri="{FF2B5EF4-FFF2-40B4-BE49-F238E27FC236}">
              <a16:creationId xmlns:a16="http://schemas.microsoft.com/office/drawing/2014/main" id="{B634412A-1A47-45E0-A43D-1153660A3BAF}"/>
            </a:ext>
          </a:extLst>
        </xdr:cNvPr>
        <xdr:cNvGrpSpPr/>
      </xdr:nvGrpSpPr>
      <xdr:grpSpPr>
        <a:xfrm>
          <a:off x="4603072" y="114122115"/>
          <a:ext cx="33655" cy="33655"/>
          <a:chOff x="0" y="0"/>
          <a:chExt cx="33655" cy="33655"/>
        </a:xfrm>
      </xdr:grpSpPr>
      <xdr:sp macro="" textlink="">
        <xdr:nvSpPr>
          <xdr:cNvPr id="4318" name="Shape 18">
            <a:extLst>
              <a:ext uri="{FF2B5EF4-FFF2-40B4-BE49-F238E27FC236}">
                <a16:creationId xmlns:a16="http://schemas.microsoft.com/office/drawing/2014/main" id="{F4CC7957-CEF4-E086-8FCB-B3DDD223980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19" name="Shape 19">
            <a:extLst>
              <a:ext uri="{FF2B5EF4-FFF2-40B4-BE49-F238E27FC236}">
                <a16:creationId xmlns:a16="http://schemas.microsoft.com/office/drawing/2014/main" id="{41F16525-1BE5-0DA1-95EC-61296C51114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20" name="Shape 20">
            <a:extLst>
              <a:ext uri="{FF2B5EF4-FFF2-40B4-BE49-F238E27FC236}">
                <a16:creationId xmlns:a16="http://schemas.microsoft.com/office/drawing/2014/main" id="{3B8F71C8-56D2-3821-C8FF-4B6E07268FD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21" name="Shape 21">
            <a:extLst>
              <a:ext uri="{FF2B5EF4-FFF2-40B4-BE49-F238E27FC236}">
                <a16:creationId xmlns:a16="http://schemas.microsoft.com/office/drawing/2014/main" id="{905F6593-0002-71D1-6B65-64ECCE0541C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22" name="Shape 22">
            <a:extLst>
              <a:ext uri="{FF2B5EF4-FFF2-40B4-BE49-F238E27FC236}">
                <a16:creationId xmlns:a16="http://schemas.microsoft.com/office/drawing/2014/main" id="{5A40E860-3766-4B8C-4167-AC040F6C32A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23" name="Shape 23">
            <a:extLst>
              <a:ext uri="{FF2B5EF4-FFF2-40B4-BE49-F238E27FC236}">
                <a16:creationId xmlns:a16="http://schemas.microsoft.com/office/drawing/2014/main" id="{10199FD0-9297-7E68-51D4-E5A62861EBB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24" name="Shape 24">
            <a:extLst>
              <a:ext uri="{FF2B5EF4-FFF2-40B4-BE49-F238E27FC236}">
                <a16:creationId xmlns:a16="http://schemas.microsoft.com/office/drawing/2014/main" id="{654F8827-3CA2-CD92-45E5-E2923EBE8C2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25" name="Shape 25">
            <a:extLst>
              <a:ext uri="{FF2B5EF4-FFF2-40B4-BE49-F238E27FC236}">
                <a16:creationId xmlns:a16="http://schemas.microsoft.com/office/drawing/2014/main" id="{C92B2BA7-6DA3-8DFC-C744-E1A23D6FBD2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26" name="Shape 26">
            <a:extLst>
              <a:ext uri="{FF2B5EF4-FFF2-40B4-BE49-F238E27FC236}">
                <a16:creationId xmlns:a16="http://schemas.microsoft.com/office/drawing/2014/main" id="{CA1AEB5E-6F92-A89D-6B2B-0A71A818F68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27" name="Shape 27">
            <a:extLst>
              <a:ext uri="{FF2B5EF4-FFF2-40B4-BE49-F238E27FC236}">
                <a16:creationId xmlns:a16="http://schemas.microsoft.com/office/drawing/2014/main" id="{4961C345-0BA7-28E8-3522-74651A375A3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28" name="Shape 28">
            <a:extLst>
              <a:ext uri="{FF2B5EF4-FFF2-40B4-BE49-F238E27FC236}">
                <a16:creationId xmlns:a16="http://schemas.microsoft.com/office/drawing/2014/main" id="{3C9F4E85-33C0-B2C5-E1DB-DE2C59A29F5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29" name="Shape 29">
            <a:extLst>
              <a:ext uri="{FF2B5EF4-FFF2-40B4-BE49-F238E27FC236}">
                <a16:creationId xmlns:a16="http://schemas.microsoft.com/office/drawing/2014/main" id="{67D3201A-B297-5591-3D11-39E89B0E0E0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30" name="Shape 30">
            <a:extLst>
              <a:ext uri="{FF2B5EF4-FFF2-40B4-BE49-F238E27FC236}">
                <a16:creationId xmlns:a16="http://schemas.microsoft.com/office/drawing/2014/main" id="{C36C64C9-2520-8F4E-65DA-1E41581B123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31" name="Shape 31">
            <a:extLst>
              <a:ext uri="{FF2B5EF4-FFF2-40B4-BE49-F238E27FC236}">
                <a16:creationId xmlns:a16="http://schemas.microsoft.com/office/drawing/2014/main" id="{A50A0D88-5F6D-E279-7DA5-A501D651EE6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613</xdr:row>
      <xdr:rowOff>3703</xdr:rowOff>
    </xdr:from>
    <xdr:ext cx="33655" cy="33655"/>
    <xdr:grpSp>
      <xdr:nvGrpSpPr>
        <xdr:cNvPr id="4332" name="Group 32">
          <a:extLst>
            <a:ext uri="{FF2B5EF4-FFF2-40B4-BE49-F238E27FC236}">
              <a16:creationId xmlns:a16="http://schemas.microsoft.com/office/drawing/2014/main" id="{0D7DAE2E-4BA6-485D-94A9-61A13FEAB701}"/>
            </a:ext>
          </a:extLst>
        </xdr:cNvPr>
        <xdr:cNvGrpSpPr/>
      </xdr:nvGrpSpPr>
      <xdr:grpSpPr>
        <a:xfrm>
          <a:off x="4603072" y="114122572"/>
          <a:ext cx="33655" cy="33655"/>
          <a:chOff x="0" y="0"/>
          <a:chExt cx="33655" cy="33655"/>
        </a:xfrm>
      </xdr:grpSpPr>
      <xdr:sp macro="" textlink="">
        <xdr:nvSpPr>
          <xdr:cNvPr id="4333" name="Shape 33">
            <a:extLst>
              <a:ext uri="{FF2B5EF4-FFF2-40B4-BE49-F238E27FC236}">
                <a16:creationId xmlns:a16="http://schemas.microsoft.com/office/drawing/2014/main" id="{4CDB1E67-46BC-C66E-BBB6-89969533AB6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34" name="Shape 34">
            <a:extLst>
              <a:ext uri="{FF2B5EF4-FFF2-40B4-BE49-F238E27FC236}">
                <a16:creationId xmlns:a16="http://schemas.microsoft.com/office/drawing/2014/main" id="{D5DEBE30-3EA6-9CA6-1837-7F08C7AC2E7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35" name="Shape 35">
            <a:extLst>
              <a:ext uri="{FF2B5EF4-FFF2-40B4-BE49-F238E27FC236}">
                <a16:creationId xmlns:a16="http://schemas.microsoft.com/office/drawing/2014/main" id="{32B21B41-910E-FC4E-67F0-927CBB1A99C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36" name="Shape 36">
            <a:extLst>
              <a:ext uri="{FF2B5EF4-FFF2-40B4-BE49-F238E27FC236}">
                <a16:creationId xmlns:a16="http://schemas.microsoft.com/office/drawing/2014/main" id="{6E218236-BB45-2D08-55A9-7A3F08400E7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37" name="Shape 37">
            <a:extLst>
              <a:ext uri="{FF2B5EF4-FFF2-40B4-BE49-F238E27FC236}">
                <a16:creationId xmlns:a16="http://schemas.microsoft.com/office/drawing/2014/main" id="{844EE9DA-F8EB-C99B-A96A-594588AAA06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38" name="Shape 38">
            <a:extLst>
              <a:ext uri="{FF2B5EF4-FFF2-40B4-BE49-F238E27FC236}">
                <a16:creationId xmlns:a16="http://schemas.microsoft.com/office/drawing/2014/main" id="{6A89370D-0446-D0D5-2612-FF7D842B56A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39" name="Shape 39">
            <a:extLst>
              <a:ext uri="{FF2B5EF4-FFF2-40B4-BE49-F238E27FC236}">
                <a16:creationId xmlns:a16="http://schemas.microsoft.com/office/drawing/2014/main" id="{9D9ED22D-13AD-00EF-A0ED-F899367AC0C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40" name="Shape 40">
            <a:extLst>
              <a:ext uri="{FF2B5EF4-FFF2-40B4-BE49-F238E27FC236}">
                <a16:creationId xmlns:a16="http://schemas.microsoft.com/office/drawing/2014/main" id="{5DF09EE8-3051-DBAF-1A32-176FA409DDC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41" name="Shape 41">
            <a:extLst>
              <a:ext uri="{FF2B5EF4-FFF2-40B4-BE49-F238E27FC236}">
                <a16:creationId xmlns:a16="http://schemas.microsoft.com/office/drawing/2014/main" id="{D9433DB4-EAB6-627C-A1E2-89FA83F305F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42" name="Shape 42">
            <a:extLst>
              <a:ext uri="{FF2B5EF4-FFF2-40B4-BE49-F238E27FC236}">
                <a16:creationId xmlns:a16="http://schemas.microsoft.com/office/drawing/2014/main" id="{B9AC078A-DBBD-324B-4A44-3742CE997E8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43" name="Shape 43">
            <a:extLst>
              <a:ext uri="{FF2B5EF4-FFF2-40B4-BE49-F238E27FC236}">
                <a16:creationId xmlns:a16="http://schemas.microsoft.com/office/drawing/2014/main" id="{8A9E2D93-DBCD-540C-5B17-A4AD33F28C0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44" name="Shape 44">
            <a:extLst>
              <a:ext uri="{FF2B5EF4-FFF2-40B4-BE49-F238E27FC236}">
                <a16:creationId xmlns:a16="http://schemas.microsoft.com/office/drawing/2014/main" id="{99554963-6F4C-B24A-0E72-89A965D8E83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45" name="Shape 45">
            <a:extLst>
              <a:ext uri="{FF2B5EF4-FFF2-40B4-BE49-F238E27FC236}">
                <a16:creationId xmlns:a16="http://schemas.microsoft.com/office/drawing/2014/main" id="{F0079A0C-3195-BBDE-0C2C-25734F3AAE7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46" name="Shape 46">
            <a:extLst>
              <a:ext uri="{FF2B5EF4-FFF2-40B4-BE49-F238E27FC236}">
                <a16:creationId xmlns:a16="http://schemas.microsoft.com/office/drawing/2014/main" id="{7D12E608-4A8C-23AD-4A17-3499BD8CB50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613</xdr:row>
      <xdr:rowOff>3409</xdr:rowOff>
    </xdr:from>
    <xdr:ext cx="33655" cy="33655"/>
    <xdr:grpSp>
      <xdr:nvGrpSpPr>
        <xdr:cNvPr id="4347" name="Group 47">
          <a:extLst>
            <a:ext uri="{FF2B5EF4-FFF2-40B4-BE49-F238E27FC236}">
              <a16:creationId xmlns:a16="http://schemas.microsoft.com/office/drawing/2014/main" id="{51E21ED5-E22E-4EC4-9311-9E4166F73156}"/>
            </a:ext>
          </a:extLst>
        </xdr:cNvPr>
        <xdr:cNvGrpSpPr/>
      </xdr:nvGrpSpPr>
      <xdr:grpSpPr>
        <a:xfrm>
          <a:off x="4603072" y="114122278"/>
          <a:ext cx="33655" cy="33655"/>
          <a:chOff x="0" y="0"/>
          <a:chExt cx="33655" cy="33655"/>
        </a:xfrm>
      </xdr:grpSpPr>
      <xdr:sp macro="" textlink="">
        <xdr:nvSpPr>
          <xdr:cNvPr id="4348" name="Shape 48">
            <a:extLst>
              <a:ext uri="{FF2B5EF4-FFF2-40B4-BE49-F238E27FC236}">
                <a16:creationId xmlns:a16="http://schemas.microsoft.com/office/drawing/2014/main" id="{FC6683FA-CCF8-15CB-C214-0F47C7733E3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49" name="Shape 49">
            <a:extLst>
              <a:ext uri="{FF2B5EF4-FFF2-40B4-BE49-F238E27FC236}">
                <a16:creationId xmlns:a16="http://schemas.microsoft.com/office/drawing/2014/main" id="{A4DC1AC6-ADD5-7522-5E2F-A048D4D0404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50" name="Shape 50">
            <a:extLst>
              <a:ext uri="{FF2B5EF4-FFF2-40B4-BE49-F238E27FC236}">
                <a16:creationId xmlns:a16="http://schemas.microsoft.com/office/drawing/2014/main" id="{F3A4300B-30BC-0791-7039-89A29790B2E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51" name="Shape 51">
            <a:extLst>
              <a:ext uri="{FF2B5EF4-FFF2-40B4-BE49-F238E27FC236}">
                <a16:creationId xmlns:a16="http://schemas.microsoft.com/office/drawing/2014/main" id="{9BE0032E-119E-5A85-4A2E-D7C01BDF138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52" name="Shape 52">
            <a:extLst>
              <a:ext uri="{FF2B5EF4-FFF2-40B4-BE49-F238E27FC236}">
                <a16:creationId xmlns:a16="http://schemas.microsoft.com/office/drawing/2014/main" id="{0D68E124-609A-5F2D-EC29-C9D246B56A5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53" name="Shape 53">
            <a:extLst>
              <a:ext uri="{FF2B5EF4-FFF2-40B4-BE49-F238E27FC236}">
                <a16:creationId xmlns:a16="http://schemas.microsoft.com/office/drawing/2014/main" id="{C75DF6C2-B3BE-8479-74A5-7FCE4EB9D12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54" name="Shape 54">
            <a:extLst>
              <a:ext uri="{FF2B5EF4-FFF2-40B4-BE49-F238E27FC236}">
                <a16:creationId xmlns:a16="http://schemas.microsoft.com/office/drawing/2014/main" id="{F90CFB36-3B02-14F9-F97D-7474A1DA04D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55" name="Shape 55">
            <a:extLst>
              <a:ext uri="{FF2B5EF4-FFF2-40B4-BE49-F238E27FC236}">
                <a16:creationId xmlns:a16="http://schemas.microsoft.com/office/drawing/2014/main" id="{AD3627E5-B5DE-5FAE-4EA8-66D8555F49F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56" name="Shape 56">
            <a:extLst>
              <a:ext uri="{FF2B5EF4-FFF2-40B4-BE49-F238E27FC236}">
                <a16:creationId xmlns:a16="http://schemas.microsoft.com/office/drawing/2014/main" id="{DAB43A51-F819-5F5C-B5BB-E3BA5AFDCAE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57" name="Shape 57">
            <a:extLst>
              <a:ext uri="{FF2B5EF4-FFF2-40B4-BE49-F238E27FC236}">
                <a16:creationId xmlns:a16="http://schemas.microsoft.com/office/drawing/2014/main" id="{544FA1E4-A0C0-525B-4AC7-619918EFA21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58" name="Shape 58">
            <a:extLst>
              <a:ext uri="{FF2B5EF4-FFF2-40B4-BE49-F238E27FC236}">
                <a16:creationId xmlns:a16="http://schemas.microsoft.com/office/drawing/2014/main" id="{FE8205E4-5EF6-4B5C-1B36-6DF794F50C2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59" name="Shape 59">
            <a:extLst>
              <a:ext uri="{FF2B5EF4-FFF2-40B4-BE49-F238E27FC236}">
                <a16:creationId xmlns:a16="http://schemas.microsoft.com/office/drawing/2014/main" id="{7D84DCD5-F801-592E-105D-D660A258D92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60" name="Shape 60">
            <a:extLst>
              <a:ext uri="{FF2B5EF4-FFF2-40B4-BE49-F238E27FC236}">
                <a16:creationId xmlns:a16="http://schemas.microsoft.com/office/drawing/2014/main" id="{F388BD1D-6788-A77E-E7C6-CFEBB475ACB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61" name="Shape 61">
            <a:extLst>
              <a:ext uri="{FF2B5EF4-FFF2-40B4-BE49-F238E27FC236}">
                <a16:creationId xmlns:a16="http://schemas.microsoft.com/office/drawing/2014/main" id="{AB3F0A82-C8E1-16E3-ECFC-A9DBB85BC00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613</xdr:row>
      <xdr:rowOff>3962</xdr:rowOff>
    </xdr:from>
    <xdr:ext cx="33655" cy="33655"/>
    <xdr:grpSp>
      <xdr:nvGrpSpPr>
        <xdr:cNvPr id="4362" name="Group 62">
          <a:extLst>
            <a:ext uri="{FF2B5EF4-FFF2-40B4-BE49-F238E27FC236}">
              <a16:creationId xmlns:a16="http://schemas.microsoft.com/office/drawing/2014/main" id="{A8DC3C68-6133-4FEA-9FC1-516BEB07E67B}"/>
            </a:ext>
          </a:extLst>
        </xdr:cNvPr>
        <xdr:cNvGrpSpPr/>
      </xdr:nvGrpSpPr>
      <xdr:grpSpPr>
        <a:xfrm>
          <a:off x="4603072" y="114122831"/>
          <a:ext cx="33655" cy="33655"/>
          <a:chOff x="0" y="0"/>
          <a:chExt cx="33655" cy="33655"/>
        </a:xfrm>
      </xdr:grpSpPr>
      <xdr:sp macro="" textlink="">
        <xdr:nvSpPr>
          <xdr:cNvPr id="4363" name="Shape 63">
            <a:extLst>
              <a:ext uri="{FF2B5EF4-FFF2-40B4-BE49-F238E27FC236}">
                <a16:creationId xmlns:a16="http://schemas.microsoft.com/office/drawing/2014/main" id="{B5A9C08B-C1BB-BA32-2200-8E4FCEA28B6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64" name="Shape 64">
            <a:extLst>
              <a:ext uri="{FF2B5EF4-FFF2-40B4-BE49-F238E27FC236}">
                <a16:creationId xmlns:a16="http://schemas.microsoft.com/office/drawing/2014/main" id="{91588D21-73C2-9D23-B9F9-A575E741F8B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65" name="Shape 65">
            <a:extLst>
              <a:ext uri="{FF2B5EF4-FFF2-40B4-BE49-F238E27FC236}">
                <a16:creationId xmlns:a16="http://schemas.microsoft.com/office/drawing/2014/main" id="{A2625732-3769-FD1B-166C-1A3A94520EB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66" name="Shape 66">
            <a:extLst>
              <a:ext uri="{FF2B5EF4-FFF2-40B4-BE49-F238E27FC236}">
                <a16:creationId xmlns:a16="http://schemas.microsoft.com/office/drawing/2014/main" id="{9AA09013-7A81-EF88-3B74-77C469D8F0D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67" name="Shape 67">
            <a:extLst>
              <a:ext uri="{FF2B5EF4-FFF2-40B4-BE49-F238E27FC236}">
                <a16:creationId xmlns:a16="http://schemas.microsoft.com/office/drawing/2014/main" id="{03B60726-1897-3C2B-6F85-7F9B71CC67A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68" name="Shape 68">
            <a:extLst>
              <a:ext uri="{FF2B5EF4-FFF2-40B4-BE49-F238E27FC236}">
                <a16:creationId xmlns:a16="http://schemas.microsoft.com/office/drawing/2014/main" id="{22EFB27B-DB12-0DB6-8FE9-D553CAAAD01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69" name="Shape 69">
            <a:extLst>
              <a:ext uri="{FF2B5EF4-FFF2-40B4-BE49-F238E27FC236}">
                <a16:creationId xmlns:a16="http://schemas.microsoft.com/office/drawing/2014/main" id="{B513FE72-CFB5-ECCD-54F9-146C242EB97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70" name="Shape 70">
            <a:extLst>
              <a:ext uri="{FF2B5EF4-FFF2-40B4-BE49-F238E27FC236}">
                <a16:creationId xmlns:a16="http://schemas.microsoft.com/office/drawing/2014/main" id="{92D55B4A-6A38-13E8-1103-8DE6660C927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71" name="Shape 71">
            <a:extLst>
              <a:ext uri="{FF2B5EF4-FFF2-40B4-BE49-F238E27FC236}">
                <a16:creationId xmlns:a16="http://schemas.microsoft.com/office/drawing/2014/main" id="{05F2388A-81F4-2859-3822-A2FC97AA669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72" name="Shape 72">
            <a:extLst>
              <a:ext uri="{FF2B5EF4-FFF2-40B4-BE49-F238E27FC236}">
                <a16:creationId xmlns:a16="http://schemas.microsoft.com/office/drawing/2014/main" id="{509DAE82-BB9D-55E2-6786-B75666DA5BD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73" name="Shape 73">
            <a:extLst>
              <a:ext uri="{FF2B5EF4-FFF2-40B4-BE49-F238E27FC236}">
                <a16:creationId xmlns:a16="http://schemas.microsoft.com/office/drawing/2014/main" id="{84E138F9-1685-BF36-09A2-B72D1E6C7B9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74" name="Shape 74">
            <a:extLst>
              <a:ext uri="{FF2B5EF4-FFF2-40B4-BE49-F238E27FC236}">
                <a16:creationId xmlns:a16="http://schemas.microsoft.com/office/drawing/2014/main" id="{5903806E-97CF-D691-4D54-1526720FBE2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75" name="Shape 75">
            <a:extLst>
              <a:ext uri="{FF2B5EF4-FFF2-40B4-BE49-F238E27FC236}">
                <a16:creationId xmlns:a16="http://schemas.microsoft.com/office/drawing/2014/main" id="{FE0C4E52-5985-F332-22D3-FCDED5D1A7C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376" name="Shape 76">
            <a:extLst>
              <a:ext uri="{FF2B5EF4-FFF2-40B4-BE49-F238E27FC236}">
                <a16:creationId xmlns:a16="http://schemas.microsoft.com/office/drawing/2014/main" id="{7367D473-8796-D5E2-172D-7B4B8CAD50D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482</xdr:row>
      <xdr:rowOff>2978</xdr:rowOff>
    </xdr:from>
    <xdr:ext cx="33655" cy="33655"/>
    <xdr:grpSp>
      <xdr:nvGrpSpPr>
        <xdr:cNvPr id="4377" name="Group 2">
          <a:extLst>
            <a:ext uri="{FF2B5EF4-FFF2-40B4-BE49-F238E27FC236}">
              <a16:creationId xmlns:a16="http://schemas.microsoft.com/office/drawing/2014/main" id="{D09CEA67-0E6F-40B7-8F11-5385751748A4}"/>
            </a:ext>
          </a:extLst>
        </xdr:cNvPr>
        <xdr:cNvGrpSpPr/>
      </xdr:nvGrpSpPr>
      <xdr:grpSpPr>
        <a:xfrm>
          <a:off x="4603072" y="90912076"/>
          <a:ext cx="33655" cy="33655"/>
          <a:chOff x="0" y="0"/>
          <a:chExt cx="33655" cy="33655"/>
        </a:xfrm>
      </xdr:grpSpPr>
      <xdr:sp macro="" textlink="">
        <xdr:nvSpPr>
          <xdr:cNvPr id="4378" name="Shape 3">
            <a:extLst>
              <a:ext uri="{FF2B5EF4-FFF2-40B4-BE49-F238E27FC236}">
                <a16:creationId xmlns:a16="http://schemas.microsoft.com/office/drawing/2014/main" id="{27C4A839-3AFE-6093-884C-BB66FEB7C0D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79" name="Shape 4">
            <a:extLst>
              <a:ext uri="{FF2B5EF4-FFF2-40B4-BE49-F238E27FC236}">
                <a16:creationId xmlns:a16="http://schemas.microsoft.com/office/drawing/2014/main" id="{D25D2ADA-EBF3-C124-E5C4-C3BA322E65F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80" name="Shape 5">
            <a:extLst>
              <a:ext uri="{FF2B5EF4-FFF2-40B4-BE49-F238E27FC236}">
                <a16:creationId xmlns:a16="http://schemas.microsoft.com/office/drawing/2014/main" id="{0068AA11-C6BD-31ED-24DD-7F38DD108C4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81" name="Shape 6">
            <a:extLst>
              <a:ext uri="{FF2B5EF4-FFF2-40B4-BE49-F238E27FC236}">
                <a16:creationId xmlns:a16="http://schemas.microsoft.com/office/drawing/2014/main" id="{8981E865-FD6B-46B4-83CD-CADC30A8796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82" name="Shape 7">
            <a:extLst>
              <a:ext uri="{FF2B5EF4-FFF2-40B4-BE49-F238E27FC236}">
                <a16:creationId xmlns:a16="http://schemas.microsoft.com/office/drawing/2014/main" id="{9BEEF677-045D-2A2E-A032-FF9729574FD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83" name="Shape 8">
            <a:extLst>
              <a:ext uri="{FF2B5EF4-FFF2-40B4-BE49-F238E27FC236}">
                <a16:creationId xmlns:a16="http://schemas.microsoft.com/office/drawing/2014/main" id="{E49368DE-5BFB-AEFF-349C-579AFE4244C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84" name="Shape 9">
            <a:extLst>
              <a:ext uri="{FF2B5EF4-FFF2-40B4-BE49-F238E27FC236}">
                <a16:creationId xmlns:a16="http://schemas.microsoft.com/office/drawing/2014/main" id="{CB2D3E00-F732-36CA-67EA-1CFFFF8EA7F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85" name="Shape 10">
            <a:extLst>
              <a:ext uri="{FF2B5EF4-FFF2-40B4-BE49-F238E27FC236}">
                <a16:creationId xmlns:a16="http://schemas.microsoft.com/office/drawing/2014/main" id="{DACCFE68-AD8F-9843-7E41-8AE17D31784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86" name="Shape 11">
            <a:extLst>
              <a:ext uri="{FF2B5EF4-FFF2-40B4-BE49-F238E27FC236}">
                <a16:creationId xmlns:a16="http://schemas.microsoft.com/office/drawing/2014/main" id="{B059579A-5109-2CF1-FCAD-4AE0DC802B2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87" name="Shape 12">
            <a:extLst>
              <a:ext uri="{FF2B5EF4-FFF2-40B4-BE49-F238E27FC236}">
                <a16:creationId xmlns:a16="http://schemas.microsoft.com/office/drawing/2014/main" id="{9EB49DC8-2609-9F85-0065-7A030F4061E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88" name="Shape 13">
            <a:extLst>
              <a:ext uri="{FF2B5EF4-FFF2-40B4-BE49-F238E27FC236}">
                <a16:creationId xmlns:a16="http://schemas.microsoft.com/office/drawing/2014/main" id="{D6FE2158-3CB4-A657-5ABA-1FB90995346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89" name="Shape 14">
            <a:extLst>
              <a:ext uri="{FF2B5EF4-FFF2-40B4-BE49-F238E27FC236}">
                <a16:creationId xmlns:a16="http://schemas.microsoft.com/office/drawing/2014/main" id="{A516476C-34BD-5074-C63B-AE5FDC23F76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90" name="Shape 15">
            <a:extLst>
              <a:ext uri="{FF2B5EF4-FFF2-40B4-BE49-F238E27FC236}">
                <a16:creationId xmlns:a16="http://schemas.microsoft.com/office/drawing/2014/main" id="{DD14193D-33E8-AFE5-9AAA-00DD2D930C1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91" name="Shape 16">
            <a:extLst>
              <a:ext uri="{FF2B5EF4-FFF2-40B4-BE49-F238E27FC236}">
                <a16:creationId xmlns:a16="http://schemas.microsoft.com/office/drawing/2014/main" id="{F4B4A573-99D0-FBDC-B3CB-87550FF90F0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482</xdr:row>
      <xdr:rowOff>3246</xdr:rowOff>
    </xdr:from>
    <xdr:ext cx="33655" cy="33655"/>
    <xdr:grpSp>
      <xdr:nvGrpSpPr>
        <xdr:cNvPr id="4392" name="Group 17">
          <a:extLst>
            <a:ext uri="{FF2B5EF4-FFF2-40B4-BE49-F238E27FC236}">
              <a16:creationId xmlns:a16="http://schemas.microsoft.com/office/drawing/2014/main" id="{C4F0CF61-82B0-4812-A9A4-CF27B806F7B6}"/>
            </a:ext>
          </a:extLst>
        </xdr:cNvPr>
        <xdr:cNvGrpSpPr/>
      </xdr:nvGrpSpPr>
      <xdr:grpSpPr>
        <a:xfrm>
          <a:off x="4603072" y="90912344"/>
          <a:ext cx="33655" cy="33655"/>
          <a:chOff x="0" y="0"/>
          <a:chExt cx="33655" cy="33655"/>
        </a:xfrm>
      </xdr:grpSpPr>
      <xdr:sp macro="" textlink="">
        <xdr:nvSpPr>
          <xdr:cNvPr id="4393" name="Shape 18">
            <a:extLst>
              <a:ext uri="{FF2B5EF4-FFF2-40B4-BE49-F238E27FC236}">
                <a16:creationId xmlns:a16="http://schemas.microsoft.com/office/drawing/2014/main" id="{89616531-50F7-A4DD-A98D-EDBA6DC762F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94" name="Shape 19">
            <a:extLst>
              <a:ext uri="{FF2B5EF4-FFF2-40B4-BE49-F238E27FC236}">
                <a16:creationId xmlns:a16="http://schemas.microsoft.com/office/drawing/2014/main" id="{3EBC47D2-F780-1E81-EC39-2A4065962A1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95" name="Shape 20">
            <a:extLst>
              <a:ext uri="{FF2B5EF4-FFF2-40B4-BE49-F238E27FC236}">
                <a16:creationId xmlns:a16="http://schemas.microsoft.com/office/drawing/2014/main" id="{37B9F98F-C726-BFB7-220A-62FA636D41F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96" name="Shape 21">
            <a:extLst>
              <a:ext uri="{FF2B5EF4-FFF2-40B4-BE49-F238E27FC236}">
                <a16:creationId xmlns:a16="http://schemas.microsoft.com/office/drawing/2014/main" id="{893BE21B-6DEE-AB0E-72B7-33403003915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97" name="Shape 22">
            <a:extLst>
              <a:ext uri="{FF2B5EF4-FFF2-40B4-BE49-F238E27FC236}">
                <a16:creationId xmlns:a16="http://schemas.microsoft.com/office/drawing/2014/main" id="{03FFA2B7-AE39-1C65-B296-88F31AB634C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398" name="Shape 23">
            <a:extLst>
              <a:ext uri="{FF2B5EF4-FFF2-40B4-BE49-F238E27FC236}">
                <a16:creationId xmlns:a16="http://schemas.microsoft.com/office/drawing/2014/main" id="{642C7CF5-B121-374F-7082-514CD9331D9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399" name="Shape 24">
            <a:extLst>
              <a:ext uri="{FF2B5EF4-FFF2-40B4-BE49-F238E27FC236}">
                <a16:creationId xmlns:a16="http://schemas.microsoft.com/office/drawing/2014/main" id="{895C02CE-E53B-00B6-FDDE-B2753518F44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00" name="Shape 25">
            <a:extLst>
              <a:ext uri="{FF2B5EF4-FFF2-40B4-BE49-F238E27FC236}">
                <a16:creationId xmlns:a16="http://schemas.microsoft.com/office/drawing/2014/main" id="{C479C05F-B1DA-3498-BF02-0A179C1BF69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01" name="Shape 26">
            <a:extLst>
              <a:ext uri="{FF2B5EF4-FFF2-40B4-BE49-F238E27FC236}">
                <a16:creationId xmlns:a16="http://schemas.microsoft.com/office/drawing/2014/main" id="{5D2F0072-2CE2-C0A6-21FC-4832CC72968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02" name="Shape 27">
            <a:extLst>
              <a:ext uri="{FF2B5EF4-FFF2-40B4-BE49-F238E27FC236}">
                <a16:creationId xmlns:a16="http://schemas.microsoft.com/office/drawing/2014/main" id="{FDF1BAB0-45CB-CE3D-ED25-BDF00519FE6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03" name="Shape 28">
            <a:extLst>
              <a:ext uri="{FF2B5EF4-FFF2-40B4-BE49-F238E27FC236}">
                <a16:creationId xmlns:a16="http://schemas.microsoft.com/office/drawing/2014/main" id="{96BE3100-D68C-849B-3E19-D1A70C48F48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04" name="Shape 29">
            <a:extLst>
              <a:ext uri="{FF2B5EF4-FFF2-40B4-BE49-F238E27FC236}">
                <a16:creationId xmlns:a16="http://schemas.microsoft.com/office/drawing/2014/main" id="{29C07DC3-712F-DB54-90DD-D464288D0E3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05" name="Shape 30">
            <a:extLst>
              <a:ext uri="{FF2B5EF4-FFF2-40B4-BE49-F238E27FC236}">
                <a16:creationId xmlns:a16="http://schemas.microsoft.com/office/drawing/2014/main" id="{3EE82893-F93B-11AC-F8A9-426E807D9F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06" name="Shape 31">
            <a:extLst>
              <a:ext uri="{FF2B5EF4-FFF2-40B4-BE49-F238E27FC236}">
                <a16:creationId xmlns:a16="http://schemas.microsoft.com/office/drawing/2014/main" id="{6AE53CFF-0982-D446-745C-1D7675585D2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482</xdr:row>
      <xdr:rowOff>3703</xdr:rowOff>
    </xdr:from>
    <xdr:ext cx="33655" cy="33655"/>
    <xdr:grpSp>
      <xdr:nvGrpSpPr>
        <xdr:cNvPr id="4407" name="Group 32">
          <a:extLst>
            <a:ext uri="{FF2B5EF4-FFF2-40B4-BE49-F238E27FC236}">
              <a16:creationId xmlns:a16="http://schemas.microsoft.com/office/drawing/2014/main" id="{E309279D-CC8B-4A8D-87B1-94759286B2E0}"/>
            </a:ext>
          </a:extLst>
        </xdr:cNvPr>
        <xdr:cNvGrpSpPr/>
      </xdr:nvGrpSpPr>
      <xdr:grpSpPr>
        <a:xfrm>
          <a:off x="4603072" y="90912801"/>
          <a:ext cx="33655" cy="33655"/>
          <a:chOff x="0" y="0"/>
          <a:chExt cx="33655" cy="33655"/>
        </a:xfrm>
      </xdr:grpSpPr>
      <xdr:sp macro="" textlink="">
        <xdr:nvSpPr>
          <xdr:cNvPr id="4408" name="Shape 33">
            <a:extLst>
              <a:ext uri="{FF2B5EF4-FFF2-40B4-BE49-F238E27FC236}">
                <a16:creationId xmlns:a16="http://schemas.microsoft.com/office/drawing/2014/main" id="{A03FAC9E-1FC4-68E1-B475-F9C82C96746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09" name="Shape 34">
            <a:extLst>
              <a:ext uri="{FF2B5EF4-FFF2-40B4-BE49-F238E27FC236}">
                <a16:creationId xmlns:a16="http://schemas.microsoft.com/office/drawing/2014/main" id="{F9804F96-B985-C248-8D18-333A2EE994A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10" name="Shape 35">
            <a:extLst>
              <a:ext uri="{FF2B5EF4-FFF2-40B4-BE49-F238E27FC236}">
                <a16:creationId xmlns:a16="http://schemas.microsoft.com/office/drawing/2014/main" id="{60356DE1-D0C8-F189-DCEA-A5D0A803CCD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11" name="Shape 36">
            <a:extLst>
              <a:ext uri="{FF2B5EF4-FFF2-40B4-BE49-F238E27FC236}">
                <a16:creationId xmlns:a16="http://schemas.microsoft.com/office/drawing/2014/main" id="{3FE44DB0-33EF-8139-F8F7-D23DE90599E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12" name="Shape 37">
            <a:extLst>
              <a:ext uri="{FF2B5EF4-FFF2-40B4-BE49-F238E27FC236}">
                <a16:creationId xmlns:a16="http://schemas.microsoft.com/office/drawing/2014/main" id="{29F47C5D-63ED-1FF7-6D65-080BD9294FC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13" name="Shape 38">
            <a:extLst>
              <a:ext uri="{FF2B5EF4-FFF2-40B4-BE49-F238E27FC236}">
                <a16:creationId xmlns:a16="http://schemas.microsoft.com/office/drawing/2014/main" id="{E7E79C0F-C739-529E-EF03-56808D53D04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14" name="Shape 39">
            <a:extLst>
              <a:ext uri="{FF2B5EF4-FFF2-40B4-BE49-F238E27FC236}">
                <a16:creationId xmlns:a16="http://schemas.microsoft.com/office/drawing/2014/main" id="{19A75585-446C-EFA7-FAA0-C58DAF4C144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15" name="Shape 40">
            <a:extLst>
              <a:ext uri="{FF2B5EF4-FFF2-40B4-BE49-F238E27FC236}">
                <a16:creationId xmlns:a16="http://schemas.microsoft.com/office/drawing/2014/main" id="{EBD54954-7E9B-8F77-59D9-CCFC0F84441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16" name="Shape 41">
            <a:extLst>
              <a:ext uri="{FF2B5EF4-FFF2-40B4-BE49-F238E27FC236}">
                <a16:creationId xmlns:a16="http://schemas.microsoft.com/office/drawing/2014/main" id="{EEA7055D-CFD7-9D5A-8462-BC47C36C4F7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17" name="Shape 42">
            <a:extLst>
              <a:ext uri="{FF2B5EF4-FFF2-40B4-BE49-F238E27FC236}">
                <a16:creationId xmlns:a16="http://schemas.microsoft.com/office/drawing/2014/main" id="{8F64D3D1-9569-BB8F-451D-01576E94680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18" name="Shape 43">
            <a:extLst>
              <a:ext uri="{FF2B5EF4-FFF2-40B4-BE49-F238E27FC236}">
                <a16:creationId xmlns:a16="http://schemas.microsoft.com/office/drawing/2014/main" id="{60A6B9FD-FDB4-D17B-247A-7511D2C9D6F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19" name="Shape 44">
            <a:extLst>
              <a:ext uri="{FF2B5EF4-FFF2-40B4-BE49-F238E27FC236}">
                <a16:creationId xmlns:a16="http://schemas.microsoft.com/office/drawing/2014/main" id="{94E535C0-3191-2A3B-8591-03A43C74610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20" name="Shape 45">
            <a:extLst>
              <a:ext uri="{FF2B5EF4-FFF2-40B4-BE49-F238E27FC236}">
                <a16:creationId xmlns:a16="http://schemas.microsoft.com/office/drawing/2014/main" id="{1124B8F9-5B3F-8246-2F33-C7DC3490CA8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21" name="Shape 46">
            <a:extLst>
              <a:ext uri="{FF2B5EF4-FFF2-40B4-BE49-F238E27FC236}">
                <a16:creationId xmlns:a16="http://schemas.microsoft.com/office/drawing/2014/main" id="{F4C0A6BA-7E39-18DE-4477-CD99F60CF02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482</xdr:row>
      <xdr:rowOff>3409</xdr:rowOff>
    </xdr:from>
    <xdr:ext cx="33655" cy="33655"/>
    <xdr:grpSp>
      <xdr:nvGrpSpPr>
        <xdr:cNvPr id="4422" name="Group 47">
          <a:extLst>
            <a:ext uri="{FF2B5EF4-FFF2-40B4-BE49-F238E27FC236}">
              <a16:creationId xmlns:a16="http://schemas.microsoft.com/office/drawing/2014/main" id="{95CD6776-6E35-4F1B-8A35-AD0EDF2C298C}"/>
            </a:ext>
          </a:extLst>
        </xdr:cNvPr>
        <xdr:cNvGrpSpPr/>
      </xdr:nvGrpSpPr>
      <xdr:grpSpPr>
        <a:xfrm>
          <a:off x="4603072" y="90912507"/>
          <a:ext cx="33655" cy="33655"/>
          <a:chOff x="0" y="0"/>
          <a:chExt cx="33655" cy="33655"/>
        </a:xfrm>
      </xdr:grpSpPr>
      <xdr:sp macro="" textlink="">
        <xdr:nvSpPr>
          <xdr:cNvPr id="4423" name="Shape 48">
            <a:extLst>
              <a:ext uri="{FF2B5EF4-FFF2-40B4-BE49-F238E27FC236}">
                <a16:creationId xmlns:a16="http://schemas.microsoft.com/office/drawing/2014/main" id="{2C85AD92-0A78-7E0C-30E3-78F1839C508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24" name="Shape 49">
            <a:extLst>
              <a:ext uri="{FF2B5EF4-FFF2-40B4-BE49-F238E27FC236}">
                <a16:creationId xmlns:a16="http://schemas.microsoft.com/office/drawing/2014/main" id="{4E359042-33D0-2E12-C2AB-FCD7D886945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25" name="Shape 50">
            <a:extLst>
              <a:ext uri="{FF2B5EF4-FFF2-40B4-BE49-F238E27FC236}">
                <a16:creationId xmlns:a16="http://schemas.microsoft.com/office/drawing/2014/main" id="{D83FF76B-16DC-5D51-4212-C010C72EB13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26" name="Shape 51">
            <a:extLst>
              <a:ext uri="{FF2B5EF4-FFF2-40B4-BE49-F238E27FC236}">
                <a16:creationId xmlns:a16="http://schemas.microsoft.com/office/drawing/2014/main" id="{C01267B4-17E9-1B0D-1601-C802DD6AA9C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27" name="Shape 52">
            <a:extLst>
              <a:ext uri="{FF2B5EF4-FFF2-40B4-BE49-F238E27FC236}">
                <a16:creationId xmlns:a16="http://schemas.microsoft.com/office/drawing/2014/main" id="{CBE1B7EB-F8E0-AA3A-3CBE-5EFE2A782BA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28" name="Shape 53">
            <a:extLst>
              <a:ext uri="{FF2B5EF4-FFF2-40B4-BE49-F238E27FC236}">
                <a16:creationId xmlns:a16="http://schemas.microsoft.com/office/drawing/2014/main" id="{3B014B8E-9FA1-EC38-3723-1ACA68BC2FE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29" name="Shape 54">
            <a:extLst>
              <a:ext uri="{FF2B5EF4-FFF2-40B4-BE49-F238E27FC236}">
                <a16:creationId xmlns:a16="http://schemas.microsoft.com/office/drawing/2014/main" id="{7F49144C-078B-66D6-E9C8-53FD62CB7A6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30" name="Shape 55">
            <a:extLst>
              <a:ext uri="{FF2B5EF4-FFF2-40B4-BE49-F238E27FC236}">
                <a16:creationId xmlns:a16="http://schemas.microsoft.com/office/drawing/2014/main" id="{E545C325-46EA-6156-1127-4F67EF7B422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31" name="Shape 56">
            <a:extLst>
              <a:ext uri="{FF2B5EF4-FFF2-40B4-BE49-F238E27FC236}">
                <a16:creationId xmlns:a16="http://schemas.microsoft.com/office/drawing/2014/main" id="{B2BA32A1-55F4-78E9-41E8-0F86DC8BE25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32" name="Shape 57">
            <a:extLst>
              <a:ext uri="{FF2B5EF4-FFF2-40B4-BE49-F238E27FC236}">
                <a16:creationId xmlns:a16="http://schemas.microsoft.com/office/drawing/2014/main" id="{E14798DE-B760-7D3D-AFB4-BA5222A6DB1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33" name="Shape 58">
            <a:extLst>
              <a:ext uri="{FF2B5EF4-FFF2-40B4-BE49-F238E27FC236}">
                <a16:creationId xmlns:a16="http://schemas.microsoft.com/office/drawing/2014/main" id="{512AC0C1-19F6-155E-AC61-DD1FAD75F89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34" name="Shape 59">
            <a:extLst>
              <a:ext uri="{FF2B5EF4-FFF2-40B4-BE49-F238E27FC236}">
                <a16:creationId xmlns:a16="http://schemas.microsoft.com/office/drawing/2014/main" id="{D9047C26-165E-DA81-2B79-5EFF8E0335F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35" name="Shape 60">
            <a:extLst>
              <a:ext uri="{FF2B5EF4-FFF2-40B4-BE49-F238E27FC236}">
                <a16:creationId xmlns:a16="http://schemas.microsoft.com/office/drawing/2014/main" id="{A3B012AD-1A22-246F-F891-C94CE42B2AD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36" name="Shape 61">
            <a:extLst>
              <a:ext uri="{FF2B5EF4-FFF2-40B4-BE49-F238E27FC236}">
                <a16:creationId xmlns:a16="http://schemas.microsoft.com/office/drawing/2014/main" id="{A1522DA3-9AA0-E348-7607-C29CC65CF19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482</xdr:row>
      <xdr:rowOff>3962</xdr:rowOff>
    </xdr:from>
    <xdr:ext cx="33655" cy="33655"/>
    <xdr:grpSp>
      <xdr:nvGrpSpPr>
        <xdr:cNvPr id="4437" name="Group 62">
          <a:extLst>
            <a:ext uri="{FF2B5EF4-FFF2-40B4-BE49-F238E27FC236}">
              <a16:creationId xmlns:a16="http://schemas.microsoft.com/office/drawing/2014/main" id="{A3CC5962-5A16-4CA7-BDB5-196EFA00D2D7}"/>
            </a:ext>
          </a:extLst>
        </xdr:cNvPr>
        <xdr:cNvGrpSpPr/>
      </xdr:nvGrpSpPr>
      <xdr:grpSpPr>
        <a:xfrm>
          <a:off x="4603072" y="90913060"/>
          <a:ext cx="33655" cy="33655"/>
          <a:chOff x="0" y="0"/>
          <a:chExt cx="33655" cy="33655"/>
        </a:xfrm>
      </xdr:grpSpPr>
      <xdr:sp macro="" textlink="">
        <xdr:nvSpPr>
          <xdr:cNvPr id="4438" name="Shape 63">
            <a:extLst>
              <a:ext uri="{FF2B5EF4-FFF2-40B4-BE49-F238E27FC236}">
                <a16:creationId xmlns:a16="http://schemas.microsoft.com/office/drawing/2014/main" id="{DC6B6B32-1036-3F91-239C-41D35781D16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39" name="Shape 64">
            <a:extLst>
              <a:ext uri="{FF2B5EF4-FFF2-40B4-BE49-F238E27FC236}">
                <a16:creationId xmlns:a16="http://schemas.microsoft.com/office/drawing/2014/main" id="{D13E5945-7228-B59E-5D5F-CBD55CA69C6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440" name="Shape 65">
            <a:extLst>
              <a:ext uri="{FF2B5EF4-FFF2-40B4-BE49-F238E27FC236}">
                <a16:creationId xmlns:a16="http://schemas.microsoft.com/office/drawing/2014/main" id="{41940D08-831D-B64E-0E61-7617A4D7519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41" name="Shape 66">
            <a:extLst>
              <a:ext uri="{FF2B5EF4-FFF2-40B4-BE49-F238E27FC236}">
                <a16:creationId xmlns:a16="http://schemas.microsoft.com/office/drawing/2014/main" id="{3B3092C8-F6AD-647F-A425-5B63BAF8FAE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442" name="Shape 67">
            <a:extLst>
              <a:ext uri="{FF2B5EF4-FFF2-40B4-BE49-F238E27FC236}">
                <a16:creationId xmlns:a16="http://schemas.microsoft.com/office/drawing/2014/main" id="{D76F6482-4DC9-50EB-889B-61BA123A247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43" name="Shape 68">
            <a:extLst>
              <a:ext uri="{FF2B5EF4-FFF2-40B4-BE49-F238E27FC236}">
                <a16:creationId xmlns:a16="http://schemas.microsoft.com/office/drawing/2014/main" id="{D326F65B-6A6D-4197-378C-0F9EF3D9386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444" name="Shape 69">
            <a:extLst>
              <a:ext uri="{FF2B5EF4-FFF2-40B4-BE49-F238E27FC236}">
                <a16:creationId xmlns:a16="http://schemas.microsoft.com/office/drawing/2014/main" id="{80360603-5F99-AB74-1E8B-4EE14B4DC86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45" name="Shape 70">
            <a:extLst>
              <a:ext uri="{FF2B5EF4-FFF2-40B4-BE49-F238E27FC236}">
                <a16:creationId xmlns:a16="http://schemas.microsoft.com/office/drawing/2014/main" id="{E4D9A565-07A5-ED96-7478-8F83344DFD9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446" name="Shape 71">
            <a:extLst>
              <a:ext uri="{FF2B5EF4-FFF2-40B4-BE49-F238E27FC236}">
                <a16:creationId xmlns:a16="http://schemas.microsoft.com/office/drawing/2014/main" id="{7D652430-9CA9-5389-A27D-FB8BBDDB840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47" name="Shape 72">
            <a:extLst>
              <a:ext uri="{FF2B5EF4-FFF2-40B4-BE49-F238E27FC236}">
                <a16:creationId xmlns:a16="http://schemas.microsoft.com/office/drawing/2014/main" id="{6EE9CE43-BD6C-3AD4-C696-999926CA4C0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448" name="Shape 73">
            <a:extLst>
              <a:ext uri="{FF2B5EF4-FFF2-40B4-BE49-F238E27FC236}">
                <a16:creationId xmlns:a16="http://schemas.microsoft.com/office/drawing/2014/main" id="{BBC68CA6-C1B4-B3A3-9AD2-8838835D1A2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49" name="Shape 74">
            <a:extLst>
              <a:ext uri="{FF2B5EF4-FFF2-40B4-BE49-F238E27FC236}">
                <a16:creationId xmlns:a16="http://schemas.microsoft.com/office/drawing/2014/main" id="{E926C15A-E16B-7870-DD45-BA2D12CC5CA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450" name="Shape 75">
            <a:extLst>
              <a:ext uri="{FF2B5EF4-FFF2-40B4-BE49-F238E27FC236}">
                <a16:creationId xmlns:a16="http://schemas.microsoft.com/office/drawing/2014/main" id="{1EA6E80C-44F5-9481-B28B-BD9C6A49F12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451" name="Shape 76">
            <a:extLst>
              <a:ext uri="{FF2B5EF4-FFF2-40B4-BE49-F238E27FC236}">
                <a16:creationId xmlns:a16="http://schemas.microsoft.com/office/drawing/2014/main" id="{A53CA5A2-C4B8-1018-3572-D6260DF7B5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482</xdr:row>
      <xdr:rowOff>2978</xdr:rowOff>
    </xdr:from>
    <xdr:ext cx="33655" cy="33655"/>
    <xdr:grpSp>
      <xdr:nvGrpSpPr>
        <xdr:cNvPr id="4452" name="Group 2">
          <a:extLst>
            <a:ext uri="{FF2B5EF4-FFF2-40B4-BE49-F238E27FC236}">
              <a16:creationId xmlns:a16="http://schemas.microsoft.com/office/drawing/2014/main" id="{C2C8DD9F-3933-46A6-A3D0-9BAC880EF4E5}"/>
            </a:ext>
          </a:extLst>
        </xdr:cNvPr>
        <xdr:cNvGrpSpPr/>
      </xdr:nvGrpSpPr>
      <xdr:grpSpPr>
        <a:xfrm>
          <a:off x="4603072" y="90912076"/>
          <a:ext cx="33655" cy="33655"/>
          <a:chOff x="0" y="0"/>
          <a:chExt cx="33655" cy="33655"/>
        </a:xfrm>
      </xdr:grpSpPr>
      <xdr:sp macro="" textlink="">
        <xdr:nvSpPr>
          <xdr:cNvPr id="4453" name="Shape 3">
            <a:extLst>
              <a:ext uri="{FF2B5EF4-FFF2-40B4-BE49-F238E27FC236}">
                <a16:creationId xmlns:a16="http://schemas.microsoft.com/office/drawing/2014/main" id="{E64C3870-D999-D70D-75AD-2AD8A3E3EE7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54" name="Shape 4">
            <a:extLst>
              <a:ext uri="{FF2B5EF4-FFF2-40B4-BE49-F238E27FC236}">
                <a16:creationId xmlns:a16="http://schemas.microsoft.com/office/drawing/2014/main" id="{94F80BF5-7650-429B-17F9-E1C0A68E0AA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55" name="Shape 5">
            <a:extLst>
              <a:ext uri="{FF2B5EF4-FFF2-40B4-BE49-F238E27FC236}">
                <a16:creationId xmlns:a16="http://schemas.microsoft.com/office/drawing/2014/main" id="{34222F6E-E47A-9F1F-0D6D-9368A60C23A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56" name="Shape 6">
            <a:extLst>
              <a:ext uri="{FF2B5EF4-FFF2-40B4-BE49-F238E27FC236}">
                <a16:creationId xmlns:a16="http://schemas.microsoft.com/office/drawing/2014/main" id="{657339D0-2BCF-A9AB-E362-2EE0F466AC7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57" name="Shape 7">
            <a:extLst>
              <a:ext uri="{FF2B5EF4-FFF2-40B4-BE49-F238E27FC236}">
                <a16:creationId xmlns:a16="http://schemas.microsoft.com/office/drawing/2014/main" id="{95D2FD76-3BB6-FAAC-A9A8-276C439A584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58" name="Shape 8">
            <a:extLst>
              <a:ext uri="{FF2B5EF4-FFF2-40B4-BE49-F238E27FC236}">
                <a16:creationId xmlns:a16="http://schemas.microsoft.com/office/drawing/2014/main" id="{93C0A9D0-0EF2-9D31-BF89-BF9BA5D84F4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59" name="Shape 9">
            <a:extLst>
              <a:ext uri="{FF2B5EF4-FFF2-40B4-BE49-F238E27FC236}">
                <a16:creationId xmlns:a16="http://schemas.microsoft.com/office/drawing/2014/main" id="{81E3A415-408D-5DBE-8079-B909BC4A88D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60" name="Shape 10">
            <a:extLst>
              <a:ext uri="{FF2B5EF4-FFF2-40B4-BE49-F238E27FC236}">
                <a16:creationId xmlns:a16="http://schemas.microsoft.com/office/drawing/2014/main" id="{75ADFFA4-8AAF-17A0-962B-881C595EA6D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61" name="Shape 11">
            <a:extLst>
              <a:ext uri="{FF2B5EF4-FFF2-40B4-BE49-F238E27FC236}">
                <a16:creationId xmlns:a16="http://schemas.microsoft.com/office/drawing/2014/main" id="{E446ACF0-CF3D-2B34-7365-5D000433083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62" name="Shape 12">
            <a:extLst>
              <a:ext uri="{FF2B5EF4-FFF2-40B4-BE49-F238E27FC236}">
                <a16:creationId xmlns:a16="http://schemas.microsoft.com/office/drawing/2014/main" id="{2794556C-C762-5255-F992-B9ED5545D82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63" name="Shape 13">
            <a:extLst>
              <a:ext uri="{FF2B5EF4-FFF2-40B4-BE49-F238E27FC236}">
                <a16:creationId xmlns:a16="http://schemas.microsoft.com/office/drawing/2014/main" id="{9C820764-5B30-5A3E-511F-C545802F75B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64" name="Shape 14">
            <a:extLst>
              <a:ext uri="{FF2B5EF4-FFF2-40B4-BE49-F238E27FC236}">
                <a16:creationId xmlns:a16="http://schemas.microsoft.com/office/drawing/2014/main" id="{52DBB8FB-033D-4B58-632E-F1A57D5C82F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65" name="Shape 15">
            <a:extLst>
              <a:ext uri="{FF2B5EF4-FFF2-40B4-BE49-F238E27FC236}">
                <a16:creationId xmlns:a16="http://schemas.microsoft.com/office/drawing/2014/main" id="{B21952C8-B9C7-A62B-7FA8-B8907B1ECD5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66" name="Shape 16">
            <a:extLst>
              <a:ext uri="{FF2B5EF4-FFF2-40B4-BE49-F238E27FC236}">
                <a16:creationId xmlns:a16="http://schemas.microsoft.com/office/drawing/2014/main" id="{0D18B8DB-25C1-32DD-84F9-AFFFEBB3D0F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482</xdr:row>
      <xdr:rowOff>3246</xdr:rowOff>
    </xdr:from>
    <xdr:ext cx="33655" cy="33655"/>
    <xdr:grpSp>
      <xdr:nvGrpSpPr>
        <xdr:cNvPr id="4467" name="Group 17">
          <a:extLst>
            <a:ext uri="{FF2B5EF4-FFF2-40B4-BE49-F238E27FC236}">
              <a16:creationId xmlns:a16="http://schemas.microsoft.com/office/drawing/2014/main" id="{75867E08-12A3-4955-BC73-2BB945382AE8}"/>
            </a:ext>
          </a:extLst>
        </xdr:cNvPr>
        <xdr:cNvGrpSpPr/>
      </xdr:nvGrpSpPr>
      <xdr:grpSpPr>
        <a:xfrm>
          <a:off x="4603072" y="90912344"/>
          <a:ext cx="33655" cy="33655"/>
          <a:chOff x="0" y="0"/>
          <a:chExt cx="33655" cy="33655"/>
        </a:xfrm>
      </xdr:grpSpPr>
      <xdr:sp macro="" textlink="">
        <xdr:nvSpPr>
          <xdr:cNvPr id="4468" name="Shape 18">
            <a:extLst>
              <a:ext uri="{FF2B5EF4-FFF2-40B4-BE49-F238E27FC236}">
                <a16:creationId xmlns:a16="http://schemas.microsoft.com/office/drawing/2014/main" id="{32D6A696-31C1-4B6A-363E-DBE1EB435D7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69" name="Shape 19">
            <a:extLst>
              <a:ext uri="{FF2B5EF4-FFF2-40B4-BE49-F238E27FC236}">
                <a16:creationId xmlns:a16="http://schemas.microsoft.com/office/drawing/2014/main" id="{8A74DD7A-C28B-216C-63B7-899DA9C477C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70" name="Shape 20">
            <a:extLst>
              <a:ext uri="{FF2B5EF4-FFF2-40B4-BE49-F238E27FC236}">
                <a16:creationId xmlns:a16="http://schemas.microsoft.com/office/drawing/2014/main" id="{29FDBC5D-85F1-A2EC-D9EC-B653BB6E3C1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71" name="Shape 21">
            <a:extLst>
              <a:ext uri="{FF2B5EF4-FFF2-40B4-BE49-F238E27FC236}">
                <a16:creationId xmlns:a16="http://schemas.microsoft.com/office/drawing/2014/main" id="{0F571797-24B5-9BA3-A140-DCBEFEDC3CA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72" name="Shape 22">
            <a:extLst>
              <a:ext uri="{FF2B5EF4-FFF2-40B4-BE49-F238E27FC236}">
                <a16:creationId xmlns:a16="http://schemas.microsoft.com/office/drawing/2014/main" id="{4BB3166A-8DFB-8BE4-10DB-51FC29FB00E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73" name="Shape 23">
            <a:extLst>
              <a:ext uri="{FF2B5EF4-FFF2-40B4-BE49-F238E27FC236}">
                <a16:creationId xmlns:a16="http://schemas.microsoft.com/office/drawing/2014/main" id="{E80C598A-AFF8-AF8A-D909-69F147BE262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74" name="Shape 24">
            <a:extLst>
              <a:ext uri="{FF2B5EF4-FFF2-40B4-BE49-F238E27FC236}">
                <a16:creationId xmlns:a16="http://schemas.microsoft.com/office/drawing/2014/main" id="{9C984B7E-D39A-9339-A2DF-437BFAE1958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75" name="Shape 25">
            <a:extLst>
              <a:ext uri="{FF2B5EF4-FFF2-40B4-BE49-F238E27FC236}">
                <a16:creationId xmlns:a16="http://schemas.microsoft.com/office/drawing/2014/main" id="{CE3E2E71-D83A-A6FE-890E-C95F5552101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76" name="Shape 26">
            <a:extLst>
              <a:ext uri="{FF2B5EF4-FFF2-40B4-BE49-F238E27FC236}">
                <a16:creationId xmlns:a16="http://schemas.microsoft.com/office/drawing/2014/main" id="{608F361C-6931-C136-4176-E96B3F16F74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77" name="Shape 27">
            <a:extLst>
              <a:ext uri="{FF2B5EF4-FFF2-40B4-BE49-F238E27FC236}">
                <a16:creationId xmlns:a16="http://schemas.microsoft.com/office/drawing/2014/main" id="{876D1B1B-0574-A5B7-F7D0-A3000A6F1E7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78" name="Shape 28">
            <a:extLst>
              <a:ext uri="{FF2B5EF4-FFF2-40B4-BE49-F238E27FC236}">
                <a16:creationId xmlns:a16="http://schemas.microsoft.com/office/drawing/2014/main" id="{D2BBA1E2-609A-6F12-79D2-919819D2014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79" name="Shape 29">
            <a:extLst>
              <a:ext uri="{FF2B5EF4-FFF2-40B4-BE49-F238E27FC236}">
                <a16:creationId xmlns:a16="http://schemas.microsoft.com/office/drawing/2014/main" id="{303A431B-9098-B670-F707-FD2C6EB84A1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80" name="Shape 30">
            <a:extLst>
              <a:ext uri="{FF2B5EF4-FFF2-40B4-BE49-F238E27FC236}">
                <a16:creationId xmlns:a16="http://schemas.microsoft.com/office/drawing/2014/main" id="{77B536DA-ADC6-666A-C52C-5F948112844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81" name="Shape 31">
            <a:extLst>
              <a:ext uri="{FF2B5EF4-FFF2-40B4-BE49-F238E27FC236}">
                <a16:creationId xmlns:a16="http://schemas.microsoft.com/office/drawing/2014/main" id="{3148D57D-44EB-7C78-64FB-AF8CDD288A5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482</xdr:row>
      <xdr:rowOff>3703</xdr:rowOff>
    </xdr:from>
    <xdr:ext cx="33655" cy="33655"/>
    <xdr:grpSp>
      <xdr:nvGrpSpPr>
        <xdr:cNvPr id="4482" name="Group 32">
          <a:extLst>
            <a:ext uri="{FF2B5EF4-FFF2-40B4-BE49-F238E27FC236}">
              <a16:creationId xmlns:a16="http://schemas.microsoft.com/office/drawing/2014/main" id="{5FD07DF6-F571-4B5E-AC72-C3DE8CAFC85F}"/>
            </a:ext>
          </a:extLst>
        </xdr:cNvPr>
        <xdr:cNvGrpSpPr/>
      </xdr:nvGrpSpPr>
      <xdr:grpSpPr>
        <a:xfrm>
          <a:off x="4603072" y="90912801"/>
          <a:ext cx="33655" cy="33655"/>
          <a:chOff x="0" y="0"/>
          <a:chExt cx="33655" cy="33655"/>
        </a:xfrm>
      </xdr:grpSpPr>
      <xdr:sp macro="" textlink="">
        <xdr:nvSpPr>
          <xdr:cNvPr id="4483" name="Shape 33">
            <a:extLst>
              <a:ext uri="{FF2B5EF4-FFF2-40B4-BE49-F238E27FC236}">
                <a16:creationId xmlns:a16="http://schemas.microsoft.com/office/drawing/2014/main" id="{19043F9D-15B3-230C-0C82-068FC39B9F7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84" name="Shape 34">
            <a:extLst>
              <a:ext uri="{FF2B5EF4-FFF2-40B4-BE49-F238E27FC236}">
                <a16:creationId xmlns:a16="http://schemas.microsoft.com/office/drawing/2014/main" id="{67CC6DA8-4C6E-1017-49D2-C8F4899CA8D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85" name="Shape 35">
            <a:extLst>
              <a:ext uri="{FF2B5EF4-FFF2-40B4-BE49-F238E27FC236}">
                <a16:creationId xmlns:a16="http://schemas.microsoft.com/office/drawing/2014/main" id="{CAD791D9-DAD4-334E-ABE4-D828E3C700D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86" name="Shape 36">
            <a:extLst>
              <a:ext uri="{FF2B5EF4-FFF2-40B4-BE49-F238E27FC236}">
                <a16:creationId xmlns:a16="http://schemas.microsoft.com/office/drawing/2014/main" id="{A0B2308E-D065-93B0-0460-EBD6CC632C0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87" name="Shape 37">
            <a:extLst>
              <a:ext uri="{FF2B5EF4-FFF2-40B4-BE49-F238E27FC236}">
                <a16:creationId xmlns:a16="http://schemas.microsoft.com/office/drawing/2014/main" id="{E08C9521-8551-A59F-2C03-CA1A4834FBC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88" name="Shape 38">
            <a:extLst>
              <a:ext uri="{FF2B5EF4-FFF2-40B4-BE49-F238E27FC236}">
                <a16:creationId xmlns:a16="http://schemas.microsoft.com/office/drawing/2014/main" id="{393B9158-7D4F-DBEE-6ED6-8550A24113D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89" name="Shape 39">
            <a:extLst>
              <a:ext uri="{FF2B5EF4-FFF2-40B4-BE49-F238E27FC236}">
                <a16:creationId xmlns:a16="http://schemas.microsoft.com/office/drawing/2014/main" id="{B73B86B3-D07D-BCBA-E509-9DE0B20A707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90" name="Shape 40">
            <a:extLst>
              <a:ext uri="{FF2B5EF4-FFF2-40B4-BE49-F238E27FC236}">
                <a16:creationId xmlns:a16="http://schemas.microsoft.com/office/drawing/2014/main" id="{F407008D-178E-ADDE-AA4A-F4A4DC90BE4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91" name="Shape 41">
            <a:extLst>
              <a:ext uri="{FF2B5EF4-FFF2-40B4-BE49-F238E27FC236}">
                <a16:creationId xmlns:a16="http://schemas.microsoft.com/office/drawing/2014/main" id="{2D7855D9-CDD3-55D5-77C1-0461FE54770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92" name="Shape 42">
            <a:extLst>
              <a:ext uri="{FF2B5EF4-FFF2-40B4-BE49-F238E27FC236}">
                <a16:creationId xmlns:a16="http://schemas.microsoft.com/office/drawing/2014/main" id="{CDF969BE-D08D-EA5C-7D91-E1DCFC09E03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93" name="Shape 43">
            <a:extLst>
              <a:ext uri="{FF2B5EF4-FFF2-40B4-BE49-F238E27FC236}">
                <a16:creationId xmlns:a16="http://schemas.microsoft.com/office/drawing/2014/main" id="{B9DFDD4B-79CA-611D-E64A-7D2A46358A1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94" name="Shape 44">
            <a:extLst>
              <a:ext uri="{FF2B5EF4-FFF2-40B4-BE49-F238E27FC236}">
                <a16:creationId xmlns:a16="http://schemas.microsoft.com/office/drawing/2014/main" id="{D3AB6209-288C-0CFC-5C68-A99FB4AD608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95" name="Shape 45">
            <a:extLst>
              <a:ext uri="{FF2B5EF4-FFF2-40B4-BE49-F238E27FC236}">
                <a16:creationId xmlns:a16="http://schemas.microsoft.com/office/drawing/2014/main" id="{78BA9312-6994-03CB-7A13-C44F16D30F9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496" name="Shape 46">
            <a:extLst>
              <a:ext uri="{FF2B5EF4-FFF2-40B4-BE49-F238E27FC236}">
                <a16:creationId xmlns:a16="http://schemas.microsoft.com/office/drawing/2014/main" id="{059BF984-DF73-68B9-273A-BDF643F5030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482</xdr:row>
      <xdr:rowOff>3409</xdr:rowOff>
    </xdr:from>
    <xdr:ext cx="33655" cy="33655"/>
    <xdr:grpSp>
      <xdr:nvGrpSpPr>
        <xdr:cNvPr id="4497" name="Group 47">
          <a:extLst>
            <a:ext uri="{FF2B5EF4-FFF2-40B4-BE49-F238E27FC236}">
              <a16:creationId xmlns:a16="http://schemas.microsoft.com/office/drawing/2014/main" id="{4BCFB7E6-E529-4F55-9977-901503FE0A01}"/>
            </a:ext>
          </a:extLst>
        </xdr:cNvPr>
        <xdr:cNvGrpSpPr/>
      </xdr:nvGrpSpPr>
      <xdr:grpSpPr>
        <a:xfrm>
          <a:off x="4603072" y="90912507"/>
          <a:ext cx="33655" cy="33655"/>
          <a:chOff x="0" y="0"/>
          <a:chExt cx="33655" cy="33655"/>
        </a:xfrm>
      </xdr:grpSpPr>
      <xdr:sp macro="" textlink="">
        <xdr:nvSpPr>
          <xdr:cNvPr id="4498" name="Shape 48">
            <a:extLst>
              <a:ext uri="{FF2B5EF4-FFF2-40B4-BE49-F238E27FC236}">
                <a16:creationId xmlns:a16="http://schemas.microsoft.com/office/drawing/2014/main" id="{70BECF98-390E-CEC6-58F3-BE71E1C1909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499" name="Shape 49">
            <a:extLst>
              <a:ext uri="{FF2B5EF4-FFF2-40B4-BE49-F238E27FC236}">
                <a16:creationId xmlns:a16="http://schemas.microsoft.com/office/drawing/2014/main" id="{B29B3A22-D905-E7EE-588D-80ED57DEC46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00" name="Shape 50">
            <a:extLst>
              <a:ext uri="{FF2B5EF4-FFF2-40B4-BE49-F238E27FC236}">
                <a16:creationId xmlns:a16="http://schemas.microsoft.com/office/drawing/2014/main" id="{12744390-5E6B-BC9C-FF16-7E3E0A7F711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01" name="Shape 51">
            <a:extLst>
              <a:ext uri="{FF2B5EF4-FFF2-40B4-BE49-F238E27FC236}">
                <a16:creationId xmlns:a16="http://schemas.microsoft.com/office/drawing/2014/main" id="{44BA7329-6C90-9619-4EAD-BB4B1C2B4C2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02" name="Shape 52">
            <a:extLst>
              <a:ext uri="{FF2B5EF4-FFF2-40B4-BE49-F238E27FC236}">
                <a16:creationId xmlns:a16="http://schemas.microsoft.com/office/drawing/2014/main" id="{90E9E5D6-F34E-AEE3-8FAD-56E9810046A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03" name="Shape 53">
            <a:extLst>
              <a:ext uri="{FF2B5EF4-FFF2-40B4-BE49-F238E27FC236}">
                <a16:creationId xmlns:a16="http://schemas.microsoft.com/office/drawing/2014/main" id="{9B8FD7A2-8AAB-2E59-B39B-0B88FA56484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04" name="Shape 54">
            <a:extLst>
              <a:ext uri="{FF2B5EF4-FFF2-40B4-BE49-F238E27FC236}">
                <a16:creationId xmlns:a16="http://schemas.microsoft.com/office/drawing/2014/main" id="{6BD7B692-48D0-8896-A9F7-FF8E5EEDDD7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05" name="Shape 55">
            <a:extLst>
              <a:ext uri="{FF2B5EF4-FFF2-40B4-BE49-F238E27FC236}">
                <a16:creationId xmlns:a16="http://schemas.microsoft.com/office/drawing/2014/main" id="{2020ED45-ABD5-EB9F-89B3-36B519BB32A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06" name="Shape 56">
            <a:extLst>
              <a:ext uri="{FF2B5EF4-FFF2-40B4-BE49-F238E27FC236}">
                <a16:creationId xmlns:a16="http://schemas.microsoft.com/office/drawing/2014/main" id="{1FAF8B7C-6D9E-35FD-3FAF-3AD5523038B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07" name="Shape 57">
            <a:extLst>
              <a:ext uri="{FF2B5EF4-FFF2-40B4-BE49-F238E27FC236}">
                <a16:creationId xmlns:a16="http://schemas.microsoft.com/office/drawing/2014/main" id="{39D4E41B-EC68-845C-1F52-B5ACE04B3C0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08" name="Shape 58">
            <a:extLst>
              <a:ext uri="{FF2B5EF4-FFF2-40B4-BE49-F238E27FC236}">
                <a16:creationId xmlns:a16="http://schemas.microsoft.com/office/drawing/2014/main" id="{589AEC38-3055-9740-16FB-CF0C67B202F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09" name="Shape 59">
            <a:extLst>
              <a:ext uri="{FF2B5EF4-FFF2-40B4-BE49-F238E27FC236}">
                <a16:creationId xmlns:a16="http://schemas.microsoft.com/office/drawing/2014/main" id="{FF24A70F-3678-3263-040A-CB889DF055F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10" name="Shape 60">
            <a:extLst>
              <a:ext uri="{FF2B5EF4-FFF2-40B4-BE49-F238E27FC236}">
                <a16:creationId xmlns:a16="http://schemas.microsoft.com/office/drawing/2014/main" id="{09847EBE-FF25-9DD8-9081-919C4ABB1FF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11" name="Shape 61">
            <a:extLst>
              <a:ext uri="{FF2B5EF4-FFF2-40B4-BE49-F238E27FC236}">
                <a16:creationId xmlns:a16="http://schemas.microsoft.com/office/drawing/2014/main" id="{BFBA2709-B175-96DD-35B3-6480202372F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482</xdr:row>
      <xdr:rowOff>3962</xdr:rowOff>
    </xdr:from>
    <xdr:ext cx="33655" cy="33655"/>
    <xdr:grpSp>
      <xdr:nvGrpSpPr>
        <xdr:cNvPr id="4512" name="Group 62">
          <a:extLst>
            <a:ext uri="{FF2B5EF4-FFF2-40B4-BE49-F238E27FC236}">
              <a16:creationId xmlns:a16="http://schemas.microsoft.com/office/drawing/2014/main" id="{A16765AE-BF84-48F7-8C4E-4A1214C6569C}"/>
            </a:ext>
          </a:extLst>
        </xdr:cNvPr>
        <xdr:cNvGrpSpPr/>
      </xdr:nvGrpSpPr>
      <xdr:grpSpPr>
        <a:xfrm>
          <a:off x="4603072" y="90913060"/>
          <a:ext cx="33655" cy="33655"/>
          <a:chOff x="0" y="0"/>
          <a:chExt cx="33655" cy="33655"/>
        </a:xfrm>
      </xdr:grpSpPr>
      <xdr:sp macro="" textlink="">
        <xdr:nvSpPr>
          <xdr:cNvPr id="4513" name="Shape 63">
            <a:extLst>
              <a:ext uri="{FF2B5EF4-FFF2-40B4-BE49-F238E27FC236}">
                <a16:creationId xmlns:a16="http://schemas.microsoft.com/office/drawing/2014/main" id="{E5FC03F2-771A-561E-AE07-A9C644A8AEC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14" name="Shape 64">
            <a:extLst>
              <a:ext uri="{FF2B5EF4-FFF2-40B4-BE49-F238E27FC236}">
                <a16:creationId xmlns:a16="http://schemas.microsoft.com/office/drawing/2014/main" id="{393453D0-F920-10DC-AB36-289AF6F1A3E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15" name="Shape 65">
            <a:extLst>
              <a:ext uri="{FF2B5EF4-FFF2-40B4-BE49-F238E27FC236}">
                <a16:creationId xmlns:a16="http://schemas.microsoft.com/office/drawing/2014/main" id="{D0C2ADC8-4FC6-83E8-BDD8-47F310970B9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16" name="Shape 66">
            <a:extLst>
              <a:ext uri="{FF2B5EF4-FFF2-40B4-BE49-F238E27FC236}">
                <a16:creationId xmlns:a16="http://schemas.microsoft.com/office/drawing/2014/main" id="{21472995-4139-9DA2-F766-191B459924A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17" name="Shape 67">
            <a:extLst>
              <a:ext uri="{FF2B5EF4-FFF2-40B4-BE49-F238E27FC236}">
                <a16:creationId xmlns:a16="http://schemas.microsoft.com/office/drawing/2014/main" id="{B203A853-B6AD-CF25-686A-98CE0D92528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18" name="Shape 68">
            <a:extLst>
              <a:ext uri="{FF2B5EF4-FFF2-40B4-BE49-F238E27FC236}">
                <a16:creationId xmlns:a16="http://schemas.microsoft.com/office/drawing/2014/main" id="{7CDEFFF1-E570-E677-C416-CE236A2588F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19" name="Shape 69">
            <a:extLst>
              <a:ext uri="{FF2B5EF4-FFF2-40B4-BE49-F238E27FC236}">
                <a16:creationId xmlns:a16="http://schemas.microsoft.com/office/drawing/2014/main" id="{15C01E74-13D6-9071-8FC7-AEE27354ADD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20" name="Shape 70">
            <a:extLst>
              <a:ext uri="{FF2B5EF4-FFF2-40B4-BE49-F238E27FC236}">
                <a16:creationId xmlns:a16="http://schemas.microsoft.com/office/drawing/2014/main" id="{6DEE3D9C-7119-9C3C-B875-38836410055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21" name="Shape 71">
            <a:extLst>
              <a:ext uri="{FF2B5EF4-FFF2-40B4-BE49-F238E27FC236}">
                <a16:creationId xmlns:a16="http://schemas.microsoft.com/office/drawing/2014/main" id="{DEFA4760-700C-C0C9-FF96-D2192FC35BB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22" name="Shape 72">
            <a:extLst>
              <a:ext uri="{FF2B5EF4-FFF2-40B4-BE49-F238E27FC236}">
                <a16:creationId xmlns:a16="http://schemas.microsoft.com/office/drawing/2014/main" id="{A0916A1D-09CE-F521-1E64-667B4E9A725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23" name="Shape 73">
            <a:extLst>
              <a:ext uri="{FF2B5EF4-FFF2-40B4-BE49-F238E27FC236}">
                <a16:creationId xmlns:a16="http://schemas.microsoft.com/office/drawing/2014/main" id="{1637EC07-54B8-E7D5-209D-23B967A58C0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24" name="Shape 74">
            <a:extLst>
              <a:ext uri="{FF2B5EF4-FFF2-40B4-BE49-F238E27FC236}">
                <a16:creationId xmlns:a16="http://schemas.microsoft.com/office/drawing/2014/main" id="{8B04F788-A36C-E595-93C7-0D1EAC21B87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25" name="Shape 75">
            <a:extLst>
              <a:ext uri="{FF2B5EF4-FFF2-40B4-BE49-F238E27FC236}">
                <a16:creationId xmlns:a16="http://schemas.microsoft.com/office/drawing/2014/main" id="{7A415B30-C69D-D8BA-1862-9A8ABB1D763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26" name="Shape 76">
            <a:extLst>
              <a:ext uri="{FF2B5EF4-FFF2-40B4-BE49-F238E27FC236}">
                <a16:creationId xmlns:a16="http://schemas.microsoft.com/office/drawing/2014/main" id="{16ADCD65-E9F5-0D6E-AECF-AD74EC85E8C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471</xdr:row>
      <xdr:rowOff>2978</xdr:rowOff>
    </xdr:from>
    <xdr:ext cx="33655" cy="33655"/>
    <xdr:grpSp>
      <xdr:nvGrpSpPr>
        <xdr:cNvPr id="4527" name="Group 2">
          <a:extLst>
            <a:ext uri="{FF2B5EF4-FFF2-40B4-BE49-F238E27FC236}">
              <a16:creationId xmlns:a16="http://schemas.microsoft.com/office/drawing/2014/main" id="{38683A53-ADDA-416C-98B8-970DE1EEF212}"/>
            </a:ext>
          </a:extLst>
        </xdr:cNvPr>
        <xdr:cNvGrpSpPr/>
      </xdr:nvGrpSpPr>
      <xdr:grpSpPr>
        <a:xfrm>
          <a:off x="4603072" y="88919634"/>
          <a:ext cx="33655" cy="33655"/>
          <a:chOff x="0" y="0"/>
          <a:chExt cx="33655" cy="33655"/>
        </a:xfrm>
      </xdr:grpSpPr>
      <xdr:sp macro="" textlink="">
        <xdr:nvSpPr>
          <xdr:cNvPr id="4528" name="Shape 3">
            <a:extLst>
              <a:ext uri="{FF2B5EF4-FFF2-40B4-BE49-F238E27FC236}">
                <a16:creationId xmlns:a16="http://schemas.microsoft.com/office/drawing/2014/main" id="{90DD1FCB-0E72-9EC1-C8B1-29A3A61D79E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29" name="Shape 4">
            <a:extLst>
              <a:ext uri="{FF2B5EF4-FFF2-40B4-BE49-F238E27FC236}">
                <a16:creationId xmlns:a16="http://schemas.microsoft.com/office/drawing/2014/main" id="{C6A7A95B-3337-57DF-0DD9-97851E8C242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30" name="Shape 5">
            <a:extLst>
              <a:ext uri="{FF2B5EF4-FFF2-40B4-BE49-F238E27FC236}">
                <a16:creationId xmlns:a16="http://schemas.microsoft.com/office/drawing/2014/main" id="{EA5031C5-6441-262F-555B-8D071C34A1B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31" name="Shape 6">
            <a:extLst>
              <a:ext uri="{FF2B5EF4-FFF2-40B4-BE49-F238E27FC236}">
                <a16:creationId xmlns:a16="http://schemas.microsoft.com/office/drawing/2014/main" id="{32A5F3D1-D5B5-13DE-02F0-B49569FD105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32" name="Shape 7">
            <a:extLst>
              <a:ext uri="{FF2B5EF4-FFF2-40B4-BE49-F238E27FC236}">
                <a16:creationId xmlns:a16="http://schemas.microsoft.com/office/drawing/2014/main" id="{2A7F809D-B291-08D0-3DA3-FD841C7FCC6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33" name="Shape 8">
            <a:extLst>
              <a:ext uri="{FF2B5EF4-FFF2-40B4-BE49-F238E27FC236}">
                <a16:creationId xmlns:a16="http://schemas.microsoft.com/office/drawing/2014/main" id="{DB91BFFD-5B1C-04C0-4163-D798F7DF597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34" name="Shape 9">
            <a:extLst>
              <a:ext uri="{FF2B5EF4-FFF2-40B4-BE49-F238E27FC236}">
                <a16:creationId xmlns:a16="http://schemas.microsoft.com/office/drawing/2014/main" id="{37015DBA-5B86-E52E-3856-E3ADC683A1F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35" name="Shape 10">
            <a:extLst>
              <a:ext uri="{FF2B5EF4-FFF2-40B4-BE49-F238E27FC236}">
                <a16:creationId xmlns:a16="http://schemas.microsoft.com/office/drawing/2014/main" id="{73F0DE3F-1485-0B5B-D9CB-880B385B9A8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36" name="Shape 11">
            <a:extLst>
              <a:ext uri="{FF2B5EF4-FFF2-40B4-BE49-F238E27FC236}">
                <a16:creationId xmlns:a16="http://schemas.microsoft.com/office/drawing/2014/main" id="{6E560D64-6C4C-E605-AFE4-8D92711F889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37" name="Shape 12">
            <a:extLst>
              <a:ext uri="{FF2B5EF4-FFF2-40B4-BE49-F238E27FC236}">
                <a16:creationId xmlns:a16="http://schemas.microsoft.com/office/drawing/2014/main" id="{3D867D1C-4082-AF99-B2DE-4B425C0E805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38" name="Shape 13">
            <a:extLst>
              <a:ext uri="{FF2B5EF4-FFF2-40B4-BE49-F238E27FC236}">
                <a16:creationId xmlns:a16="http://schemas.microsoft.com/office/drawing/2014/main" id="{04EDC01A-E7C3-2A9E-3CD8-330281B570D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39" name="Shape 14">
            <a:extLst>
              <a:ext uri="{FF2B5EF4-FFF2-40B4-BE49-F238E27FC236}">
                <a16:creationId xmlns:a16="http://schemas.microsoft.com/office/drawing/2014/main" id="{15AADB81-A4C8-73F6-A44A-59D6F473E95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40" name="Shape 15">
            <a:extLst>
              <a:ext uri="{FF2B5EF4-FFF2-40B4-BE49-F238E27FC236}">
                <a16:creationId xmlns:a16="http://schemas.microsoft.com/office/drawing/2014/main" id="{1D4F91E3-03D7-95BA-472C-E7B713A3D3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41" name="Shape 16">
            <a:extLst>
              <a:ext uri="{FF2B5EF4-FFF2-40B4-BE49-F238E27FC236}">
                <a16:creationId xmlns:a16="http://schemas.microsoft.com/office/drawing/2014/main" id="{F5C981C6-927D-B223-E505-8714DEF8DC8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471</xdr:row>
      <xdr:rowOff>3246</xdr:rowOff>
    </xdr:from>
    <xdr:ext cx="33655" cy="33655"/>
    <xdr:grpSp>
      <xdr:nvGrpSpPr>
        <xdr:cNvPr id="4542" name="Group 17">
          <a:extLst>
            <a:ext uri="{FF2B5EF4-FFF2-40B4-BE49-F238E27FC236}">
              <a16:creationId xmlns:a16="http://schemas.microsoft.com/office/drawing/2014/main" id="{AD542B32-0532-4B0A-86CD-85F60A5261E0}"/>
            </a:ext>
          </a:extLst>
        </xdr:cNvPr>
        <xdr:cNvGrpSpPr/>
      </xdr:nvGrpSpPr>
      <xdr:grpSpPr>
        <a:xfrm>
          <a:off x="4603072" y="88919902"/>
          <a:ext cx="33655" cy="33655"/>
          <a:chOff x="0" y="0"/>
          <a:chExt cx="33655" cy="33655"/>
        </a:xfrm>
      </xdr:grpSpPr>
      <xdr:sp macro="" textlink="">
        <xdr:nvSpPr>
          <xdr:cNvPr id="4543" name="Shape 18">
            <a:extLst>
              <a:ext uri="{FF2B5EF4-FFF2-40B4-BE49-F238E27FC236}">
                <a16:creationId xmlns:a16="http://schemas.microsoft.com/office/drawing/2014/main" id="{57378720-577A-D511-0D67-82F101FA757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44" name="Shape 19">
            <a:extLst>
              <a:ext uri="{FF2B5EF4-FFF2-40B4-BE49-F238E27FC236}">
                <a16:creationId xmlns:a16="http://schemas.microsoft.com/office/drawing/2014/main" id="{9BE1D1D5-A578-12B7-1733-3177E4FBD4C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45" name="Shape 20">
            <a:extLst>
              <a:ext uri="{FF2B5EF4-FFF2-40B4-BE49-F238E27FC236}">
                <a16:creationId xmlns:a16="http://schemas.microsoft.com/office/drawing/2014/main" id="{1FA9ADC7-D512-98AB-1492-AD352712D89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46" name="Shape 21">
            <a:extLst>
              <a:ext uri="{FF2B5EF4-FFF2-40B4-BE49-F238E27FC236}">
                <a16:creationId xmlns:a16="http://schemas.microsoft.com/office/drawing/2014/main" id="{6B5E17C3-EBEA-0394-415C-A2CB5C0C65C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47" name="Shape 22">
            <a:extLst>
              <a:ext uri="{FF2B5EF4-FFF2-40B4-BE49-F238E27FC236}">
                <a16:creationId xmlns:a16="http://schemas.microsoft.com/office/drawing/2014/main" id="{F317875E-031F-F5B1-E4ED-CC31ADA1C73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48" name="Shape 23">
            <a:extLst>
              <a:ext uri="{FF2B5EF4-FFF2-40B4-BE49-F238E27FC236}">
                <a16:creationId xmlns:a16="http://schemas.microsoft.com/office/drawing/2014/main" id="{C145FAA5-6F56-D8A0-AE25-AA3C48D0CE9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49" name="Shape 24">
            <a:extLst>
              <a:ext uri="{FF2B5EF4-FFF2-40B4-BE49-F238E27FC236}">
                <a16:creationId xmlns:a16="http://schemas.microsoft.com/office/drawing/2014/main" id="{98A7565C-68E6-8EDE-AA01-9F41726ED50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50" name="Shape 25">
            <a:extLst>
              <a:ext uri="{FF2B5EF4-FFF2-40B4-BE49-F238E27FC236}">
                <a16:creationId xmlns:a16="http://schemas.microsoft.com/office/drawing/2014/main" id="{611C5746-916B-7D91-E74D-1C09EDD0CA9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51" name="Shape 26">
            <a:extLst>
              <a:ext uri="{FF2B5EF4-FFF2-40B4-BE49-F238E27FC236}">
                <a16:creationId xmlns:a16="http://schemas.microsoft.com/office/drawing/2014/main" id="{B7AAA690-3339-4036-EE26-083B80CBFCE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52" name="Shape 27">
            <a:extLst>
              <a:ext uri="{FF2B5EF4-FFF2-40B4-BE49-F238E27FC236}">
                <a16:creationId xmlns:a16="http://schemas.microsoft.com/office/drawing/2014/main" id="{8E04FB55-B63E-2A27-E085-3F443622BD9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53" name="Shape 28">
            <a:extLst>
              <a:ext uri="{FF2B5EF4-FFF2-40B4-BE49-F238E27FC236}">
                <a16:creationId xmlns:a16="http://schemas.microsoft.com/office/drawing/2014/main" id="{8FAD2582-B0C0-D7B7-C3AF-FA6A15A30D6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54" name="Shape 29">
            <a:extLst>
              <a:ext uri="{FF2B5EF4-FFF2-40B4-BE49-F238E27FC236}">
                <a16:creationId xmlns:a16="http://schemas.microsoft.com/office/drawing/2014/main" id="{1BC19630-DC2B-31C7-AF0C-DC0EB8CC330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55" name="Shape 30">
            <a:extLst>
              <a:ext uri="{FF2B5EF4-FFF2-40B4-BE49-F238E27FC236}">
                <a16:creationId xmlns:a16="http://schemas.microsoft.com/office/drawing/2014/main" id="{9BA6965C-FB7F-3F55-253F-D9EEBCB549F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56" name="Shape 31">
            <a:extLst>
              <a:ext uri="{FF2B5EF4-FFF2-40B4-BE49-F238E27FC236}">
                <a16:creationId xmlns:a16="http://schemas.microsoft.com/office/drawing/2014/main" id="{9B145BC9-F315-9163-6948-9B9095F11A3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471</xdr:row>
      <xdr:rowOff>3703</xdr:rowOff>
    </xdr:from>
    <xdr:ext cx="33655" cy="33655"/>
    <xdr:grpSp>
      <xdr:nvGrpSpPr>
        <xdr:cNvPr id="4557" name="Group 32">
          <a:extLst>
            <a:ext uri="{FF2B5EF4-FFF2-40B4-BE49-F238E27FC236}">
              <a16:creationId xmlns:a16="http://schemas.microsoft.com/office/drawing/2014/main" id="{C11E2860-1EE6-4EF9-89B1-BFF8001466A6}"/>
            </a:ext>
          </a:extLst>
        </xdr:cNvPr>
        <xdr:cNvGrpSpPr/>
      </xdr:nvGrpSpPr>
      <xdr:grpSpPr>
        <a:xfrm>
          <a:off x="4603072" y="88920359"/>
          <a:ext cx="33655" cy="33655"/>
          <a:chOff x="0" y="0"/>
          <a:chExt cx="33655" cy="33655"/>
        </a:xfrm>
      </xdr:grpSpPr>
      <xdr:sp macro="" textlink="">
        <xdr:nvSpPr>
          <xdr:cNvPr id="4558" name="Shape 33">
            <a:extLst>
              <a:ext uri="{FF2B5EF4-FFF2-40B4-BE49-F238E27FC236}">
                <a16:creationId xmlns:a16="http://schemas.microsoft.com/office/drawing/2014/main" id="{8EE49D4D-9173-35B1-F0BE-716F43E9B16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59" name="Shape 34">
            <a:extLst>
              <a:ext uri="{FF2B5EF4-FFF2-40B4-BE49-F238E27FC236}">
                <a16:creationId xmlns:a16="http://schemas.microsoft.com/office/drawing/2014/main" id="{9A0CEB15-1784-0274-1AF6-84C6A8C02D9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60" name="Shape 35">
            <a:extLst>
              <a:ext uri="{FF2B5EF4-FFF2-40B4-BE49-F238E27FC236}">
                <a16:creationId xmlns:a16="http://schemas.microsoft.com/office/drawing/2014/main" id="{D75CF274-9F62-E3BD-29C8-4EA2A42938B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61" name="Shape 36">
            <a:extLst>
              <a:ext uri="{FF2B5EF4-FFF2-40B4-BE49-F238E27FC236}">
                <a16:creationId xmlns:a16="http://schemas.microsoft.com/office/drawing/2014/main" id="{EB07C54D-BE77-A056-FD9B-2D07BFCAC35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62" name="Shape 37">
            <a:extLst>
              <a:ext uri="{FF2B5EF4-FFF2-40B4-BE49-F238E27FC236}">
                <a16:creationId xmlns:a16="http://schemas.microsoft.com/office/drawing/2014/main" id="{069D901C-1790-D31B-2A99-0854A909683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63" name="Shape 38">
            <a:extLst>
              <a:ext uri="{FF2B5EF4-FFF2-40B4-BE49-F238E27FC236}">
                <a16:creationId xmlns:a16="http://schemas.microsoft.com/office/drawing/2014/main" id="{B0260F48-12FA-E076-A04A-BF21B26C28C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64" name="Shape 39">
            <a:extLst>
              <a:ext uri="{FF2B5EF4-FFF2-40B4-BE49-F238E27FC236}">
                <a16:creationId xmlns:a16="http://schemas.microsoft.com/office/drawing/2014/main" id="{6EC3B3F7-711B-F7EC-888D-6E8173759EC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65" name="Shape 40">
            <a:extLst>
              <a:ext uri="{FF2B5EF4-FFF2-40B4-BE49-F238E27FC236}">
                <a16:creationId xmlns:a16="http://schemas.microsoft.com/office/drawing/2014/main" id="{9DB9C2F3-90FB-DC93-49DB-C03C323D0F3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66" name="Shape 41">
            <a:extLst>
              <a:ext uri="{FF2B5EF4-FFF2-40B4-BE49-F238E27FC236}">
                <a16:creationId xmlns:a16="http://schemas.microsoft.com/office/drawing/2014/main" id="{3670FDB8-72EA-6FEA-266F-9DFAB452A3E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67" name="Shape 42">
            <a:extLst>
              <a:ext uri="{FF2B5EF4-FFF2-40B4-BE49-F238E27FC236}">
                <a16:creationId xmlns:a16="http://schemas.microsoft.com/office/drawing/2014/main" id="{74F335FE-E6E4-C7B6-E383-3D08B9FE7DC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68" name="Shape 43">
            <a:extLst>
              <a:ext uri="{FF2B5EF4-FFF2-40B4-BE49-F238E27FC236}">
                <a16:creationId xmlns:a16="http://schemas.microsoft.com/office/drawing/2014/main" id="{396EB92C-486F-FDEC-ED19-3DDE93F1FBA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69" name="Shape 44">
            <a:extLst>
              <a:ext uri="{FF2B5EF4-FFF2-40B4-BE49-F238E27FC236}">
                <a16:creationId xmlns:a16="http://schemas.microsoft.com/office/drawing/2014/main" id="{7FEE699F-FE8F-445D-D4D6-231E41DB6CC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70" name="Shape 45">
            <a:extLst>
              <a:ext uri="{FF2B5EF4-FFF2-40B4-BE49-F238E27FC236}">
                <a16:creationId xmlns:a16="http://schemas.microsoft.com/office/drawing/2014/main" id="{6C9E87B4-3F59-BCA5-74B3-DE6BE237052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71" name="Shape 46">
            <a:extLst>
              <a:ext uri="{FF2B5EF4-FFF2-40B4-BE49-F238E27FC236}">
                <a16:creationId xmlns:a16="http://schemas.microsoft.com/office/drawing/2014/main" id="{507F471C-5217-D6B4-F3BA-8AFC233C15F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471</xdr:row>
      <xdr:rowOff>3409</xdr:rowOff>
    </xdr:from>
    <xdr:ext cx="33655" cy="33655"/>
    <xdr:grpSp>
      <xdr:nvGrpSpPr>
        <xdr:cNvPr id="4572" name="Group 47">
          <a:extLst>
            <a:ext uri="{FF2B5EF4-FFF2-40B4-BE49-F238E27FC236}">
              <a16:creationId xmlns:a16="http://schemas.microsoft.com/office/drawing/2014/main" id="{41C84DCF-AEF8-4417-B9C2-3C1F57FF4BAA}"/>
            </a:ext>
          </a:extLst>
        </xdr:cNvPr>
        <xdr:cNvGrpSpPr/>
      </xdr:nvGrpSpPr>
      <xdr:grpSpPr>
        <a:xfrm>
          <a:off x="4603072" y="88920065"/>
          <a:ext cx="33655" cy="33655"/>
          <a:chOff x="0" y="0"/>
          <a:chExt cx="33655" cy="33655"/>
        </a:xfrm>
      </xdr:grpSpPr>
      <xdr:sp macro="" textlink="">
        <xdr:nvSpPr>
          <xdr:cNvPr id="4573" name="Shape 48">
            <a:extLst>
              <a:ext uri="{FF2B5EF4-FFF2-40B4-BE49-F238E27FC236}">
                <a16:creationId xmlns:a16="http://schemas.microsoft.com/office/drawing/2014/main" id="{18DDD2A9-B7C9-7833-B7DD-AEC0C728375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74" name="Shape 49">
            <a:extLst>
              <a:ext uri="{FF2B5EF4-FFF2-40B4-BE49-F238E27FC236}">
                <a16:creationId xmlns:a16="http://schemas.microsoft.com/office/drawing/2014/main" id="{ECEEC271-E469-D8CE-CCF7-D8F2787073E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75" name="Shape 50">
            <a:extLst>
              <a:ext uri="{FF2B5EF4-FFF2-40B4-BE49-F238E27FC236}">
                <a16:creationId xmlns:a16="http://schemas.microsoft.com/office/drawing/2014/main" id="{F36ACA28-FF84-00D7-0291-63BB11CF1A9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76" name="Shape 51">
            <a:extLst>
              <a:ext uri="{FF2B5EF4-FFF2-40B4-BE49-F238E27FC236}">
                <a16:creationId xmlns:a16="http://schemas.microsoft.com/office/drawing/2014/main" id="{1E81E0A4-497A-6617-D56F-2AA59985C98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77" name="Shape 52">
            <a:extLst>
              <a:ext uri="{FF2B5EF4-FFF2-40B4-BE49-F238E27FC236}">
                <a16:creationId xmlns:a16="http://schemas.microsoft.com/office/drawing/2014/main" id="{CFB67E56-74E7-D269-482F-C82406D15A3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78" name="Shape 53">
            <a:extLst>
              <a:ext uri="{FF2B5EF4-FFF2-40B4-BE49-F238E27FC236}">
                <a16:creationId xmlns:a16="http://schemas.microsoft.com/office/drawing/2014/main" id="{EB353572-84CF-CC98-AC83-5F8631CFCDF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79" name="Shape 54">
            <a:extLst>
              <a:ext uri="{FF2B5EF4-FFF2-40B4-BE49-F238E27FC236}">
                <a16:creationId xmlns:a16="http://schemas.microsoft.com/office/drawing/2014/main" id="{74103043-5E3D-7ECB-9804-B9D9A4D65E8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80" name="Shape 55">
            <a:extLst>
              <a:ext uri="{FF2B5EF4-FFF2-40B4-BE49-F238E27FC236}">
                <a16:creationId xmlns:a16="http://schemas.microsoft.com/office/drawing/2014/main" id="{AE232CBA-3D3F-9EB6-D4D9-FF002D78C4B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81" name="Shape 56">
            <a:extLst>
              <a:ext uri="{FF2B5EF4-FFF2-40B4-BE49-F238E27FC236}">
                <a16:creationId xmlns:a16="http://schemas.microsoft.com/office/drawing/2014/main" id="{4FC2F59C-C938-6C40-99CB-A2B6D0E9572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82" name="Shape 57">
            <a:extLst>
              <a:ext uri="{FF2B5EF4-FFF2-40B4-BE49-F238E27FC236}">
                <a16:creationId xmlns:a16="http://schemas.microsoft.com/office/drawing/2014/main" id="{A6FC65A1-EBC4-9754-4C91-2915EE07AD1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83" name="Shape 58">
            <a:extLst>
              <a:ext uri="{FF2B5EF4-FFF2-40B4-BE49-F238E27FC236}">
                <a16:creationId xmlns:a16="http://schemas.microsoft.com/office/drawing/2014/main" id="{C2F4FE12-D51B-7F52-CA5C-218618EF1E1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84" name="Shape 59">
            <a:extLst>
              <a:ext uri="{FF2B5EF4-FFF2-40B4-BE49-F238E27FC236}">
                <a16:creationId xmlns:a16="http://schemas.microsoft.com/office/drawing/2014/main" id="{866C1583-F767-52E9-97EE-F4ABB8ADB85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85" name="Shape 60">
            <a:extLst>
              <a:ext uri="{FF2B5EF4-FFF2-40B4-BE49-F238E27FC236}">
                <a16:creationId xmlns:a16="http://schemas.microsoft.com/office/drawing/2014/main" id="{1714195C-3949-A765-C597-C9395B58561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586" name="Shape 61">
            <a:extLst>
              <a:ext uri="{FF2B5EF4-FFF2-40B4-BE49-F238E27FC236}">
                <a16:creationId xmlns:a16="http://schemas.microsoft.com/office/drawing/2014/main" id="{B67333A0-C387-90D6-5313-C818D6F5151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471</xdr:row>
      <xdr:rowOff>3962</xdr:rowOff>
    </xdr:from>
    <xdr:ext cx="33655" cy="33655"/>
    <xdr:grpSp>
      <xdr:nvGrpSpPr>
        <xdr:cNvPr id="4587" name="Group 62">
          <a:extLst>
            <a:ext uri="{FF2B5EF4-FFF2-40B4-BE49-F238E27FC236}">
              <a16:creationId xmlns:a16="http://schemas.microsoft.com/office/drawing/2014/main" id="{44131138-CE39-4010-BE0B-5F3A84064229}"/>
            </a:ext>
          </a:extLst>
        </xdr:cNvPr>
        <xdr:cNvGrpSpPr/>
      </xdr:nvGrpSpPr>
      <xdr:grpSpPr>
        <a:xfrm>
          <a:off x="4603072" y="88920618"/>
          <a:ext cx="33655" cy="33655"/>
          <a:chOff x="0" y="0"/>
          <a:chExt cx="33655" cy="33655"/>
        </a:xfrm>
      </xdr:grpSpPr>
      <xdr:sp macro="" textlink="">
        <xdr:nvSpPr>
          <xdr:cNvPr id="4588" name="Shape 63">
            <a:extLst>
              <a:ext uri="{FF2B5EF4-FFF2-40B4-BE49-F238E27FC236}">
                <a16:creationId xmlns:a16="http://schemas.microsoft.com/office/drawing/2014/main" id="{868279D5-2E77-67E7-D6D8-4269E8FBE79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89" name="Shape 64">
            <a:extLst>
              <a:ext uri="{FF2B5EF4-FFF2-40B4-BE49-F238E27FC236}">
                <a16:creationId xmlns:a16="http://schemas.microsoft.com/office/drawing/2014/main" id="{1C678351-B31D-4FAA-F08D-F9EB9995558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90" name="Shape 65">
            <a:extLst>
              <a:ext uri="{FF2B5EF4-FFF2-40B4-BE49-F238E27FC236}">
                <a16:creationId xmlns:a16="http://schemas.microsoft.com/office/drawing/2014/main" id="{0147C7A0-5003-CEDF-1771-86CAD9F7F53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91" name="Shape 66">
            <a:extLst>
              <a:ext uri="{FF2B5EF4-FFF2-40B4-BE49-F238E27FC236}">
                <a16:creationId xmlns:a16="http://schemas.microsoft.com/office/drawing/2014/main" id="{591E178F-254C-7C71-E6DB-4192E474334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92" name="Shape 67">
            <a:extLst>
              <a:ext uri="{FF2B5EF4-FFF2-40B4-BE49-F238E27FC236}">
                <a16:creationId xmlns:a16="http://schemas.microsoft.com/office/drawing/2014/main" id="{BD2395D6-B210-27B6-70AA-55F053DA4C7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93" name="Shape 68">
            <a:extLst>
              <a:ext uri="{FF2B5EF4-FFF2-40B4-BE49-F238E27FC236}">
                <a16:creationId xmlns:a16="http://schemas.microsoft.com/office/drawing/2014/main" id="{9C113975-3A1B-C6C6-0527-29FCFC92234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94" name="Shape 69">
            <a:extLst>
              <a:ext uri="{FF2B5EF4-FFF2-40B4-BE49-F238E27FC236}">
                <a16:creationId xmlns:a16="http://schemas.microsoft.com/office/drawing/2014/main" id="{6D175907-07C2-1F9F-33F4-9D2427A933C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95" name="Shape 70">
            <a:extLst>
              <a:ext uri="{FF2B5EF4-FFF2-40B4-BE49-F238E27FC236}">
                <a16:creationId xmlns:a16="http://schemas.microsoft.com/office/drawing/2014/main" id="{198A4BB3-1F63-1CAD-C893-BE0D5EE5034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96" name="Shape 71">
            <a:extLst>
              <a:ext uri="{FF2B5EF4-FFF2-40B4-BE49-F238E27FC236}">
                <a16:creationId xmlns:a16="http://schemas.microsoft.com/office/drawing/2014/main" id="{38EE860A-B328-3CBE-74DD-984E66B8A4A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97" name="Shape 72">
            <a:extLst>
              <a:ext uri="{FF2B5EF4-FFF2-40B4-BE49-F238E27FC236}">
                <a16:creationId xmlns:a16="http://schemas.microsoft.com/office/drawing/2014/main" id="{ECAF7647-7399-29DF-BBDC-B62E54C2A2B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598" name="Shape 73">
            <a:extLst>
              <a:ext uri="{FF2B5EF4-FFF2-40B4-BE49-F238E27FC236}">
                <a16:creationId xmlns:a16="http://schemas.microsoft.com/office/drawing/2014/main" id="{B3A051A9-588E-B523-9E90-D3B8C41EDE4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599" name="Shape 74">
            <a:extLst>
              <a:ext uri="{FF2B5EF4-FFF2-40B4-BE49-F238E27FC236}">
                <a16:creationId xmlns:a16="http://schemas.microsoft.com/office/drawing/2014/main" id="{EA5FCA43-16F2-1EF9-608D-3B7B2C6EC0B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00" name="Shape 75">
            <a:extLst>
              <a:ext uri="{FF2B5EF4-FFF2-40B4-BE49-F238E27FC236}">
                <a16:creationId xmlns:a16="http://schemas.microsoft.com/office/drawing/2014/main" id="{5734A953-6C5C-3F50-882D-B09B9521989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01" name="Shape 76">
            <a:extLst>
              <a:ext uri="{FF2B5EF4-FFF2-40B4-BE49-F238E27FC236}">
                <a16:creationId xmlns:a16="http://schemas.microsoft.com/office/drawing/2014/main" id="{FBB6A384-5A32-F5E2-C92B-C56B9917B32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471</xdr:row>
      <xdr:rowOff>2978</xdr:rowOff>
    </xdr:from>
    <xdr:ext cx="33655" cy="33655"/>
    <xdr:grpSp>
      <xdr:nvGrpSpPr>
        <xdr:cNvPr id="4602" name="Group 2">
          <a:extLst>
            <a:ext uri="{FF2B5EF4-FFF2-40B4-BE49-F238E27FC236}">
              <a16:creationId xmlns:a16="http://schemas.microsoft.com/office/drawing/2014/main" id="{EFBEE8DE-B91D-4D44-9091-E3914F650117}"/>
            </a:ext>
          </a:extLst>
        </xdr:cNvPr>
        <xdr:cNvGrpSpPr/>
      </xdr:nvGrpSpPr>
      <xdr:grpSpPr>
        <a:xfrm>
          <a:off x="4603072" y="88919634"/>
          <a:ext cx="33655" cy="33655"/>
          <a:chOff x="0" y="0"/>
          <a:chExt cx="33655" cy="33655"/>
        </a:xfrm>
      </xdr:grpSpPr>
      <xdr:sp macro="" textlink="">
        <xdr:nvSpPr>
          <xdr:cNvPr id="4603" name="Shape 3">
            <a:extLst>
              <a:ext uri="{FF2B5EF4-FFF2-40B4-BE49-F238E27FC236}">
                <a16:creationId xmlns:a16="http://schemas.microsoft.com/office/drawing/2014/main" id="{B357C165-C03C-A0EC-6319-B8ABCBA86EA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04" name="Shape 4">
            <a:extLst>
              <a:ext uri="{FF2B5EF4-FFF2-40B4-BE49-F238E27FC236}">
                <a16:creationId xmlns:a16="http://schemas.microsoft.com/office/drawing/2014/main" id="{87BC3996-B706-A299-7C09-C8E861D2E72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05" name="Shape 5">
            <a:extLst>
              <a:ext uri="{FF2B5EF4-FFF2-40B4-BE49-F238E27FC236}">
                <a16:creationId xmlns:a16="http://schemas.microsoft.com/office/drawing/2014/main" id="{421117D5-5CC6-CD03-41A9-9F70C633001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06" name="Shape 6">
            <a:extLst>
              <a:ext uri="{FF2B5EF4-FFF2-40B4-BE49-F238E27FC236}">
                <a16:creationId xmlns:a16="http://schemas.microsoft.com/office/drawing/2014/main" id="{1F936A25-6E87-3A2C-5A86-A252C582244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07" name="Shape 7">
            <a:extLst>
              <a:ext uri="{FF2B5EF4-FFF2-40B4-BE49-F238E27FC236}">
                <a16:creationId xmlns:a16="http://schemas.microsoft.com/office/drawing/2014/main" id="{CDE5B365-EEB5-B31D-8AEB-C701A802DEE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08" name="Shape 8">
            <a:extLst>
              <a:ext uri="{FF2B5EF4-FFF2-40B4-BE49-F238E27FC236}">
                <a16:creationId xmlns:a16="http://schemas.microsoft.com/office/drawing/2014/main" id="{DF2AE8AC-5B2C-6CCE-9C30-64F6D2C319E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09" name="Shape 9">
            <a:extLst>
              <a:ext uri="{FF2B5EF4-FFF2-40B4-BE49-F238E27FC236}">
                <a16:creationId xmlns:a16="http://schemas.microsoft.com/office/drawing/2014/main" id="{933F4C52-815E-4B1E-B631-CA893E5D29C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10" name="Shape 10">
            <a:extLst>
              <a:ext uri="{FF2B5EF4-FFF2-40B4-BE49-F238E27FC236}">
                <a16:creationId xmlns:a16="http://schemas.microsoft.com/office/drawing/2014/main" id="{BCEFA0DD-4EC3-5666-4E2D-21B0127E84A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11" name="Shape 11">
            <a:extLst>
              <a:ext uri="{FF2B5EF4-FFF2-40B4-BE49-F238E27FC236}">
                <a16:creationId xmlns:a16="http://schemas.microsoft.com/office/drawing/2014/main" id="{36E2AD2E-F8F4-D591-515E-EFFB6197A1C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12" name="Shape 12">
            <a:extLst>
              <a:ext uri="{FF2B5EF4-FFF2-40B4-BE49-F238E27FC236}">
                <a16:creationId xmlns:a16="http://schemas.microsoft.com/office/drawing/2014/main" id="{AB0F7552-D568-C63E-C329-E2D1B401D88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13" name="Shape 13">
            <a:extLst>
              <a:ext uri="{FF2B5EF4-FFF2-40B4-BE49-F238E27FC236}">
                <a16:creationId xmlns:a16="http://schemas.microsoft.com/office/drawing/2014/main" id="{3FF16EB2-32C6-6A39-BDCF-65F21FFD5E3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14" name="Shape 14">
            <a:extLst>
              <a:ext uri="{FF2B5EF4-FFF2-40B4-BE49-F238E27FC236}">
                <a16:creationId xmlns:a16="http://schemas.microsoft.com/office/drawing/2014/main" id="{05615D23-073F-05F6-3E8F-C97CF4752AF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15" name="Shape 15">
            <a:extLst>
              <a:ext uri="{FF2B5EF4-FFF2-40B4-BE49-F238E27FC236}">
                <a16:creationId xmlns:a16="http://schemas.microsoft.com/office/drawing/2014/main" id="{E666C6E1-FCA7-7512-1D40-38314F8D701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16" name="Shape 16">
            <a:extLst>
              <a:ext uri="{FF2B5EF4-FFF2-40B4-BE49-F238E27FC236}">
                <a16:creationId xmlns:a16="http://schemas.microsoft.com/office/drawing/2014/main" id="{BA5491E9-5516-5377-1B1D-7DC0C8428B1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471</xdr:row>
      <xdr:rowOff>3246</xdr:rowOff>
    </xdr:from>
    <xdr:ext cx="33655" cy="33655"/>
    <xdr:grpSp>
      <xdr:nvGrpSpPr>
        <xdr:cNvPr id="4617" name="Group 17">
          <a:extLst>
            <a:ext uri="{FF2B5EF4-FFF2-40B4-BE49-F238E27FC236}">
              <a16:creationId xmlns:a16="http://schemas.microsoft.com/office/drawing/2014/main" id="{2BC5BBE0-8064-4140-A8DD-5A85DDF81D4E}"/>
            </a:ext>
          </a:extLst>
        </xdr:cNvPr>
        <xdr:cNvGrpSpPr/>
      </xdr:nvGrpSpPr>
      <xdr:grpSpPr>
        <a:xfrm>
          <a:off x="4603072" y="88919902"/>
          <a:ext cx="33655" cy="33655"/>
          <a:chOff x="0" y="0"/>
          <a:chExt cx="33655" cy="33655"/>
        </a:xfrm>
      </xdr:grpSpPr>
      <xdr:sp macro="" textlink="">
        <xdr:nvSpPr>
          <xdr:cNvPr id="4618" name="Shape 18">
            <a:extLst>
              <a:ext uri="{FF2B5EF4-FFF2-40B4-BE49-F238E27FC236}">
                <a16:creationId xmlns:a16="http://schemas.microsoft.com/office/drawing/2014/main" id="{F8E60450-D881-8F3A-61F9-A883E0211C2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19" name="Shape 19">
            <a:extLst>
              <a:ext uri="{FF2B5EF4-FFF2-40B4-BE49-F238E27FC236}">
                <a16:creationId xmlns:a16="http://schemas.microsoft.com/office/drawing/2014/main" id="{DEA096BB-2E82-87AC-F7CF-EDE2D79C7C6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20" name="Shape 20">
            <a:extLst>
              <a:ext uri="{FF2B5EF4-FFF2-40B4-BE49-F238E27FC236}">
                <a16:creationId xmlns:a16="http://schemas.microsoft.com/office/drawing/2014/main" id="{1ACF030B-FB64-8610-CA82-6CA0BB80136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21" name="Shape 21">
            <a:extLst>
              <a:ext uri="{FF2B5EF4-FFF2-40B4-BE49-F238E27FC236}">
                <a16:creationId xmlns:a16="http://schemas.microsoft.com/office/drawing/2014/main" id="{DA80C352-1F57-E36F-DB8B-F56BC39BAF8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22" name="Shape 22">
            <a:extLst>
              <a:ext uri="{FF2B5EF4-FFF2-40B4-BE49-F238E27FC236}">
                <a16:creationId xmlns:a16="http://schemas.microsoft.com/office/drawing/2014/main" id="{B80DFF21-3C5C-3CD3-E1C2-008B6F40941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23" name="Shape 23">
            <a:extLst>
              <a:ext uri="{FF2B5EF4-FFF2-40B4-BE49-F238E27FC236}">
                <a16:creationId xmlns:a16="http://schemas.microsoft.com/office/drawing/2014/main" id="{A8B78062-9868-1735-D58A-9912D756BA6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24" name="Shape 24">
            <a:extLst>
              <a:ext uri="{FF2B5EF4-FFF2-40B4-BE49-F238E27FC236}">
                <a16:creationId xmlns:a16="http://schemas.microsoft.com/office/drawing/2014/main" id="{4A0D9B6E-AD3F-84BF-CB61-5062F21A66F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25" name="Shape 25">
            <a:extLst>
              <a:ext uri="{FF2B5EF4-FFF2-40B4-BE49-F238E27FC236}">
                <a16:creationId xmlns:a16="http://schemas.microsoft.com/office/drawing/2014/main" id="{0484CD73-D485-AEEF-2070-CD210AD1004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26" name="Shape 26">
            <a:extLst>
              <a:ext uri="{FF2B5EF4-FFF2-40B4-BE49-F238E27FC236}">
                <a16:creationId xmlns:a16="http://schemas.microsoft.com/office/drawing/2014/main" id="{9D7A09A5-E275-3CF9-BF1A-69C7563ADD5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27" name="Shape 27">
            <a:extLst>
              <a:ext uri="{FF2B5EF4-FFF2-40B4-BE49-F238E27FC236}">
                <a16:creationId xmlns:a16="http://schemas.microsoft.com/office/drawing/2014/main" id="{F7A7CACF-9FA6-4D03-4FB6-7C056657AFD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28" name="Shape 28">
            <a:extLst>
              <a:ext uri="{FF2B5EF4-FFF2-40B4-BE49-F238E27FC236}">
                <a16:creationId xmlns:a16="http://schemas.microsoft.com/office/drawing/2014/main" id="{159991A7-7C65-705E-7A78-BAEBD3FB606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29" name="Shape 29">
            <a:extLst>
              <a:ext uri="{FF2B5EF4-FFF2-40B4-BE49-F238E27FC236}">
                <a16:creationId xmlns:a16="http://schemas.microsoft.com/office/drawing/2014/main" id="{AE7D4318-55E1-643E-3FBB-5F3E33C764E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30" name="Shape 30">
            <a:extLst>
              <a:ext uri="{FF2B5EF4-FFF2-40B4-BE49-F238E27FC236}">
                <a16:creationId xmlns:a16="http://schemas.microsoft.com/office/drawing/2014/main" id="{68D9B328-BDEB-7EF9-6512-FEE59A8F2BB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31" name="Shape 31">
            <a:extLst>
              <a:ext uri="{FF2B5EF4-FFF2-40B4-BE49-F238E27FC236}">
                <a16:creationId xmlns:a16="http://schemas.microsoft.com/office/drawing/2014/main" id="{DF55E132-4C45-EC50-28B8-39E306CD1BD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471</xdr:row>
      <xdr:rowOff>3703</xdr:rowOff>
    </xdr:from>
    <xdr:ext cx="33655" cy="33655"/>
    <xdr:grpSp>
      <xdr:nvGrpSpPr>
        <xdr:cNvPr id="4632" name="Group 32">
          <a:extLst>
            <a:ext uri="{FF2B5EF4-FFF2-40B4-BE49-F238E27FC236}">
              <a16:creationId xmlns:a16="http://schemas.microsoft.com/office/drawing/2014/main" id="{868C8678-7BBB-4F09-BBF7-B41F64EC849D}"/>
            </a:ext>
          </a:extLst>
        </xdr:cNvPr>
        <xdr:cNvGrpSpPr/>
      </xdr:nvGrpSpPr>
      <xdr:grpSpPr>
        <a:xfrm>
          <a:off x="4603072" y="88920359"/>
          <a:ext cx="33655" cy="33655"/>
          <a:chOff x="0" y="0"/>
          <a:chExt cx="33655" cy="33655"/>
        </a:xfrm>
      </xdr:grpSpPr>
      <xdr:sp macro="" textlink="">
        <xdr:nvSpPr>
          <xdr:cNvPr id="4633" name="Shape 33">
            <a:extLst>
              <a:ext uri="{FF2B5EF4-FFF2-40B4-BE49-F238E27FC236}">
                <a16:creationId xmlns:a16="http://schemas.microsoft.com/office/drawing/2014/main" id="{24D2ABD6-6CE6-9324-9555-1AE12FD3248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34" name="Shape 34">
            <a:extLst>
              <a:ext uri="{FF2B5EF4-FFF2-40B4-BE49-F238E27FC236}">
                <a16:creationId xmlns:a16="http://schemas.microsoft.com/office/drawing/2014/main" id="{F9CC2A41-1360-1252-2150-EE7A1CA2966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35" name="Shape 35">
            <a:extLst>
              <a:ext uri="{FF2B5EF4-FFF2-40B4-BE49-F238E27FC236}">
                <a16:creationId xmlns:a16="http://schemas.microsoft.com/office/drawing/2014/main" id="{56A8423A-B223-1EA6-5811-7AC666E6A9F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36" name="Shape 36">
            <a:extLst>
              <a:ext uri="{FF2B5EF4-FFF2-40B4-BE49-F238E27FC236}">
                <a16:creationId xmlns:a16="http://schemas.microsoft.com/office/drawing/2014/main" id="{AECDA975-4170-23AD-75BB-464B1E56CFC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37" name="Shape 37">
            <a:extLst>
              <a:ext uri="{FF2B5EF4-FFF2-40B4-BE49-F238E27FC236}">
                <a16:creationId xmlns:a16="http://schemas.microsoft.com/office/drawing/2014/main" id="{DCF27104-CEC3-011D-D404-0AC0171B9F6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38" name="Shape 38">
            <a:extLst>
              <a:ext uri="{FF2B5EF4-FFF2-40B4-BE49-F238E27FC236}">
                <a16:creationId xmlns:a16="http://schemas.microsoft.com/office/drawing/2014/main" id="{6CF597A6-937C-277A-2F84-D85A02852DF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39" name="Shape 39">
            <a:extLst>
              <a:ext uri="{FF2B5EF4-FFF2-40B4-BE49-F238E27FC236}">
                <a16:creationId xmlns:a16="http://schemas.microsoft.com/office/drawing/2014/main" id="{F4F9AE2B-CEA9-3865-5723-F5F103C5992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40" name="Shape 40">
            <a:extLst>
              <a:ext uri="{FF2B5EF4-FFF2-40B4-BE49-F238E27FC236}">
                <a16:creationId xmlns:a16="http://schemas.microsoft.com/office/drawing/2014/main" id="{0B0AAEA4-B3F7-7F97-AD67-19ED635214D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41" name="Shape 41">
            <a:extLst>
              <a:ext uri="{FF2B5EF4-FFF2-40B4-BE49-F238E27FC236}">
                <a16:creationId xmlns:a16="http://schemas.microsoft.com/office/drawing/2014/main" id="{05ACAC15-ECE1-4304-DEF2-4452E90EC82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42" name="Shape 42">
            <a:extLst>
              <a:ext uri="{FF2B5EF4-FFF2-40B4-BE49-F238E27FC236}">
                <a16:creationId xmlns:a16="http://schemas.microsoft.com/office/drawing/2014/main" id="{F7469791-9506-A1E6-ECD1-BB90E9E81B7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43" name="Shape 43">
            <a:extLst>
              <a:ext uri="{FF2B5EF4-FFF2-40B4-BE49-F238E27FC236}">
                <a16:creationId xmlns:a16="http://schemas.microsoft.com/office/drawing/2014/main" id="{063A425D-322A-18DA-9CA3-1DB027CD48B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44" name="Shape 44">
            <a:extLst>
              <a:ext uri="{FF2B5EF4-FFF2-40B4-BE49-F238E27FC236}">
                <a16:creationId xmlns:a16="http://schemas.microsoft.com/office/drawing/2014/main" id="{CD161C00-21DC-259B-09BE-8C756C8AE97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45" name="Shape 45">
            <a:extLst>
              <a:ext uri="{FF2B5EF4-FFF2-40B4-BE49-F238E27FC236}">
                <a16:creationId xmlns:a16="http://schemas.microsoft.com/office/drawing/2014/main" id="{0615673C-09F1-9D29-B4DD-DB580E73AB2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46" name="Shape 46">
            <a:extLst>
              <a:ext uri="{FF2B5EF4-FFF2-40B4-BE49-F238E27FC236}">
                <a16:creationId xmlns:a16="http://schemas.microsoft.com/office/drawing/2014/main" id="{5C101F8F-FB74-AE7B-BD96-200E58E3C1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471</xdr:row>
      <xdr:rowOff>3409</xdr:rowOff>
    </xdr:from>
    <xdr:ext cx="33655" cy="33655"/>
    <xdr:grpSp>
      <xdr:nvGrpSpPr>
        <xdr:cNvPr id="4647" name="Group 47">
          <a:extLst>
            <a:ext uri="{FF2B5EF4-FFF2-40B4-BE49-F238E27FC236}">
              <a16:creationId xmlns:a16="http://schemas.microsoft.com/office/drawing/2014/main" id="{6EE2B522-2811-4383-9AB9-1027CAAED19C}"/>
            </a:ext>
          </a:extLst>
        </xdr:cNvPr>
        <xdr:cNvGrpSpPr/>
      </xdr:nvGrpSpPr>
      <xdr:grpSpPr>
        <a:xfrm>
          <a:off x="4603072" y="88920065"/>
          <a:ext cx="33655" cy="33655"/>
          <a:chOff x="0" y="0"/>
          <a:chExt cx="33655" cy="33655"/>
        </a:xfrm>
      </xdr:grpSpPr>
      <xdr:sp macro="" textlink="">
        <xdr:nvSpPr>
          <xdr:cNvPr id="4648" name="Shape 48">
            <a:extLst>
              <a:ext uri="{FF2B5EF4-FFF2-40B4-BE49-F238E27FC236}">
                <a16:creationId xmlns:a16="http://schemas.microsoft.com/office/drawing/2014/main" id="{834495E5-FDC9-836F-73EF-0B6E6B89C78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49" name="Shape 49">
            <a:extLst>
              <a:ext uri="{FF2B5EF4-FFF2-40B4-BE49-F238E27FC236}">
                <a16:creationId xmlns:a16="http://schemas.microsoft.com/office/drawing/2014/main" id="{EF60D46E-B164-71B4-D2DC-F037A5BB92B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50" name="Shape 50">
            <a:extLst>
              <a:ext uri="{FF2B5EF4-FFF2-40B4-BE49-F238E27FC236}">
                <a16:creationId xmlns:a16="http://schemas.microsoft.com/office/drawing/2014/main" id="{78DFB4FD-9264-7E90-4434-002CA2FF8B9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51" name="Shape 51">
            <a:extLst>
              <a:ext uri="{FF2B5EF4-FFF2-40B4-BE49-F238E27FC236}">
                <a16:creationId xmlns:a16="http://schemas.microsoft.com/office/drawing/2014/main" id="{6BB6E80A-4E04-36DF-EF87-499382E4752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52" name="Shape 52">
            <a:extLst>
              <a:ext uri="{FF2B5EF4-FFF2-40B4-BE49-F238E27FC236}">
                <a16:creationId xmlns:a16="http://schemas.microsoft.com/office/drawing/2014/main" id="{42A55BAA-E8A4-D5FC-EF48-1A13E48C475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53" name="Shape 53">
            <a:extLst>
              <a:ext uri="{FF2B5EF4-FFF2-40B4-BE49-F238E27FC236}">
                <a16:creationId xmlns:a16="http://schemas.microsoft.com/office/drawing/2014/main" id="{A375D68B-66BD-1B26-7981-E78FE5E176C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54" name="Shape 54">
            <a:extLst>
              <a:ext uri="{FF2B5EF4-FFF2-40B4-BE49-F238E27FC236}">
                <a16:creationId xmlns:a16="http://schemas.microsoft.com/office/drawing/2014/main" id="{E45475DF-E672-EA05-5F87-DCA53388D44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55" name="Shape 55">
            <a:extLst>
              <a:ext uri="{FF2B5EF4-FFF2-40B4-BE49-F238E27FC236}">
                <a16:creationId xmlns:a16="http://schemas.microsoft.com/office/drawing/2014/main" id="{3E85BE99-CEE9-6029-FBAA-11B5A9C5497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56" name="Shape 56">
            <a:extLst>
              <a:ext uri="{FF2B5EF4-FFF2-40B4-BE49-F238E27FC236}">
                <a16:creationId xmlns:a16="http://schemas.microsoft.com/office/drawing/2014/main" id="{96C2E735-0466-FE89-82F4-DF531012AE5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57" name="Shape 57">
            <a:extLst>
              <a:ext uri="{FF2B5EF4-FFF2-40B4-BE49-F238E27FC236}">
                <a16:creationId xmlns:a16="http://schemas.microsoft.com/office/drawing/2014/main" id="{F49BB366-9B26-0DEF-2498-9F680693EDD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58" name="Shape 58">
            <a:extLst>
              <a:ext uri="{FF2B5EF4-FFF2-40B4-BE49-F238E27FC236}">
                <a16:creationId xmlns:a16="http://schemas.microsoft.com/office/drawing/2014/main" id="{17FD9A38-FFFA-8F36-4D23-4ACD80054FA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59" name="Shape 59">
            <a:extLst>
              <a:ext uri="{FF2B5EF4-FFF2-40B4-BE49-F238E27FC236}">
                <a16:creationId xmlns:a16="http://schemas.microsoft.com/office/drawing/2014/main" id="{AB43EA7A-2E44-97CE-BD07-581DAAF7401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60" name="Shape 60">
            <a:extLst>
              <a:ext uri="{FF2B5EF4-FFF2-40B4-BE49-F238E27FC236}">
                <a16:creationId xmlns:a16="http://schemas.microsoft.com/office/drawing/2014/main" id="{EF3CA75D-32ED-62E3-CC48-EE30596ACEC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61" name="Shape 61">
            <a:extLst>
              <a:ext uri="{FF2B5EF4-FFF2-40B4-BE49-F238E27FC236}">
                <a16:creationId xmlns:a16="http://schemas.microsoft.com/office/drawing/2014/main" id="{DB1F9106-B100-7330-20FE-178C7DE99A7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471</xdr:row>
      <xdr:rowOff>3962</xdr:rowOff>
    </xdr:from>
    <xdr:ext cx="33655" cy="33655"/>
    <xdr:grpSp>
      <xdr:nvGrpSpPr>
        <xdr:cNvPr id="4662" name="Group 62">
          <a:extLst>
            <a:ext uri="{FF2B5EF4-FFF2-40B4-BE49-F238E27FC236}">
              <a16:creationId xmlns:a16="http://schemas.microsoft.com/office/drawing/2014/main" id="{A6918B6D-179B-49BA-BE26-1FF303DCE057}"/>
            </a:ext>
          </a:extLst>
        </xdr:cNvPr>
        <xdr:cNvGrpSpPr/>
      </xdr:nvGrpSpPr>
      <xdr:grpSpPr>
        <a:xfrm>
          <a:off x="4603072" y="88920618"/>
          <a:ext cx="33655" cy="33655"/>
          <a:chOff x="0" y="0"/>
          <a:chExt cx="33655" cy="33655"/>
        </a:xfrm>
      </xdr:grpSpPr>
      <xdr:sp macro="" textlink="">
        <xdr:nvSpPr>
          <xdr:cNvPr id="4663" name="Shape 63">
            <a:extLst>
              <a:ext uri="{FF2B5EF4-FFF2-40B4-BE49-F238E27FC236}">
                <a16:creationId xmlns:a16="http://schemas.microsoft.com/office/drawing/2014/main" id="{FDFE3AB5-0D97-3E3E-443A-6BACC9D763E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64" name="Shape 64">
            <a:extLst>
              <a:ext uri="{FF2B5EF4-FFF2-40B4-BE49-F238E27FC236}">
                <a16:creationId xmlns:a16="http://schemas.microsoft.com/office/drawing/2014/main" id="{6B0BF47B-D489-511B-ECC6-A03678F7B21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65" name="Shape 65">
            <a:extLst>
              <a:ext uri="{FF2B5EF4-FFF2-40B4-BE49-F238E27FC236}">
                <a16:creationId xmlns:a16="http://schemas.microsoft.com/office/drawing/2014/main" id="{713B72B9-4CD5-6C87-14A6-08F1A031932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66" name="Shape 66">
            <a:extLst>
              <a:ext uri="{FF2B5EF4-FFF2-40B4-BE49-F238E27FC236}">
                <a16:creationId xmlns:a16="http://schemas.microsoft.com/office/drawing/2014/main" id="{CA35B2D7-6661-7BC8-C717-DFE53B6E038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67" name="Shape 67">
            <a:extLst>
              <a:ext uri="{FF2B5EF4-FFF2-40B4-BE49-F238E27FC236}">
                <a16:creationId xmlns:a16="http://schemas.microsoft.com/office/drawing/2014/main" id="{A5A321A1-EF8C-A8DD-6BD1-30CF85497BB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68" name="Shape 68">
            <a:extLst>
              <a:ext uri="{FF2B5EF4-FFF2-40B4-BE49-F238E27FC236}">
                <a16:creationId xmlns:a16="http://schemas.microsoft.com/office/drawing/2014/main" id="{F001D5C7-5290-E3F2-34A0-2BDDAFDE2A3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69" name="Shape 69">
            <a:extLst>
              <a:ext uri="{FF2B5EF4-FFF2-40B4-BE49-F238E27FC236}">
                <a16:creationId xmlns:a16="http://schemas.microsoft.com/office/drawing/2014/main" id="{0EC1BEBA-B410-DBAC-AF17-00474DD3225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70" name="Shape 70">
            <a:extLst>
              <a:ext uri="{FF2B5EF4-FFF2-40B4-BE49-F238E27FC236}">
                <a16:creationId xmlns:a16="http://schemas.microsoft.com/office/drawing/2014/main" id="{BE6AE117-E8E2-D82A-995D-AD1E6CBD3B2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71" name="Shape 71">
            <a:extLst>
              <a:ext uri="{FF2B5EF4-FFF2-40B4-BE49-F238E27FC236}">
                <a16:creationId xmlns:a16="http://schemas.microsoft.com/office/drawing/2014/main" id="{2D69DE3A-9D34-3665-6336-F6A24E6C10E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72" name="Shape 72">
            <a:extLst>
              <a:ext uri="{FF2B5EF4-FFF2-40B4-BE49-F238E27FC236}">
                <a16:creationId xmlns:a16="http://schemas.microsoft.com/office/drawing/2014/main" id="{5218D0B7-E112-FE89-AB2B-34712BB3D95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73" name="Shape 73">
            <a:extLst>
              <a:ext uri="{FF2B5EF4-FFF2-40B4-BE49-F238E27FC236}">
                <a16:creationId xmlns:a16="http://schemas.microsoft.com/office/drawing/2014/main" id="{3DC95AC8-BA0B-6F6B-974E-96DB7FA06E3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74" name="Shape 74">
            <a:extLst>
              <a:ext uri="{FF2B5EF4-FFF2-40B4-BE49-F238E27FC236}">
                <a16:creationId xmlns:a16="http://schemas.microsoft.com/office/drawing/2014/main" id="{C1734DB4-BF8B-7658-F76C-4DB77A380D1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75" name="Shape 75">
            <a:extLst>
              <a:ext uri="{FF2B5EF4-FFF2-40B4-BE49-F238E27FC236}">
                <a16:creationId xmlns:a16="http://schemas.microsoft.com/office/drawing/2014/main" id="{0DA79F20-1ADD-ACC3-D1A6-3F79EB517A4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676" name="Shape 76">
            <a:extLst>
              <a:ext uri="{FF2B5EF4-FFF2-40B4-BE49-F238E27FC236}">
                <a16:creationId xmlns:a16="http://schemas.microsoft.com/office/drawing/2014/main" id="{1F51517E-EE50-D34D-721F-819F9FA12F0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629</xdr:row>
      <xdr:rowOff>2978</xdr:rowOff>
    </xdr:from>
    <xdr:ext cx="33655" cy="33655"/>
    <xdr:grpSp>
      <xdr:nvGrpSpPr>
        <xdr:cNvPr id="4677" name="Group 2">
          <a:extLst>
            <a:ext uri="{FF2B5EF4-FFF2-40B4-BE49-F238E27FC236}">
              <a16:creationId xmlns:a16="http://schemas.microsoft.com/office/drawing/2014/main" id="{8A9D5681-4FCA-4023-BE9A-522688F284C8}"/>
            </a:ext>
          </a:extLst>
        </xdr:cNvPr>
        <xdr:cNvGrpSpPr/>
      </xdr:nvGrpSpPr>
      <xdr:grpSpPr>
        <a:xfrm>
          <a:off x="4603072" y="116957486"/>
          <a:ext cx="33655" cy="33655"/>
          <a:chOff x="0" y="0"/>
          <a:chExt cx="33655" cy="33655"/>
        </a:xfrm>
      </xdr:grpSpPr>
      <xdr:sp macro="" textlink="">
        <xdr:nvSpPr>
          <xdr:cNvPr id="4678" name="Shape 3">
            <a:extLst>
              <a:ext uri="{FF2B5EF4-FFF2-40B4-BE49-F238E27FC236}">
                <a16:creationId xmlns:a16="http://schemas.microsoft.com/office/drawing/2014/main" id="{092019DD-E5D4-B99C-59AE-9F616570CCD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79" name="Shape 4">
            <a:extLst>
              <a:ext uri="{FF2B5EF4-FFF2-40B4-BE49-F238E27FC236}">
                <a16:creationId xmlns:a16="http://schemas.microsoft.com/office/drawing/2014/main" id="{521E59A3-3EDA-452F-39DE-9904AB06049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80" name="Shape 5">
            <a:extLst>
              <a:ext uri="{FF2B5EF4-FFF2-40B4-BE49-F238E27FC236}">
                <a16:creationId xmlns:a16="http://schemas.microsoft.com/office/drawing/2014/main" id="{50955A90-8084-2F5C-D5DD-92FD6F9FD01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81" name="Shape 6">
            <a:extLst>
              <a:ext uri="{FF2B5EF4-FFF2-40B4-BE49-F238E27FC236}">
                <a16:creationId xmlns:a16="http://schemas.microsoft.com/office/drawing/2014/main" id="{C43040DB-A997-27B9-0CBC-65FD4821037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82" name="Shape 7">
            <a:extLst>
              <a:ext uri="{FF2B5EF4-FFF2-40B4-BE49-F238E27FC236}">
                <a16:creationId xmlns:a16="http://schemas.microsoft.com/office/drawing/2014/main" id="{27191814-30A4-66D4-CB5D-DE41E4132A6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83" name="Shape 8">
            <a:extLst>
              <a:ext uri="{FF2B5EF4-FFF2-40B4-BE49-F238E27FC236}">
                <a16:creationId xmlns:a16="http://schemas.microsoft.com/office/drawing/2014/main" id="{E8E0E2B9-7551-E6F2-112A-FDF491F3570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84" name="Shape 9">
            <a:extLst>
              <a:ext uri="{FF2B5EF4-FFF2-40B4-BE49-F238E27FC236}">
                <a16:creationId xmlns:a16="http://schemas.microsoft.com/office/drawing/2014/main" id="{7C6F48BA-2DB4-D421-FE19-AD107C62624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85" name="Shape 10">
            <a:extLst>
              <a:ext uri="{FF2B5EF4-FFF2-40B4-BE49-F238E27FC236}">
                <a16:creationId xmlns:a16="http://schemas.microsoft.com/office/drawing/2014/main" id="{B8C85240-0369-D308-CA07-C9E6E3A9E6F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86" name="Shape 11">
            <a:extLst>
              <a:ext uri="{FF2B5EF4-FFF2-40B4-BE49-F238E27FC236}">
                <a16:creationId xmlns:a16="http://schemas.microsoft.com/office/drawing/2014/main" id="{9E0DE3D9-767C-FDEF-4B3B-D02D18D160C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87" name="Shape 12">
            <a:extLst>
              <a:ext uri="{FF2B5EF4-FFF2-40B4-BE49-F238E27FC236}">
                <a16:creationId xmlns:a16="http://schemas.microsoft.com/office/drawing/2014/main" id="{4E3884C8-3291-EEB7-A2E1-C60AA9A1390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88" name="Shape 13">
            <a:extLst>
              <a:ext uri="{FF2B5EF4-FFF2-40B4-BE49-F238E27FC236}">
                <a16:creationId xmlns:a16="http://schemas.microsoft.com/office/drawing/2014/main" id="{1BF1A898-5B12-E21D-4B94-3F1CA907E6D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89" name="Shape 14">
            <a:extLst>
              <a:ext uri="{FF2B5EF4-FFF2-40B4-BE49-F238E27FC236}">
                <a16:creationId xmlns:a16="http://schemas.microsoft.com/office/drawing/2014/main" id="{03CC711A-8D65-E84B-884A-E0BAE771E1C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90" name="Shape 15">
            <a:extLst>
              <a:ext uri="{FF2B5EF4-FFF2-40B4-BE49-F238E27FC236}">
                <a16:creationId xmlns:a16="http://schemas.microsoft.com/office/drawing/2014/main" id="{14F4649A-7C48-486A-1091-0977B9CD923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91" name="Shape 16">
            <a:extLst>
              <a:ext uri="{FF2B5EF4-FFF2-40B4-BE49-F238E27FC236}">
                <a16:creationId xmlns:a16="http://schemas.microsoft.com/office/drawing/2014/main" id="{4ECC3889-0BE4-C1E3-B6F0-C075A78F446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629</xdr:row>
      <xdr:rowOff>3246</xdr:rowOff>
    </xdr:from>
    <xdr:ext cx="33655" cy="33655"/>
    <xdr:grpSp>
      <xdr:nvGrpSpPr>
        <xdr:cNvPr id="4692" name="Group 17">
          <a:extLst>
            <a:ext uri="{FF2B5EF4-FFF2-40B4-BE49-F238E27FC236}">
              <a16:creationId xmlns:a16="http://schemas.microsoft.com/office/drawing/2014/main" id="{F2D9E389-4B2D-4A14-AE6E-919A97F14249}"/>
            </a:ext>
          </a:extLst>
        </xdr:cNvPr>
        <xdr:cNvGrpSpPr/>
      </xdr:nvGrpSpPr>
      <xdr:grpSpPr>
        <a:xfrm>
          <a:off x="4603072" y="116957754"/>
          <a:ext cx="33655" cy="33655"/>
          <a:chOff x="0" y="0"/>
          <a:chExt cx="33655" cy="33655"/>
        </a:xfrm>
      </xdr:grpSpPr>
      <xdr:sp macro="" textlink="">
        <xdr:nvSpPr>
          <xdr:cNvPr id="4693" name="Shape 18">
            <a:extLst>
              <a:ext uri="{FF2B5EF4-FFF2-40B4-BE49-F238E27FC236}">
                <a16:creationId xmlns:a16="http://schemas.microsoft.com/office/drawing/2014/main" id="{71E2800C-2580-FCA7-7D4A-52F75E27D56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94" name="Shape 19">
            <a:extLst>
              <a:ext uri="{FF2B5EF4-FFF2-40B4-BE49-F238E27FC236}">
                <a16:creationId xmlns:a16="http://schemas.microsoft.com/office/drawing/2014/main" id="{8921D7E5-48D7-3C44-1910-78B5D4082A4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95" name="Shape 20">
            <a:extLst>
              <a:ext uri="{FF2B5EF4-FFF2-40B4-BE49-F238E27FC236}">
                <a16:creationId xmlns:a16="http://schemas.microsoft.com/office/drawing/2014/main" id="{5C09601D-A718-0682-471E-44DD8CDA0C4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96" name="Shape 21">
            <a:extLst>
              <a:ext uri="{FF2B5EF4-FFF2-40B4-BE49-F238E27FC236}">
                <a16:creationId xmlns:a16="http://schemas.microsoft.com/office/drawing/2014/main" id="{3671D016-9F4B-DE8E-92A1-B5FB5E4482D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97" name="Shape 22">
            <a:extLst>
              <a:ext uri="{FF2B5EF4-FFF2-40B4-BE49-F238E27FC236}">
                <a16:creationId xmlns:a16="http://schemas.microsoft.com/office/drawing/2014/main" id="{C52CF1D2-D4B7-502F-9330-47EF5267FBF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698" name="Shape 23">
            <a:extLst>
              <a:ext uri="{FF2B5EF4-FFF2-40B4-BE49-F238E27FC236}">
                <a16:creationId xmlns:a16="http://schemas.microsoft.com/office/drawing/2014/main" id="{7CDD3D5C-93CB-6315-8262-7698D1D43E4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699" name="Shape 24">
            <a:extLst>
              <a:ext uri="{FF2B5EF4-FFF2-40B4-BE49-F238E27FC236}">
                <a16:creationId xmlns:a16="http://schemas.microsoft.com/office/drawing/2014/main" id="{146310B0-93AE-382E-FA21-4CA03D8E47A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00" name="Shape 25">
            <a:extLst>
              <a:ext uri="{FF2B5EF4-FFF2-40B4-BE49-F238E27FC236}">
                <a16:creationId xmlns:a16="http://schemas.microsoft.com/office/drawing/2014/main" id="{0BBC29B5-BF17-B4E2-5485-16E74D82930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01" name="Shape 26">
            <a:extLst>
              <a:ext uri="{FF2B5EF4-FFF2-40B4-BE49-F238E27FC236}">
                <a16:creationId xmlns:a16="http://schemas.microsoft.com/office/drawing/2014/main" id="{F75D14CF-11E3-8056-1192-510BDABDE08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02" name="Shape 27">
            <a:extLst>
              <a:ext uri="{FF2B5EF4-FFF2-40B4-BE49-F238E27FC236}">
                <a16:creationId xmlns:a16="http://schemas.microsoft.com/office/drawing/2014/main" id="{813EC349-1F60-FE4A-C068-EC8A5B2B117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03" name="Shape 28">
            <a:extLst>
              <a:ext uri="{FF2B5EF4-FFF2-40B4-BE49-F238E27FC236}">
                <a16:creationId xmlns:a16="http://schemas.microsoft.com/office/drawing/2014/main" id="{13646762-D7BB-8401-E45F-D4342825F79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04" name="Shape 29">
            <a:extLst>
              <a:ext uri="{FF2B5EF4-FFF2-40B4-BE49-F238E27FC236}">
                <a16:creationId xmlns:a16="http://schemas.microsoft.com/office/drawing/2014/main" id="{5EEEB885-7105-8493-24BF-6E862234553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05" name="Shape 30">
            <a:extLst>
              <a:ext uri="{FF2B5EF4-FFF2-40B4-BE49-F238E27FC236}">
                <a16:creationId xmlns:a16="http://schemas.microsoft.com/office/drawing/2014/main" id="{7B7D74F3-9FD3-2F8B-436A-73D5FE7C8B5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06" name="Shape 31">
            <a:extLst>
              <a:ext uri="{FF2B5EF4-FFF2-40B4-BE49-F238E27FC236}">
                <a16:creationId xmlns:a16="http://schemas.microsoft.com/office/drawing/2014/main" id="{27913F81-9686-6366-A916-F784E7BC069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629</xdr:row>
      <xdr:rowOff>3703</xdr:rowOff>
    </xdr:from>
    <xdr:ext cx="33655" cy="33655"/>
    <xdr:grpSp>
      <xdr:nvGrpSpPr>
        <xdr:cNvPr id="4707" name="Group 32">
          <a:extLst>
            <a:ext uri="{FF2B5EF4-FFF2-40B4-BE49-F238E27FC236}">
              <a16:creationId xmlns:a16="http://schemas.microsoft.com/office/drawing/2014/main" id="{9B4A8A04-3CBB-432C-B230-3BDFD80ABF07}"/>
            </a:ext>
          </a:extLst>
        </xdr:cNvPr>
        <xdr:cNvGrpSpPr/>
      </xdr:nvGrpSpPr>
      <xdr:grpSpPr>
        <a:xfrm>
          <a:off x="4603072" y="116958211"/>
          <a:ext cx="33655" cy="33655"/>
          <a:chOff x="0" y="0"/>
          <a:chExt cx="33655" cy="33655"/>
        </a:xfrm>
      </xdr:grpSpPr>
      <xdr:sp macro="" textlink="">
        <xdr:nvSpPr>
          <xdr:cNvPr id="4708" name="Shape 33">
            <a:extLst>
              <a:ext uri="{FF2B5EF4-FFF2-40B4-BE49-F238E27FC236}">
                <a16:creationId xmlns:a16="http://schemas.microsoft.com/office/drawing/2014/main" id="{46BFE490-7211-2203-6C7E-3C3071F6CBF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09" name="Shape 34">
            <a:extLst>
              <a:ext uri="{FF2B5EF4-FFF2-40B4-BE49-F238E27FC236}">
                <a16:creationId xmlns:a16="http://schemas.microsoft.com/office/drawing/2014/main" id="{4B6AC206-7318-74F8-4137-04D4B74DDE5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10" name="Shape 35">
            <a:extLst>
              <a:ext uri="{FF2B5EF4-FFF2-40B4-BE49-F238E27FC236}">
                <a16:creationId xmlns:a16="http://schemas.microsoft.com/office/drawing/2014/main" id="{E362A204-DFF1-8405-DE94-19D0AC9368C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11" name="Shape 36">
            <a:extLst>
              <a:ext uri="{FF2B5EF4-FFF2-40B4-BE49-F238E27FC236}">
                <a16:creationId xmlns:a16="http://schemas.microsoft.com/office/drawing/2014/main" id="{28C821BC-5795-C4D4-183E-CE8D81F7EF3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12" name="Shape 37">
            <a:extLst>
              <a:ext uri="{FF2B5EF4-FFF2-40B4-BE49-F238E27FC236}">
                <a16:creationId xmlns:a16="http://schemas.microsoft.com/office/drawing/2014/main" id="{2E1F8BB1-8989-78A5-3860-3A0040F82D4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13" name="Shape 38">
            <a:extLst>
              <a:ext uri="{FF2B5EF4-FFF2-40B4-BE49-F238E27FC236}">
                <a16:creationId xmlns:a16="http://schemas.microsoft.com/office/drawing/2014/main" id="{EE6D7563-9054-8600-8976-D6BF6A8DDC9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14" name="Shape 39">
            <a:extLst>
              <a:ext uri="{FF2B5EF4-FFF2-40B4-BE49-F238E27FC236}">
                <a16:creationId xmlns:a16="http://schemas.microsoft.com/office/drawing/2014/main" id="{6D5C9FB4-E9F1-FCFC-F84B-ED90E2116B6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15" name="Shape 40">
            <a:extLst>
              <a:ext uri="{FF2B5EF4-FFF2-40B4-BE49-F238E27FC236}">
                <a16:creationId xmlns:a16="http://schemas.microsoft.com/office/drawing/2014/main" id="{B0444DD6-659A-B7AC-B839-7CDA68303CD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16" name="Shape 41">
            <a:extLst>
              <a:ext uri="{FF2B5EF4-FFF2-40B4-BE49-F238E27FC236}">
                <a16:creationId xmlns:a16="http://schemas.microsoft.com/office/drawing/2014/main" id="{EEA1F3CC-1E48-2A1D-3ABE-F6CABBED716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17" name="Shape 42">
            <a:extLst>
              <a:ext uri="{FF2B5EF4-FFF2-40B4-BE49-F238E27FC236}">
                <a16:creationId xmlns:a16="http://schemas.microsoft.com/office/drawing/2014/main" id="{11A19058-073B-E06B-CC3C-356E482CF4F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18" name="Shape 43">
            <a:extLst>
              <a:ext uri="{FF2B5EF4-FFF2-40B4-BE49-F238E27FC236}">
                <a16:creationId xmlns:a16="http://schemas.microsoft.com/office/drawing/2014/main" id="{B8522EA9-8092-905E-C80A-756A4FCCD12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19" name="Shape 44">
            <a:extLst>
              <a:ext uri="{FF2B5EF4-FFF2-40B4-BE49-F238E27FC236}">
                <a16:creationId xmlns:a16="http://schemas.microsoft.com/office/drawing/2014/main" id="{A5417D9C-83F6-D5C4-39E2-165B6879AA5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20" name="Shape 45">
            <a:extLst>
              <a:ext uri="{FF2B5EF4-FFF2-40B4-BE49-F238E27FC236}">
                <a16:creationId xmlns:a16="http://schemas.microsoft.com/office/drawing/2014/main" id="{A6A439D9-5225-B104-E83C-B4202AA6D2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21" name="Shape 46">
            <a:extLst>
              <a:ext uri="{FF2B5EF4-FFF2-40B4-BE49-F238E27FC236}">
                <a16:creationId xmlns:a16="http://schemas.microsoft.com/office/drawing/2014/main" id="{77C6F6EE-AF5D-80D8-DF6E-75F41B227B7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629</xdr:row>
      <xdr:rowOff>3409</xdr:rowOff>
    </xdr:from>
    <xdr:ext cx="33655" cy="33655"/>
    <xdr:grpSp>
      <xdr:nvGrpSpPr>
        <xdr:cNvPr id="4722" name="Group 47">
          <a:extLst>
            <a:ext uri="{FF2B5EF4-FFF2-40B4-BE49-F238E27FC236}">
              <a16:creationId xmlns:a16="http://schemas.microsoft.com/office/drawing/2014/main" id="{A9069076-A345-405E-B338-EEAB44BB223C}"/>
            </a:ext>
          </a:extLst>
        </xdr:cNvPr>
        <xdr:cNvGrpSpPr/>
      </xdr:nvGrpSpPr>
      <xdr:grpSpPr>
        <a:xfrm>
          <a:off x="4603072" y="116957917"/>
          <a:ext cx="33655" cy="33655"/>
          <a:chOff x="0" y="0"/>
          <a:chExt cx="33655" cy="33655"/>
        </a:xfrm>
      </xdr:grpSpPr>
      <xdr:sp macro="" textlink="">
        <xdr:nvSpPr>
          <xdr:cNvPr id="4723" name="Shape 48">
            <a:extLst>
              <a:ext uri="{FF2B5EF4-FFF2-40B4-BE49-F238E27FC236}">
                <a16:creationId xmlns:a16="http://schemas.microsoft.com/office/drawing/2014/main" id="{F432DA7D-522D-A3BF-7E18-D73EC9ADAB4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24" name="Shape 49">
            <a:extLst>
              <a:ext uri="{FF2B5EF4-FFF2-40B4-BE49-F238E27FC236}">
                <a16:creationId xmlns:a16="http://schemas.microsoft.com/office/drawing/2014/main" id="{2D709275-9028-EA7A-35EC-29EB8301BE0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25" name="Shape 50">
            <a:extLst>
              <a:ext uri="{FF2B5EF4-FFF2-40B4-BE49-F238E27FC236}">
                <a16:creationId xmlns:a16="http://schemas.microsoft.com/office/drawing/2014/main" id="{08E28EF1-DE81-71BF-F8AC-65E0CEBE2BD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26" name="Shape 51">
            <a:extLst>
              <a:ext uri="{FF2B5EF4-FFF2-40B4-BE49-F238E27FC236}">
                <a16:creationId xmlns:a16="http://schemas.microsoft.com/office/drawing/2014/main" id="{C8DA5213-641B-92C2-12B1-6FC60069016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27" name="Shape 52">
            <a:extLst>
              <a:ext uri="{FF2B5EF4-FFF2-40B4-BE49-F238E27FC236}">
                <a16:creationId xmlns:a16="http://schemas.microsoft.com/office/drawing/2014/main" id="{F464E058-11B1-30D3-CE3A-4E4530128B3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28" name="Shape 53">
            <a:extLst>
              <a:ext uri="{FF2B5EF4-FFF2-40B4-BE49-F238E27FC236}">
                <a16:creationId xmlns:a16="http://schemas.microsoft.com/office/drawing/2014/main" id="{A5053067-11BA-B3F3-115E-7C00F48318E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29" name="Shape 54">
            <a:extLst>
              <a:ext uri="{FF2B5EF4-FFF2-40B4-BE49-F238E27FC236}">
                <a16:creationId xmlns:a16="http://schemas.microsoft.com/office/drawing/2014/main" id="{A3F9796E-BDCE-B3F0-247A-8F37D18EEAE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30" name="Shape 55">
            <a:extLst>
              <a:ext uri="{FF2B5EF4-FFF2-40B4-BE49-F238E27FC236}">
                <a16:creationId xmlns:a16="http://schemas.microsoft.com/office/drawing/2014/main" id="{0AD4C477-8AA0-60F2-E75A-D86DADCF0A3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31" name="Shape 56">
            <a:extLst>
              <a:ext uri="{FF2B5EF4-FFF2-40B4-BE49-F238E27FC236}">
                <a16:creationId xmlns:a16="http://schemas.microsoft.com/office/drawing/2014/main" id="{847D18A6-FC94-D7F5-BDC0-92FA181429B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32" name="Shape 57">
            <a:extLst>
              <a:ext uri="{FF2B5EF4-FFF2-40B4-BE49-F238E27FC236}">
                <a16:creationId xmlns:a16="http://schemas.microsoft.com/office/drawing/2014/main" id="{ED5B761B-82CB-09E7-047F-3F4C4B9920B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33" name="Shape 58">
            <a:extLst>
              <a:ext uri="{FF2B5EF4-FFF2-40B4-BE49-F238E27FC236}">
                <a16:creationId xmlns:a16="http://schemas.microsoft.com/office/drawing/2014/main" id="{3503F06B-1360-20AA-B576-4A162179BCC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34" name="Shape 59">
            <a:extLst>
              <a:ext uri="{FF2B5EF4-FFF2-40B4-BE49-F238E27FC236}">
                <a16:creationId xmlns:a16="http://schemas.microsoft.com/office/drawing/2014/main" id="{69E39C5C-956E-4CEB-609F-0F021D7E93E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35" name="Shape 60">
            <a:extLst>
              <a:ext uri="{FF2B5EF4-FFF2-40B4-BE49-F238E27FC236}">
                <a16:creationId xmlns:a16="http://schemas.microsoft.com/office/drawing/2014/main" id="{6B39834F-78B7-7CA2-DEA6-2C1DBB3994D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36" name="Shape 61">
            <a:extLst>
              <a:ext uri="{FF2B5EF4-FFF2-40B4-BE49-F238E27FC236}">
                <a16:creationId xmlns:a16="http://schemas.microsoft.com/office/drawing/2014/main" id="{9FE749D4-3009-1A90-1E9C-D6A67D49E78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629</xdr:row>
      <xdr:rowOff>3962</xdr:rowOff>
    </xdr:from>
    <xdr:ext cx="33655" cy="33655"/>
    <xdr:grpSp>
      <xdr:nvGrpSpPr>
        <xdr:cNvPr id="4737" name="Group 62">
          <a:extLst>
            <a:ext uri="{FF2B5EF4-FFF2-40B4-BE49-F238E27FC236}">
              <a16:creationId xmlns:a16="http://schemas.microsoft.com/office/drawing/2014/main" id="{0DA9B566-9BB0-404B-BC2D-3D8E24FD7C9C}"/>
            </a:ext>
          </a:extLst>
        </xdr:cNvPr>
        <xdr:cNvGrpSpPr/>
      </xdr:nvGrpSpPr>
      <xdr:grpSpPr>
        <a:xfrm>
          <a:off x="4603072" y="116958470"/>
          <a:ext cx="33655" cy="33655"/>
          <a:chOff x="0" y="0"/>
          <a:chExt cx="33655" cy="33655"/>
        </a:xfrm>
      </xdr:grpSpPr>
      <xdr:sp macro="" textlink="">
        <xdr:nvSpPr>
          <xdr:cNvPr id="4738" name="Shape 63">
            <a:extLst>
              <a:ext uri="{FF2B5EF4-FFF2-40B4-BE49-F238E27FC236}">
                <a16:creationId xmlns:a16="http://schemas.microsoft.com/office/drawing/2014/main" id="{2C486AE6-452B-C17C-A7C5-213FC5B9617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39" name="Shape 64">
            <a:extLst>
              <a:ext uri="{FF2B5EF4-FFF2-40B4-BE49-F238E27FC236}">
                <a16:creationId xmlns:a16="http://schemas.microsoft.com/office/drawing/2014/main" id="{72F0E77D-2238-C709-983E-8584C1CCBFD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740" name="Shape 65">
            <a:extLst>
              <a:ext uri="{FF2B5EF4-FFF2-40B4-BE49-F238E27FC236}">
                <a16:creationId xmlns:a16="http://schemas.microsoft.com/office/drawing/2014/main" id="{09000D83-23FB-D02F-1220-EC799885BFA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41" name="Shape 66">
            <a:extLst>
              <a:ext uri="{FF2B5EF4-FFF2-40B4-BE49-F238E27FC236}">
                <a16:creationId xmlns:a16="http://schemas.microsoft.com/office/drawing/2014/main" id="{78AFF083-E96E-6376-A254-A3FB6ECA87A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742" name="Shape 67">
            <a:extLst>
              <a:ext uri="{FF2B5EF4-FFF2-40B4-BE49-F238E27FC236}">
                <a16:creationId xmlns:a16="http://schemas.microsoft.com/office/drawing/2014/main" id="{E0294343-DB69-C823-8A6B-5BD13952C5B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43" name="Shape 68">
            <a:extLst>
              <a:ext uri="{FF2B5EF4-FFF2-40B4-BE49-F238E27FC236}">
                <a16:creationId xmlns:a16="http://schemas.microsoft.com/office/drawing/2014/main" id="{E07A9709-11B8-AB34-BC53-B6D461D281F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744" name="Shape 69">
            <a:extLst>
              <a:ext uri="{FF2B5EF4-FFF2-40B4-BE49-F238E27FC236}">
                <a16:creationId xmlns:a16="http://schemas.microsoft.com/office/drawing/2014/main" id="{DCB183A7-B215-DA47-889B-177747F81BA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45" name="Shape 70">
            <a:extLst>
              <a:ext uri="{FF2B5EF4-FFF2-40B4-BE49-F238E27FC236}">
                <a16:creationId xmlns:a16="http://schemas.microsoft.com/office/drawing/2014/main" id="{E43F5F86-D7F4-EF19-42F5-B33D5C4830B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746" name="Shape 71">
            <a:extLst>
              <a:ext uri="{FF2B5EF4-FFF2-40B4-BE49-F238E27FC236}">
                <a16:creationId xmlns:a16="http://schemas.microsoft.com/office/drawing/2014/main" id="{246E7F21-26A9-90AE-9FC3-66E48B02899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47" name="Shape 72">
            <a:extLst>
              <a:ext uri="{FF2B5EF4-FFF2-40B4-BE49-F238E27FC236}">
                <a16:creationId xmlns:a16="http://schemas.microsoft.com/office/drawing/2014/main" id="{D7E6F2F7-35F8-957B-3349-BC626190625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748" name="Shape 73">
            <a:extLst>
              <a:ext uri="{FF2B5EF4-FFF2-40B4-BE49-F238E27FC236}">
                <a16:creationId xmlns:a16="http://schemas.microsoft.com/office/drawing/2014/main" id="{03326FCB-4A3D-90D1-3833-70F87539474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49" name="Shape 74">
            <a:extLst>
              <a:ext uri="{FF2B5EF4-FFF2-40B4-BE49-F238E27FC236}">
                <a16:creationId xmlns:a16="http://schemas.microsoft.com/office/drawing/2014/main" id="{BB6CEA2A-4F83-E8E7-00D2-5CBA35787F3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750" name="Shape 75">
            <a:extLst>
              <a:ext uri="{FF2B5EF4-FFF2-40B4-BE49-F238E27FC236}">
                <a16:creationId xmlns:a16="http://schemas.microsoft.com/office/drawing/2014/main" id="{53754A38-7DDB-8B74-01C9-2101FBBE0B7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751" name="Shape 76">
            <a:extLst>
              <a:ext uri="{FF2B5EF4-FFF2-40B4-BE49-F238E27FC236}">
                <a16:creationId xmlns:a16="http://schemas.microsoft.com/office/drawing/2014/main" id="{805C3208-E4E1-DE81-FFD0-86E7E847573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629</xdr:row>
      <xdr:rowOff>2978</xdr:rowOff>
    </xdr:from>
    <xdr:ext cx="33655" cy="33655"/>
    <xdr:grpSp>
      <xdr:nvGrpSpPr>
        <xdr:cNvPr id="4752" name="Group 2">
          <a:extLst>
            <a:ext uri="{FF2B5EF4-FFF2-40B4-BE49-F238E27FC236}">
              <a16:creationId xmlns:a16="http://schemas.microsoft.com/office/drawing/2014/main" id="{5B4D0A57-563B-488E-A587-5976C4FCF0A6}"/>
            </a:ext>
          </a:extLst>
        </xdr:cNvPr>
        <xdr:cNvGrpSpPr/>
      </xdr:nvGrpSpPr>
      <xdr:grpSpPr>
        <a:xfrm>
          <a:off x="4603072" y="116957486"/>
          <a:ext cx="33655" cy="33655"/>
          <a:chOff x="0" y="0"/>
          <a:chExt cx="33655" cy="33655"/>
        </a:xfrm>
      </xdr:grpSpPr>
      <xdr:sp macro="" textlink="">
        <xdr:nvSpPr>
          <xdr:cNvPr id="4753" name="Shape 3">
            <a:extLst>
              <a:ext uri="{FF2B5EF4-FFF2-40B4-BE49-F238E27FC236}">
                <a16:creationId xmlns:a16="http://schemas.microsoft.com/office/drawing/2014/main" id="{9BB34AC3-4AD2-D88D-F9C9-BFB4E96F9CF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54" name="Shape 4">
            <a:extLst>
              <a:ext uri="{FF2B5EF4-FFF2-40B4-BE49-F238E27FC236}">
                <a16:creationId xmlns:a16="http://schemas.microsoft.com/office/drawing/2014/main" id="{DC21EFC7-E733-6EA0-3566-614EC420982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55" name="Shape 5">
            <a:extLst>
              <a:ext uri="{FF2B5EF4-FFF2-40B4-BE49-F238E27FC236}">
                <a16:creationId xmlns:a16="http://schemas.microsoft.com/office/drawing/2014/main" id="{93F74606-940A-6405-8F8B-85147082613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56" name="Shape 6">
            <a:extLst>
              <a:ext uri="{FF2B5EF4-FFF2-40B4-BE49-F238E27FC236}">
                <a16:creationId xmlns:a16="http://schemas.microsoft.com/office/drawing/2014/main" id="{A36A17F2-D3B0-D3A5-3747-67E5F02CCE0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57" name="Shape 7">
            <a:extLst>
              <a:ext uri="{FF2B5EF4-FFF2-40B4-BE49-F238E27FC236}">
                <a16:creationId xmlns:a16="http://schemas.microsoft.com/office/drawing/2014/main" id="{C7BAEE7F-EEA3-C179-8854-3599B1DB687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58" name="Shape 8">
            <a:extLst>
              <a:ext uri="{FF2B5EF4-FFF2-40B4-BE49-F238E27FC236}">
                <a16:creationId xmlns:a16="http://schemas.microsoft.com/office/drawing/2014/main" id="{4EEB655B-AAA8-739E-B0D0-0AA2DC1F057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59" name="Shape 9">
            <a:extLst>
              <a:ext uri="{FF2B5EF4-FFF2-40B4-BE49-F238E27FC236}">
                <a16:creationId xmlns:a16="http://schemas.microsoft.com/office/drawing/2014/main" id="{E33FF44E-86DD-A190-7F39-815B723EA0A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60" name="Shape 10">
            <a:extLst>
              <a:ext uri="{FF2B5EF4-FFF2-40B4-BE49-F238E27FC236}">
                <a16:creationId xmlns:a16="http://schemas.microsoft.com/office/drawing/2014/main" id="{CD8A61E6-C8B3-057B-D122-6EA10A4D73A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61" name="Shape 11">
            <a:extLst>
              <a:ext uri="{FF2B5EF4-FFF2-40B4-BE49-F238E27FC236}">
                <a16:creationId xmlns:a16="http://schemas.microsoft.com/office/drawing/2014/main" id="{47BF800D-503C-4614-8EEC-FF41704A542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62" name="Shape 12">
            <a:extLst>
              <a:ext uri="{FF2B5EF4-FFF2-40B4-BE49-F238E27FC236}">
                <a16:creationId xmlns:a16="http://schemas.microsoft.com/office/drawing/2014/main" id="{1CA10A50-5B4E-6883-4A7E-715A22097C8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63" name="Shape 13">
            <a:extLst>
              <a:ext uri="{FF2B5EF4-FFF2-40B4-BE49-F238E27FC236}">
                <a16:creationId xmlns:a16="http://schemas.microsoft.com/office/drawing/2014/main" id="{A7DFFBDD-70CC-BAA6-2E00-5560084E446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64" name="Shape 14">
            <a:extLst>
              <a:ext uri="{FF2B5EF4-FFF2-40B4-BE49-F238E27FC236}">
                <a16:creationId xmlns:a16="http://schemas.microsoft.com/office/drawing/2014/main" id="{8CF5CEF6-B56F-D1D4-6298-FBFE0081A78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65" name="Shape 15">
            <a:extLst>
              <a:ext uri="{FF2B5EF4-FFF2-40B4-BE49-F238E27FC236}">
                <a16:creationId xmlns:a16="http://schemas.microsoft.com/office/drawing/2014/main" id="{8E0F518B-F515-492B-D1F6-D1947F4B3A9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66" name="Shape 16">
            <a:extLst>
              <a:ext uri="{FF2B5EF4-FFF2-40B4-BE49-F238E27FC236}">
                <a16:creationId xmlns:a16="http://schemas.microsoft.com/office/drawing/2014/main" id="{688B7BA7-D6A2-C66E-08A8-6E2E9A57F0D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629</xdr:row>
      <xdr:rowOff>3246</xdr:rowOff>
    </xdr:from>
    <xdr:ext cx="33655" cy="33655"/>
    <xdr:grpSp>
      <xdr:nvGrpSpPr>
        <xdr:cNvPr id="4767" name="Group 17">
          <a:extLst>
            <a:ext uri="{FF2B5EF4-FFF2-40B4-BE49-F238E27FC236}">
              <a16:creationId xmlns:a16="http://schemas.microsoft.com/office/drawing/2014/main" id="{E860441D-6945-4A80-A2DF-956C37DEF90A}"/>
            </a:ext>
          </a:extLst>
        </xdr:cNvPr>
        <xdr:cNvGrpSpPr/>
      </xdr:nvGrpSpPr>
      <xdr:grpSpPr>
        <a:xfrm>
          <a:off x="4603072" y="116957754"/>
          <a:ext cx="33655" cy="33655"/>
          <a:chOff x="0" y="0"/>
          <a:chExt cx="33655" cy="33655"/>
        </a:xfrm>
      </xdr:grpSpPr>
      <xdr:sp macro="" textlink="">
        <xdr:nvSpPr>
          <xdr:cNvPr id="4768" name="Shape 18">
            <a:extLst>
              <a:ext uri="{FF2B5EF4-FFF2-40B4-BE49-F238E27FC236}">
                <a16:creationId xmlns:a16="http://schemas.microsoft.com/office/drawing/2014/main" id="{3EED78B4-3129-C7B1-1382-14BD3DF183E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69" name="Shape 19">
            <a:extLst>
              <a:ext uri="{FF2B5EF4-FFF2-40B4-BE49-F238E27FC236}">
                <a16:creationId xmlns:a16="http://schemas.microsoft.com/office/drawing/2014/main" id="{8AB68BFE-7E7B-1272-2DF7-6CAA8DD0E92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70" name="Shape 20">
            <a:extLst>
              <a:ext uri="{FF2B5EF4-FFF2-40B4-BE49-F238E27FC236}">
                <a16:creationId xmlns:a16="http://schemas.microsoft.com/office/drawing/2014/main" id="{F2FD37FE-60DD-4E59-8583-0813E642722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71" name="Shape 21">
            <a:extLst>
              <a:ext uri="{FF2B5EF4-FFF2-40B4-BE49-F238E27FC236}">
                <a16:creationId xmlns:a16="http://schemas.microsoft.com/office/drawing/2014/main" id="{CA0FA71E-9376-912E-E921-731DEE1C366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72" name="Shape 22">
            <a:extLst>
              <a:ext uri="{FF2B5EF4-FFF2-40B4-BE49-F238E27FC236}">
                <a16:creationId xmlns:a16="http://schemas.microsoft.com/office/drawing/2014/main" id="{9454D5EF-5DC9-4841-6B8D-77099BED920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73" name="Shape 23">
            <a:extLst>
              <a:ext uri="{FF2B5EF4-FFF2-40B4-BE49-F238E27FC236}">
                <a16:creationId xmlns:a16="http://schemas.microsoft.com/office/drawing/2014/main" id="{6CEE5E8A-D0E0-19DF-B703-DC29F736D35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74" name="Shape 24">
            <a:extLst>
              <a:ext uri="{FF2B5EF4-FFF2-40B4-BE49-F238E27FC236}">
                <a16:creationId xmlns:a16="http://schemas.microsoft.com/office/drawing/2014/main" id="{0874DDAA-8F47-64FC-61D6-843C2B65CC6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75" name="Shape 25">
            <a:extLst>
              <a:ext uri="{FF2B5EF4-FFF2-40B4-BE49-F238E27FC236}">
                <a16:creationId xmlns:a16="http://schemas.microsoft.com/office/drawing/2014/main" id="{82DBCDBB-ED91-5527-9821-75A7FA639A4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76" name="Shape 26">
            <a:extLst>
              <a:ext uri="{FF2B5EF4-FFF2-40B4-BE49-F238E27FC236}">
                <a16:creationId xmlns:a16="http://schemas.microsoft.com/office/drawing/2014/main" id="{FF050130-2CBD-E9F0-8987-27ED740ACCE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77" name="Shape 27">
            <a:extLst>
              <a:ext uri="{FF2B5EF4-FFF2-40B4-BE49-F238E27FC236}">
                <a16:creationId xmlns:a16="http://schemas.microsoft.com/office/drawing/2014/main" id="{2B5D5979-AFDA-E417-A349-88F9A079A30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78" name="Shape 28">
            <a:extLst>
              <a:ext uri="{FF2B5EF4-FFF2-40B4-BE49-F238E27FC236}">
                <a16:creationId xmlns:a16="http://schemas.microsoft.com/office/drawing/2014/main" id="{AB31DFEA-AF32-C157-3FC9-6BA3627C269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79" name="Shape 29">
            <a:extLst>
              <a:ext uri="{FF2B5EF4-FFF2-40B4-BE49-F238E27FC236}">
                <a16:creationId xmlns:a16="http://schemas.microsoft.com/office/drawing/2014/main" id="{0F517667-4202-0F08-F419-7F7C3CDBB15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80" name="Shape 30">
            <a:extLst>
              <a:ext uri="{FF2B5EF4-FFF2-40B4-BE49-F238E27FC236}">
                <a16:creationId xmlns:a16="http://schemas.microsoft.com/office/drawing/2014/main" id="{77877185-7A9E-1CE7-2C03-4F5079338F0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81" name="Shape 31">
            <a:extLst>
              <a:ext uri="{FF2B5EF4-FFF2-40B4-BE49-F238E27FC236}">
                <a16:creationId xmlns:a16="http://schemas.microsoft.com/office/drawing/2014/main" id="{F5308FBE-6DB4-487B-44FE-F10E3575561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629</xdr:row>
      <xdr:rowOff>3703</xdr:rowOff>
    </xdr:from>
    <xdr:ext cx="33655" cy="33655"/>
    <xdr:grpSp>
      <xdr:nvGrpSpPr>
        <xdr:cNvPr id="4782" name="Group 32">
          <a:extLst>
            <a:ext uri="{FF2B5EF4-FFF2-40B4-BE49-F238E27FC236}">
              <a16:creationId xmlns:a16="http://schemas.microsoft.com/office/drawing/2014/main" id="{E2F91EEF-895D-4C40-BE1B-C38EFF7014FC}"/>
            </a:ext>
          </a:extLst>
        </xdr:cNvPr>
        <xdr:cNvGrpSpPr/>
      </xdr:nvGrpSpPr>
      <xdr:grpSpPr>
        <a:xfrm>
          <a:off x="4603072" y="116958211"/>
          <a:ext cx="33655" cy="33655"/>
          <a:chOff x="0" y="0"/>
          <a:chExt cx="33655" cy="33655"/>
        </a:xfrm>
      </xdr:grpSpPr>
      <xdr:sp macro="" textlink="">
        <xdr:nvSpPr>
          <xdr:cNvPr id="4783" name="Shape 33">
            <a:extLst>
              <a:ext uri="{FF2B5EF4-FFF2-40B4-BE49-F238E27FC236}">
                <a16:creationId xmlns:a16="http://schemas.microsoft.com/office/drawing/2014/main" id="{91DE965D-5F26-CEB4-9EF8-05098339ECC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84" name="Shape 34">
            <a:extLst>
              <a:ext uri="{FF2B5EF4-FFF2-40B4-BE49-F238E27FC236}">
                <a16:creationId xmlns:a16="http://schemas.microsoft.com/office/drawing/2014/main" id="{673DF85F-B9BF-B2F4-60C4-12B55BF08EB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85" name="Shape 35">
            <a:extLst>
              <a:ext uri="{FF2B5EF4-FFF2-40B4-BE49-F238E27FC236}">
                <a16:creationId xmlns:a16="http://schemas.microsoft.com/office/drawing/2014/main" id="{DF59D911-E8BE-4A0D-39CE-1A84E6F4B71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86" name="Shape 36">
            <a:extLst>
              <a:ext uri="{FF2B5EF4-FFF2-40B4-BE49-F238E27FC236}">
                <a16:creationId xmlns:a16="http://schemas.microsoft.com/office/drawing/2014/main" id="{9B496DBE-31C0-ECF0-D672-D543746D51F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87" name="Shape 37">
            <a:extLst>
              <a:ext uri="{FF2B5EF4-FFF2-40B4-BE49-F238E27FC236}">
                <a16:creationId xmlns:a16="http://schemas.microsoft.com/office/drawing/2014/main" id="{60CC65B8-3AAF-0246-35EA-E277E2A23C9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88" name="Shape 38">
            <a:extLst>
              <a:ext uri="{FF2B5EF4-FFF2-40B4-BE49-F238E27FC236}">
                <a16:creationId xmlns:a16="http://schemas.microsoft.com/office/drawing/2014/main" id="{97ABD263-7830-6BF1-4C62-D4AC4FBAF8F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89" name="Shape 39">
            <a:extLst>
              <a:ext uri="{FF2B5EF4-FFF2-40B4-BE49-F238E27FC236}">
                <a16:creationId xmlns:a16="http://schemas.microsoft.com/office/drawing/2014/main" id="{08287524-0882-F034-30C8-FDE5EB7F10A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90" name="Shape 40">
            <a:extLst>
              <a:ext uri="{FF2B5EF4-FFF2-40B4-BE49-F238E27FC236}">
                <a16:creationId xmlns:a16="http://schemas.microsoft.com/office/drawing/2014/main" id="{DE202151-B6D3-366B-AEDE-B3398771E41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91" name="Shape 41">
            <a:extLst>
              <a:ext uri="{FF2B5EF4-FFF2-40B4-BE49-F238E27FC236}">
                <a16:creationId xmlns:a16="http://schemas.microsoft.com/office/drawing/2014/main" id="{6328EEB1-A66B-4EE9-D85C-04540C89583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92" name="Shape 42">
            <a:extLst>
              <a:ext uri="{FF2B5EF4-FFF2-40B4-BE49-F238E27FC236}">
                <a16:creationId xmlns:a16="http://schemas.microsoft.com/office/drawing/2014/main" id="{3B9C192A-BB20-0C6F-1849-7E239D31060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93" name="Shape 43">
            <a:extLst>
              <a:ext uri="{FF2B5EF4-FFF2-40B4-BE49-F238E27FC236}">
                <a16:creationId xmlns:a16="http://schemas.microsoft.com/office/drawing/2014/main" id="{69ECB79A-CFD9-5DF8-4F7B-A2BE7386DE2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94" name="Shape 44">
            <a:extLst>
              <a:ext uri="{FF2B5EF4-FFF2-40B4-BE49-F238E27FC236}">
                <a16:creationId xmlns:a16="http://schemas.microsoft.com/office/drawing/2014/main" id="{BADF356B-7EA0-81AB-C352-3CD3FC043F4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95" name="Shape 45">
            <a:extLst>
              <a:ext uri="{FF2B5EF4-FFF2-40B4-BE49-F238E27FC236}">
                <a16:creationId xmlns:a16="http://schemas.microsoft.com/office/drawing/2014/main" id="{4DD214CA-4317-F5AE-B589-1A2FC66AF28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796" name="Shape 46">
            <a:extLst>
              <a:ext uri="{FF2B5EF4-FFF2-40B4-BE49-F238E27FC236}">
                <a16:creationId xmlns:a16="http://schemas.microsoft.com/office/drawing/2014/main" id="{388243F2-6653-6151-6EFA-4863BF0A039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629</xdr:row>
      <xdr:rowOff>3409</xdr:rowOff>
    </xdr:from>
    <xdr:ext cx="33655" cy="33655"/>
    <xdr:grpSp>
      <xdr:nvGrpSpPr>
        <xdr:cNvPr id="4797" name="Group 47">
          <a:extLst>
            <a:ext uri="{FF2B5EF4-FFF2-40B4-BE49-F238E27FC236}">
              <a16:creationId xmlns:a16="http://schemas.microsoft.com/office/drawing/2014/main" id="{FF44F5FE-AE54-4D75-9718-A4F5095B06E1}"/>
            </a:ext>
          </a:extLst>
        </xdr:cNvPr>
        <xdr:cNvGrpSpPr/>
      </xdr:nvGrpSpPr>
      <xdr:grpSpPr>
        <a:xfrm>
          <a:off x="4603072" y="116957917"/>
          <a:ext cx="33655" cy="33655"/>
          <a:chOff x="0" y="0"/>
          <a:chExt cx="33655" cy="33655"/>
        </a:xfrm>
      </xdr:grpSpPr>
      <xdr:sp macro="" textlink="">
        <xdr:nvSpPr>
          <xdr:cNvPr id="4798" name="Shape 48">
            <a:extLst>
              <a:ext uri="{FF2B5EF4-FFF2-40B4-BE49-F238E27FC236}">
                <a16:creationId xmlns:a16="http://schemas.microsoft.com/office/drawing/2014/main" id="{AABF24DB-D711-79C3-99D6-3A1D9E7C788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799" name="Shape 49">
            <a:extLst>
              <a:ext uri="{FF2B5EF4-FFF2-40B4-BE49-F238E27FC236}">
                <a16:creationId xmlns:a16="http://schemas.microsoft.com/office/drawing/2014/main" id="{6F6D767B-3A6E-DACE-B7A4-8C51E56055B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00" name="Shape 50">
            <a:extLst>
              <a:ext uri="{FF2B5EF4-FFF2-40B4-BE49-F238E27FC236}">
                <a16:creationId xmlns:a16="http://schemas.microsoft.com/office/drawing/2014/main" id="{B9C5ABD1-2F2A-DF08-6671-868EDAB1E9A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01" name="Shape 51">
            <a:extLst>
              <a:ext uri="{FF2B5EF4-FFF2-40B4-BE49-F238E27FC236}">
                <a16:creationId xmlns:a16="http://schemas.microsoft.com/office/drawing/2014/main" id="{CEED41BA-EBBA-2EC6-ED34-B09FBB3FC53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02" name="Shape 52">
            <a:extLst>
              <a:ext uri="{FF2B5EF4-FFF2-40B4-BE49-F238E27FC236}">
                <a16:creationId xmlns:a16="http://schemas.microsoft.com/office/drawing/2014/main" id="{7E2C3526-18FD-F253-4FA4-879C0D6EABA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03" name="Shape 53">
            <a:extLst>
              <a:ext uri="{FF2B5EF4-FFF2-40B4-BE49-F238E27FC236}">
                <a16:creationId xmlns:a16="http://schemas.microsoft.com/office/drawing/2014/main" id="{6D7BC34D-1A08-9EE8-0D31-50D8AA676A4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04" name="Shape 54">
            <a:extLst>
              <a:ext uri="{FF2B5EF4-FFF2-40B4-BE49-F238E27FC236}">
                <a16:creationId xmlns:a16="http://schemas.microsoft.com/office/drawing/2014/main" id="{232FDA1E-730B-DCDB-400D-F30BBB41A15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05" name="Shape 55">
            <a:extLst>
              <a:ext uri="{FF2B5EF4-FFF2-40B4-BE49-F238E27FC236}">
                <a16:creationId xmlns:a16="http://schemas.microsoft.com/office/drawing/2014/main" id="{DE70F87B-4D31-4A4F-0B5D-ED3BE6C47EC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06" name="Shape 56">
            <a:extLst>
              <a:ext uri="{FF2B5EF4-FFF2-40B4-BE49-F238E27FC236}">
                <a16:creationId xmlns:a16="http://schemas.microsoft.com/office/drawing/2014/main" id="{0393B475-AE14-EBB2-54B2-59E023FB5C3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07" name="Shape 57">
            <a:extLst>
              <a:ext uri="{FF2B5EF4-FFF2-40B4-BE49-F238E27FC236}">
                <a16:creationId xmlns:a16="http://schemas.microsoft.com/office/drawing/2014/main" id="{DFABB097-2200-EEB5-254D-412ED81F6DD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08" name="Shape 58">
            <a:extLst>
              <a:ext uri="{FF2B5EF4-FFF2-40B4-BE49-F238E27FC236}">
                <a16:creationId xmlns:a16="http://schemas.microsoft.com/office/drawing/2014/main" id="{C81C0700-C67D-89F7-1185-77BE5785272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09" name="Shape 59">
            <a:extLst>
              <a:ext uri="{FF2B5EF4-FFF2-40B4-BE49-F238E27FC236}">
                <a16:creationId xmlns:a16="http://schemas.microsoft.com/office/drawing/2014/main" id="{BA812CEE-8BB3-FE15-BBB9-0094979DA73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10" name="Shape 60">
            <a:extLst>
              <a:ext uri="{FF2B5EF4-FFF2-40B4-BE49-F238E27FC236}">
                <a16:creationId xmlns:a16="http://schemas.microsoft.com/office/drawing/2014/main" id="{07954393-411E-54D5-7D03-568129D781D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11" name="Shape 61">
            <a:extLst>
              <a:ext uri="{FF2B5EF4-FFF2-40B4-BE49-F238E27FC236}">
                <a16:creationId xmlns:a16="http://schemas.microsoft.com/office/drawing/2014/main" id="{792E25E0-3C2B-351E-7BBA-4379EE15A3A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629</xdr:row>
      <xdr:rowOff>3962</xdr:rowOff>
    </xdr:from>
    <xdr:ext cx="33655" cy="33655"/>
    <xdr:grpSp>
      <xdr:nvGrpSpPr>
        <xdr:cNvPr id="4812" name="Group 62">
          <a:extLst>
            <a:ext uri="{FF2B5EF4-FFF2-40B4-BE49-F238E27FC236}">
              <a16:creationId xmlns:a16="http://schemas.microsoft.com/office/drawing/2014/main" id="{DFA4030A-20DA-4207-88E5-2B7673214338}"/>
            </a:ext>
          </a:extLst>
        </xdr:cNvPr>
        <xdr:cNvGrpSpPr/>
      </xdr:nvGrpSpPr>
      <xdr:grpSpPr>
        <a:xfrm>
          <a:off x="4603072" y="116958470"/>
          <a:ext cx="33655" cy="33655"/>
          <a:chOff x="0" y="0"/>
          <a:chExt cx="33655" cy="33655"/>
        </a:xfrm>
      </xdr:grpSpPr>
      <xdr:sp macro="" textlink="">
        <xdr:nvSpPr>
          <xdr:cNvPr id="4813" name="Shape 63">
            <a:extLst>
              <a:ext uri="{FF2B5EF4-FFF2-40B4-BE49-F238E27FC236}">
                <a16:creationId xmlns:a16="http://schemas.microsoft.com/office/drawing/2014/main" id="{F0E4FE07-84CD-D0A6-B203-0DD2446CED3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14" name="Shape 64">
            <a:extLst>
              <a:ext uri="{FF2B5EF4-FFF2-40B4-BE49-F238E27FC236}">
                <a16:creationId xmlns:a16="http://schemas.microsoft.com/office/drawing/2014/main" id="{4142E8E9-9CFD-1A5E-5616-90777874F51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15" name="Shape 65">
            <a:extLst>
              <a:ext uri="{FF2B5EF4-FFF2-40B4-BE49-F238E27FC236}">
                <a16:creationId xmlns:a16="http://schemas.microsoft.com/office/drawing/2014/main" id="{1250E720-344F-72CE-D404-71457DE4F21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16" name="Shape 66">
            <a:extLst>
              <a:ext uri="{FF2B5EF4-FFF2-40B4-BE49-F238E27FC236}">
                <a16:creationId xmlns:a16="http://schemas.microsoft.com/office/drawing/2014/main" id="{519EC4DD-E5DF-C28B-B366-67495A08456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17" name="Shape 67">
            <a:extLst>
              <a:ext uri="{FF2B5EF4-FFF2-40B4-BE49-F238E27FC236}">
                <a16:creationId xmlns:a16="http://schemas.microsoft.com/office/drawing/2014/main" id="{964DE4D4-FBBF-D4EB-58E9-480CD270201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18" name="Shape 68">
            <a:extLst>
              <a:ext uri="{FF2B5EF4-FFF2-40B4-BE49-F238E27FC236}">
                <a16:creationId xmlns:a16="http://schemas.microsoft.com/office/drawing/2014/main" id="{D03C621E-55B7-B537-DD0D-82987200968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19" name="Shape 69">
            <a:extLst>
              <a:ext uri="{FF2B5EF4-FFF2-40B4-BE49-F238E27FC236}">
                <a16:creationId xmlns:a16="http://schemas.microsoft.com/office/drawing/2014/main" id="{C1D39FB4-5A51-A13D-3DDB-8DA13B609F0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20" name="Shape 70">
            <a:extLst>
              <a:ext uri="{FF2B5EF4-FFF2-40B4-BE49-F238E27FC236}">
                <a16:creationId xmlns:a16="http://schemas.microsoft.com/office/drawing/2014/main" id="{735E39C4-9986-BEE2-C312-D8B36AB5A9B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21" name="Shape 71">
            <a:extLst>
              <a:ext uri="{FF2B5EF4-FFF2-40B4-BE49-F238E27FC236}">
                <a16:creationId xmlns:a16="http://schemas.microsoft.com/office/drawing/2014/main" id="{21ED949C-6AB8-B745-D93E-4B921E27491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22" name="Shape 72">
            <a:extLst>
              <a:ext uri="{FF2B5EF4-FFF2-40B4-BE49-F238E27FC236}">
                <a16:creationId xmlns:a16="http://schemas.microsoft.com/office/drawing/2014/main" id="{147C995B-B234-F220-14A0-B158CA6F72A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23" name="Shape 73">
            <a:extLst>
              <a:ext uri="{FF2B5EF4-FFF2-40B4-BE49-F238E27FC236}">
                <a16:creationId xmlns:a16="http://schemas.microsoft.com/office/drawing/2014/main" id="{B6D37C3C-0D8D-6D63-A7F8-C830DF75857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24" name="Shape 74">
            <a:extLst>
              <a:ext uri="{FF2B5EF4-FFF2-40B4-BE49-F238E27FC236}">
                <a16:creationId xmlns:a16="http://schemas.microsoft.com/office/drawing/2014/main" id="{6D49052A-62DD-B7A7-C4F3-F8A8CD7704E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25" name="Shape 75">
            <a:extLst>
              <a:ext uri="{FF2B5EF4-FFF2-40B4-BE49-F238E27FC236}">
                <a16:creationId xmlns:a16="http://schemas.microsoft.com/office/drawing/2014/main" id="{D5EB37A5-9520-FD4E-26BB-D33044B9F23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26" name="Shape 76">
            <a:extLst>
              <a:ext uri="{FF2B5EF4-FFF2-40B4-BE49-F238E27FC236}">
                <a16:creationId xmlns:a16="http://schemas.microsoft.com/office/drawing/2014/main" id="{06F1BC56-D21E-1CC3-0384-DDAD44B7FC3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642</xdr:row>
      <xdr:rowOff>2978</xdr:rowOff>
    </xdr:from>
    <xdr:ext cx="33655" cy="33655"/>
    <xdr:grpSp>
      <xdr:nvGrpSpPr>
        <xdr:cNvPr id="4827" name="Group 2">
          <a:extLst>
            <a:ext uri="{FF2B5EF4-FFF2-40B4-BE49-F238E27FC236}">
              <a16:creationId xmlns:a16="http://schemas.microsoft.com/office/drawing/2014/main" id="{72CCD220-CE0E-4A94-945C-F4E9FF0E8B24}"/>
            </a:ext>
          </a:extLst>
        </xdr:cNvPr>
        <xdr:cNvGrpSpPr/>
      </xdr:nvGrpSpPr>
      <xdr:grpSpPr>
        <a:xfrm>
          <a:off x="4603072" y="119287208"/>
          <a:ext cx="33655" cy="33655"/>
          <a:chOff x="0" y="0"/>
          <a:chExt cx="33655" cy="33655"/>
        </a:xfrm>
      </xdr:grpSpPr>
      <xdr:sp macro="" textlink="">
        <xdr:nvSpPr>
          <xdr:cNvPr id="4828" name="Shape 3">
            <a:extLst>
              <a:ext uri="{FF2B5EF4-FFF2-40B4-BE49-F238E27FC236}">
                <a16:creationId xmlns:a16="http://schemas.microsoft.com/office/drawing/2014/main" id="{DEF3AD9D-6F0F-FD4B-991B-CC7FC85BA06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29" name="Shape 4">
            <a:extLst>
              <a:ext uri="{FF2B5EF4-FFF2-40B4-BE49-F238E27FC236}">
                <a16:creationId xmlns:a16="http://schemas.microsoft.com/office/drawing/2014/main" id="{F79E9FF4-7A9F-3F73-1159-24DD8DACAD5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30" name="Shape 5">
            <a:extLst>
              <a:ext uri="{FF2B5EF4-FFF2-40B4-BE49-F238E27FC236}">
                <a16:creationId xmlns:a16="http://schemas.microsoft.com/office/drawing/2014/main" id="{96CD3067-E590-1192-2A36-ACFB162A429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31" name="Shape 6">
            <a:extLst>
              <a:ext uri="{FF2B5EF4-FFF2-40B4-BE49-F238E27FC236}">
                <a16:creationId xmlns:a16="http://schemas.microsoft.com/office/drawing/2014/main" id="{E95F68C9-A621-14B2-DBFC-33E7317047C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32" name="Shape 7">
            <a:extLst>
              <a:ext uri="{FF2B5EF4-FFF2-40B4-BE49-F238E27FC236}">
                <a16:creationId xmlns:a16="http://schemas.microsoft.com/office/drawing/2014/main" id="{AAF1B2A4-A98F-5E4A-A125-F75AA5B5873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33" name="Shape 8">
            <a:extLst>
              <a:ext uri="{FF2B5EF4-FFF2-40B4-BE49-F238E27FC236}">
                <a16:creationId xmlns:a16="http://schemas.microsoft.com/office/drawing/2014/main" id="{CD553A76-43DC-929D-1E8A-9BAFD8868D7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34" name="Shape 9">
            <a:extLst>
              <a:ext uri="{FF2B5EF4-FFF2-40B4-BE49-F238E27FC236}">
                <a16:creationId xmlns:a16="http://schemas.microsoft.com/office/drawing/2014/main" id="{05666D78-B2D3-587F-8A40-09000183989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35" name="Shape 10">
            <a:extLst>
              <a:ext uri="{FF2B5EF4-FFF2-40B4-BE49-F238E27FC236}">
                <a16:creationId xmlns:a16="http://schemas.microsoft.com/office/drawing/2014/main" id="{745EC483-7CA5-F5EE-AFD5-73D441E2B53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36" name="Shape 11">
            <a:extLst>
              <a:ext uri="{FF2B5EF4-FFF2-40B4-BE49-F238E27FC236}">
                <a16:creationId xmlns:a16="http://schemas.microsoft.com/office/drawing/2014/main" id="{9D1E38A3-D569-6D06-9C2F-7A2AFEFA898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37" name="Shape 12">
            <a:extLst>
              <a:ext uri="{FF2B5EF4-FFF2-40B4-BE49-F238E27FC236}">
                <a16:creationId xmlns:a16="http://schemas.microsoft.com/office/drawing/2014/main" id="{D0B2C58F-C4B4-89E4-A6F3-D1C0CD25518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38" name="Shape 13">
            <a:extLst>
              <a:ext uri="{FF2B5EF4-FFF2-40B4-BE49-F238E27FC236}">
                <a16:creationId xmlns:a16="http://schemas.microsoft.com/office/drawing/2014/main" id="{A94FA9CA-7410-0C19-6869-D27067C6523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39" name="Shape 14">
            <a:extLst>
              <a:ext uri="{FF2B5EF4-FFF2-40B4-BE49-F238E27FC236}">
                <a16:creationId xmlns:a16="http://schemas.microsoft.com/office/drawing/2014/main" id="{A9A0FC15-F15C-0EEA-7B6C-16A91E2DC65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40" name="Shape 15">
            <a:extLst>
              <a:ext uri="{FF2B5EF4-FFF2-40B4-BE49-F238E27FC236}">
                <a16:creationId xmlns:a16="http://schemas.microsoft.com/office/drawing/2014/main" id="{B9AC7061-163D-7C8D-DEF2-51527A23FF7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41" name="Shape 16">
            <a:extLst>
              <a:ext uri="{FF2B5EF4-FFF2-40B4-BE49-F238E27FC236}">
                <a16:creationId xmlns:a16="http://schemas.microsoft.com/office/drawing/2014/main" id="{D556E6A7-C45B-92E7-0DD4-B30A8EC05C1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642</xdr:row>
      <xdr:rowOff>3246</xdr:rowOff>
    </xdr:from>
    <xdr:ext cx="33655" cy="33655"/>
    <xdr:grpSp>
      <xdr:nvGrpSpPr>
        <xdr:cNvPr id="4842" name="Group 17">
          <a:extLst>
            <a:ext uri="{FF2B5EF4-FFF2-40B4-BE49-F238E27FC236}">
              <a16:creationId xmlns:a16="http://schemas.microsoft.com/office/drawing/2014/main" id="{AF27F824-4521-4654-93D2-3147B29062B3}"/>
            </a:ext>
          </a:extLst>
        </xdr:cNvPr>
        <xdr:cNvGrpSpPr/>
      </xdr:nvGrpSpPr>
      <xdr:grpSpPr>
        <a:xfrm>
          <a:off x="4603072" y="119287476"/>
          <a:ext cx="33655" cy="33655"/>
          <a:chOff x="0" y="0"/>
          <a:chExt cx="33655" cy="33655"/>
        </a:xfrm>
      </xdr:grpSpPr>
      <xdr:sp macro="" textlink="">
        <xdr:nvSpPr>
          <xdr:cNvPr id="4843" name="Shape 18">
            <a:extLst>
              <a:ext uri="{FF2B5EF4-FFF2-40B4-BE49-F238E27FC236}">
                <a16:creationId xmlns:a16="http://schemas.microsoft.com/office/drawing/2014/main" id="{9E59144E-3DE7-A74D-7C15-CED5028D863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44" name="Shape 19">
            <a:extLst>
              <a:ext uri="{FF2B5EF4-FFF2-40B4-BE49-F238E27FC236}">
                <a16:creationId xmlns:a16="http://schemas.microsoft.com/office/drawing/2014/main" id="{886FFF39-BF46-C822-2AD4-7C85CE72527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45" name="Shape 20">
            <a:extLst>
              <a:ext uri="{FF2B5EF4-FFF2-40B4-BE49-F238E27FC236}">
                <a16:creationId xmlns:a16="http://schemas.microsoft.com/office/drawing/2014/main" id="{7FB811B0-62C9-AB81-F692-BD673A0A4F0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46" name="Shape 21">
            <a:extLst>
              <a:ext uri="{FF2B5EF4-FFF2-40B4-BE49-F238E27FC236}">
                <a16:creationId xmlns:a16="http://schemas.microsoft.com/office/drawing/2014/main" id="{24642D65-06DC-A385-F136-F51E583680E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47" name="Shape 22">
            <a:extLst>
              <a:ext uri="{FF2B5EF4-FFF2-40B4-BE49-F238E27FC236}">
                <a16:creationId xmlns:a16="http://schemas.microsoft.com/office/drawing/2014/main" id="{FDFA057F-DC0D-3E5B-A308-47EE06D466C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48" name="Shape 23">
            <a:extLst>
              <a:ext uri="{FF2B5EF4-FFF2-40B4-BE49-F238E27FC236}">
                <a16:creationId xmlns:a16="http://schemas.microsoft.com/office/drawing/2014/main" id="{0A3D1797-1A90-8C05-F523-B639CC92822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49" name="Shape 24">
            <a:extLst>
              <a:ext uri="{FF2B5EF4-FFF2-40B4-BE49-F238E27FC236}">
                <a16:creationId xmlns:a16="http://schemas.microsoft.com/office/drawing/2014/main" id="{8FACB34F-2910-979D-5E2D-7E6C7C16961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50" name="Shape 25">
            <a:extLst>
              <a:ext uri="{FF2B5EF4-FFF2-40B4-BE49-F238E27FC236}">
                <a16:creationId xmlns:a16="http://schemas.microsoft.com/office/drawing/2014/main" id="{D3DB1E0E-DEB4-D218-7E3F-F04BCA092EA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51" name="Shape 26">
            <a:extLst>
              <a:ext uri="{FF2B5EF4-FFF2-40B4-BE49-F238E27FC236}">
                <a16:creationId xmlns:a16="http://schemas.microsoft.com/office/drawing/2014/main" id="{B839356A-E8C0-3B0A-A65D-CD17B20CFFC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52" name="Shape 27">
            <a:extLst>
              <a:ext uri="{FF2B5EF4-FFF2-40B4-BE49-F238E27FC236}">
                <a16:creationId xmlns:a16="http://schemas.microsoft.com/office/drawing/2014/main" id="{423CD0FC-1C14-AA0D-A8E4-FCB6230A462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53" name="Shape 28">
            <a:extLst>
              <a:ext uri="{FF2B5EF4-FFF2-40B4-BE49-F238E27FC236}">
                <a16:creationId xmlns:a16="http://schemas.microsoft.com/office/drawing/2014/main" id="{731A995F-0E71-CDE6-9ED1-F8CDE5E5482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54" name="Shape 29">
            <a:extLst>
              <a:ext uri="{FF2B5EF4-FFF2-40B4-BE49-F238E27FC236}">
                <a16:creationId xmlns:a16="http://schemas.microsoft.com/office/drawing/2014/main" id="{3A3C4D3C-24B7-1D1B-99CA-B572EA384A9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55" name="Shape 30">
            <a:extLst>
              <a:ext uri="{FF2B5EF4-FFF2-40B4-BE49-F238E27FC236}">
                <a16:creationId xmlns:a16="http://schemas.microsoft.com/office/drawing/2014/main" id="{6A2BBE1A-4668-0E78-9489-763C21F4279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56" name="Shape 31">
            <a:extLst>
              <a:ext uri="{FF2B5EF4-FFF2-40B4-BE49-F238E27FC236}">
                <a16:creationId xmlns:a16="http://schemas.microsoft.com/office/drawing/2014/main" id="{002B41BB-0735-3C5B-23DD-CF9D2120BC7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642</xdr:row>
      <xdr:rowOff>3703</xdr:rowOff>
    </xdr:from>
    <xdr:ext cx="33655" cy="33655"/>
    <xdr:grpSp>
      <xdr:nvGrpSpPr>
        <xdr:cNvPr id="4857" name="Group 32">
          <a:extLst>
            <a:ext uri="{FF2B5EF4-FFF2-40B4-BE49-F238E27FC236}">
              <a16:creationId xmlns:a16="http://schemas.microsoft.com/office/drawing/2014/main" id="{E3B6DD1B-DE53-469F-96E5-83359A3AB734}"/>
            </a:ext>
          </a:extLst>
        </xdr:cNvPr>
        <xdr:cNvGrpSpPr/>
      </xdr:nvGrpSpPr>
      <xdr:grpSpPr>
        <a:xfrm>
          <a:off x="4603072" y="119287933"/>
          <a:ext cx="33655" cy="33655"/>
          <a:chOff x="0" y="0"/>
          <a:chExt cx="33655" cy="33655"/>
        </a:xfrm>
      </xdr:grpSpPr>
      <xdr:sp macro="" textlink="">
        <xdr:nvSpPr>
          <xdr:cNvPr id="4858" name="Shape 33">
            <a:extLst>
              <a:ext uri="{FF2B5EF4-FFF2-40B4-BE49-F238E27FC236}">
                <a16:creationId xmlns:a16="http://schemas.microsoft.com/office/drawing/2014/main" id="{4D7D9F85-47C2-19F7-3706-CBB941B14B7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59" name="Shape 34">
            <a:extLst>
              <a:ext uri="{FF2B5EF4-FFF2-40B4-BE49-F238E27FC236}">
                <a16:creationId xmlns:a16="http://schemas.microsoft.com/office/drawing/2014/main" id="{9BDC3571-149C-5EA9-40CB-F1047CDFFB6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60" name="Shape 35">
            <a:extLst>
              <a:ext uri="{FF2B5EF4-FFF2-40B4-BE49-F238E27FC236}">
                <a16:creationId xmlns:a16="http://schemas.microsoft.com/office/drawing/2014/main" id="{F3317BD9-D7C2-3F93-2421-6A8E876BCF1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61" name="Shape 36">
            <a:extLst>
              <a:ext uri="{FF2B5EF4-FFF2-40B4-BE49-F238E27FC236}">
                <a16:creationId xmlns:a16="http://schemas.microsoft.com/office/drawing/2014/main" id="{C33239A8-0617-6953-D957-DB33D8B2E22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62" name="Shape 37">
            <a:extLst>
              <a:ext uri="{FF2B5EF4-FFF2-40B4-BE49-F238E27FC236}">
                <a16:creationId xmlns:a16="http://schemas.microsoft.com/office/drawing/2014/main" id="{14CCC033-34AB-170D-FAB3-51BAF961BB5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63" name="Shape 38">
            <a:extLst>
              <a:ext uri="{FF2B5EF4-FFF2-40B4-BE49-F238E27FC236}">
                <a16:creationId xmlns:a16="http://schemas.microsoft.com/office/drawing/2014/main" id="{F6BD4691-F2A3-1D54-9379-9A746864DDD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64" name="Shape 39">
            <a:extLst>
              <a:ext uri="{FF2B5EF4-FFF2-40B4-BE49-F238E27FC236}">
                <a16:creationId xmlns:a16="http://schemas.microsoft.com/office/drawing/2014/main" id="{15FF1D52-A603-31FE-4BAD-9D253FDE93F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65" name="Shape 40">
            <a:extLst>
              <a:ext uri="{FF2B5EF4-FFF2-40B4-BE49-F238E27FC236}">
                <a16:creationId xmlns:a16="http://schemas.microsoft.com/office/drawing/2014/main" id="{F5A203EA-3AAB-86A2-888D-9BFC5E7DBF0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66" name="Shape 41">
            <a:extLst>
              <a:ext uri="{FF2B5EF4-FFF2-40B4-BE49-F238E27FC236}">
                <a16:creationId xmlns:a16="http://schemas.microsoft.com/office/drawing/2014/main" id="{26B5EC4F-8846-54E5-D933-51409917283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67" name="Shape 42">
            <a:extLst>
              <a:ext uri="{FF2B5EF4-FFF2-40B4-BE49-F238E27FC236}">
                <a16:creationId xmlns:a16="http://schemas.microsoft.com/office/drawing/2014/main" id="{4E0B9DAD-D853-7D49-ED5A-9975CD80331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68" name="Shape 43">
            <a:extLst>
              <a:ext uri="{FF2B5EF4-FFF2-40B4-BE49-F238E27FC236}">
                <a16:creationId xmlns:a16="http://schemas.microsoft.com/office/drawing/2014/main" id="{E020CFA3-AEE5-EC08-4E28-ACFC9B3835D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69" name="Shape 44">
            <a:extLst>
              <a:ext uri="{FF2B5EF4-FFF2-40B4-BE49-F238E27FC236}">
                <a16:creationId xmlns:a16="http://schemas.microsoft.com/office/drawing/2014/main" id="{5D3CA317-71B2-8CF2-26C6-1F8532BA3D0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70" name="Shape 45">
            <a:extLst>
              <a:ext uri="{FF2B5EF4-FFF2-40B4-BE49-F238E27FC236}">
                <a16:creationId xmlns:a16="http://schemas.microsoft.com/office/drawing/2014/main" id="{F01F246A-40A7-7768-FA2D-E6400929799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71" name="Shape 46">
            <a:extLst>
              <a:ext uri="{FF2B5EF4-FFF2-40B4-BE49-F238E27FC236}">
                <a16:creationId xmlns:a16="http://schemas.microsoft.com/office/drawing/2014/main" id="{985CB122-6E3D-BF91-E141-AE70461F0DD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642</xdr:row>
      <xdr:rowOff>3409</xdr:rowOff>
    </xdr:from>
    <xdr:ext cx="33655" cy="33655"/>
    <xdr:grpSp>
      <xdr:nvGrpSpPr>
        <xdr:cNvPr id="4872" name="Group 47">
          <a:extLst>
            <a:ext uri="{FF2B5EF4-FFF2-40B4-BE49-F238E27FC236}">
              <a16:creationId xmlns:a16="http://schemas.microsoft.com/office/drawing/2014/main" id="{C96D34B3-BB6F-4833-B817-2E9CF95C42C3}"/>
            </a:ext>
          </a:extLst>
        </xdr:cNvPr>
        <xdr:cNvGrpSpPr/>
      </xdr:nvGrpSpPr>
      <xdr:grpSpPr>
        <a:xfrm>
          <a:off x="4603072" y="119287639"/>
          <a:ext cx="33655" cy="33655"/>
          <a:chOff x="0" y="0"/>
          <a:chExt cx="33655" cy="33655"/>
        </a:xfrm>
      </xdr:grpSpPr>
      <xdr:sp macro="" textlink="">
        <xdr:nvSpPr>
          <xdr:cNvPr id="4873" name="Shape 48">
            <a:extLst>
              <a:ext uri="{FF2B5EF4-FFF2-40B4-BE49-F238E27FC236}">
                <a16:creationId xmlns:a16="http://schemas.microsoft.com/office/drawing/2014/main" id="{40DAAC53-FC4C-D5FE-B81B-E13518B3DDA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74" name="Shape 49">
            <a:extLst>
              <a:ext uri="{FF2B5EF4-FFF2-40B4-BE49-F238E27FC236}">
                <a16:creationId xmlns:a16="http://schemas.microsoft.com/office/drawing/2014/main" id="{16535B8C-8B78-4BFF-91CC-AA6F32D287F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75" name="Shape 50">
            <a:extLst>
              <a:ext uri="{FF2B5EF4-FFF2-40B4-BE49-F238E27FC236}">
                <a16:creationId xmlns:a16="http://schemas.microsoft.com/office/drawing/2014/main" id="{42A1DE22-EABF-4628-AC82-5A7977044A1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76" name="Shape 51">
            <a:extLst>
              <a:ext uri="{FF2B5EF4-FFF2-40B4-BE49-F238E27FC236}">
                <a16:creationId xmlns:a16="http://schemas.microsoft.com/office/drawing/2014/main" id="{38C49FDC-E9C2-187C-1271-B3B7B621DFC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77" name="Shape 52">
            <a:extLst>
              <a:ext uri="{FF2B5EF4-FFF2-40B4-BE49-F238E27FC236}">
                <a16:creationId xmlns:a16="http://schemas.microsoft.com/office/drawing/2014/main" id="{32F791D3-EDE0-0C24-2AC8-FA81FF47F1D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78" name="Shape 53">
            <a:extLst>
              <a:ext uri="{FF2B5EF4-FFF2-40B4-BE49-F238E27FC236}">
                <a16:creationId xmlns:a16="http://schemas.microsoft.com/office/drawing/2014/main" id="{57C7C1D9-FD32-287E-FD0C-9DFCFDA3850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79" name="Shape 54">
            <a:extLst>
              <a:ext uri="{FF2B5EF4-FFF2-40B4-BE49-F238E27FC236}">
                <a16:creationId xmlns:a16="http://schemas.microsoft.com/office/drawing/2014/main" id="{54F80F47-81F3-56C5-5433-FB264C10DF4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80" name="Shape 55">
            <a:extLst>
              <a:ext uri="{FF2B5EF4-FFF2-40B4-BE49-F238E27FC236}">
                <a16:creationId xmlns:a16="http://schemas.microsoft.com/office/drawing/2014/main" id="{26190C2E-F14E-3532-FB41-2C3A410B176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81" name="Shape 56">
            <a:extLst>
              <a:ext uri="{FF2B5EF4-FFF2-40B4-BE49-F238E27FC236}">
                <a16:creationId xmlns:a16="http://schemas.microsoft.com/office/drawing/2014/main" id="{6F0E9FD3-A315-703B-D7C0-5774280CF53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82" name="Shape 57">
            <a:extLst>
              <a:ext uri="{FF2B5EF4-FFF2-40B4-BE49-F238E27FC236}">
                <a16:creationId xmlns:a16="http://schemas.microsoft.com/office/drawing/2014/main" id="{238ABB10-0358-2711-B67B-F0E555EEEE4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83" name="Shape 58">
            <a:extLst>
              <a:ext uri="{FF2B5EF4-FFF2-40B4-BE49-F238E27FC236}">
                <a16:creationId xmlns:a16="http://schemas.microsoft.com/office/drawing/2014/main" id="{25C9EFD8-7A5C-8106-AAEF-2FB3C239B3A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84" name="Shape 59">
            <a:extLst>
              <a:ext uri="{FF2B5EF4-FFF2-40B4-BE49-F238E27FC236}">
                <a16:creationId xmlns:a16="http://schemas.microsoft.com/office/drawing/2014/main" id="{6968F1B0-1B33-307D-6BBC-EFA138834A5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85" name="Shape 60">
            <a:extLst>
              <a:ext uri="{FF2B5EF4-FFF2-40B4-BE49-F238E27FC236}">
                <a16:creationId xmlns:a16="http://schemas.microsoft.com/office/drawing/2014/main" id="{5CEBE9E0-81BB-09EC-E336-F8C73C73DB3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886" name="Shape 61">
            <a:extLst>
              <a:ext uri="{FF2B5EF4-FFF2-40B4-BE49-F238E27FC236}">
                <a16:creationId xmlns:a16="http://schemas.microsoft.com/office/drawing/2014/main" id="{23712F57-0FD2-4ED2-277C-2CC9F41E1B4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642</xdr:row>
      <xdr:rowOff>3962</xdr:rowOff>
    </xdr:from>
    <xdr:ext cx="33655" cy="33655"/>
    <xdr:grpSp>
      <xdr:nvGrpSpPr>
        <xdr:cNvPr id="4887" name="Group 62">
          <a:extLst>
            <a:ext uri="{FF2B5EF4-FFF2-40B4-BE49-F238E27FC236}">
              <a16:creationId xmlns:a16="http://schemas.microsoft.com/office/drawing/2014/main" id="{D336257D-B324-4C28-8CBD-12B6AFEB0C8D}"/>
            </a:ext>
          </a:extLst>
        </xdr:cNvPr>
        <xdr:cNvGrpSpPr/>
      </xdr:nvGrpSpPr>
      <xdr:grpSpPr>
        <a:xfrm>
          <a:off x="4603072" y="119288192"/>
          <a:ext cx="33655" cy="33655"/>
          <a:chOff x="0" y="0"/>
          <a:chExt cx="33655" cy="33655"/>
        </a:xfrm>
      </xdr:grpSpPr>
      <xdr:sp macro="" textlink="">
        <xdr:nvSpPr>
          <xdr:cNvPr id="4888" name="Shape 63">
            <a:extLst>
              <a:ext uri="{FF2B5EF4-FFF2-40B4-BE49-F238E27FC236}">
                <a16:creationId xmlns:a16="http://schemas.microsoft.com/office/drawing/2014/main" id="{99EEDED9-784C-DFA8-5F34-BC009B7A0FE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89" name="Shape 64">
            <a:extLst>
              <a:ext uri="{FF2B5EF4-FFF2-40B4-BE49-F238E27FC236}">
                <a16:creationId xmlns:a16="http://schemas.microsoft.com/office/drawing/2014/main" id="{F0F94941-3C73-E31E-ABBD-B0F05481F3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90" name="Shape 65">
            <a:extLst>
              <a:ext uri="{FF2B5EF4-FFF2-40B4-BE49-F238E27FC236}">
                <a16:creationId xmlns:a16="http://schemas.microsoft.com/office/drawing/2014/main" id="{E9B7442B-6C8A-1959-27AA-567D2A5DC5D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91" name="Shape 66">
            <a:extLst>
              <a:ext uri="{FF2B5EF4-FFF2-40B4-BE49-F238E27FC236}">
                <a16:creationId xmlns:a16="http://schemas.microsoft.com/office/drawing/2014/main" id="{0EBE1844-91E9-277E-B8C4-21E9A178B9F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92" name="Shape 67">
            <a:extLst>
              <a:ext uri="{FF2B5EF4-FFF2-40B4-BE49-F238E27FC236}">
                <a16:creationId xmlns:a16="http://schemas.microsoft.com/office/drawing/2014/main" id="{8312C66A-7309-56FC-7E1E-E09F0A4712C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93" name="Shape 68">
            <a:extLst>
              <a:ext uri="{FF2B5EF4-FFF2-40B4-BE49-F238E27FC236}">
                <a16:creationId xmlns:a16="http://schemas.microsoft.com/office/drawing/2014/main" id="{944C64CA-F93D-742D-D0E8-F44A0AD3D6F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94" name="Shape 69">
            <a:extLst>
              <a:ext uri="{FF2B5EF4-FFF2-40B4-BE49-F238E27FC236}">
                <a16:creationId xmlns:a16="http://schemas.microsoft.com/office/drawing/2014/main" id="{7E961A97-06D5-47A4-9CAF-2FAB4F919FC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95" name="Shape 70">
            <a:extLst>
              <a:ext uri="{FF2B5EF4-FFF2-40B4-BE49-F238E27FC236}">
                <a16:creationId xmlns:a16="http://schemas.microsoft.com/office/drawing/2014/main" id="{5FEAB156-78A2-5F92-60DB-753ED14B105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96" name="Shape 71">
            <a:extLst>
              <a:ext uri="{FF2B5EF4-FFF2-40B4-BE49-F238E27FC236}">
                <a16:creationId xmlns:a16="http://schemas.microsoft.com/office/drawing/2014/main" id="{953AE168-A0A9-6C49-87BA-2126AA5E756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97" name="Shape 72">
            <a:extLst>
              <a:ext uri="{FF2B5EF4-FFF2-40B4-BE49-F238E27FC236}">
                <a16:creationId xmlns:a16="http://schemas.microsoft.com/office/drawing/2014/main" id="{FF65482B-953E-EBA8-20AF-BAB28DFD79D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898" name="Shape 73">
            <a:extLst>
              <a:ext uri="{FF2B5EF4-FFF2-40B4-BE49-F238E27FC236}">
                <a16:creationId xmlns:a16="http://schemas.microsoft.com/office/drawing/2014/main" id="{94756014-7393-5F11-1C74-BC26CC86CA1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899" name="Shape 74">
            <a:extLst>
              <a:ext uri="{FF2B5EF4-FFF2-40B4-BE49-F238E27FC236}">
                <a16:creationId xmlns:a16="http://schemas.microsoft.com/office/drawing/2014/main" id="{1A7AA300-A6EB-C278-FAD2-9ADBB2690E6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00" name="Shape 75">
            <a:extLst>
              <a:ext uri="{FF2B5EF4-FFF2-40B4-BE49-F238E27FC236}">
                <a16:creationId xmlns:a16="http://schemas.microsoft.com/office/drawing/2014/main" id="{D45EA802-36AD-FDC3-E078-6155922CE4F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01" name="Shape 76">
            <a:extLst>
              <a:ext uri="{FF2B5EF4-FFF2-40B4-BE49-F238E27FC236}">
                <a16:creationId xmlns:a16="http://schemas.microsoft.com/office/drawing/2014/main" id="{736C3EE5-CE32-5E22-2D1E-1AF431E86FD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642</xdr:row>
      <xdr:rowOff>2978</xdr:rowOff>
    </xdr:from>
    <xdr:ext cx="33655" cy="33655"/>
    <xdr:grpSp>
      <xdr:nvGrpSpPr>
        <xdr:cNvPr id="4902" name="Group 2">
          <a:extLst>
            <a:ext uri="{FF2B5EF4-FFF2-40B4-BE49-F238E27FC236}">
              <a16:creationId xmlns:a16="http://schemas.microsoft.com/office/drawing/2014/main" id="{131EEC61-C066-4262-8727-A88BD8BEA420}"/>
            </a:ext>
          </a:extLst>
        </xdr:cNvPr>
        <xdr:cNvGrpSpPr/>
      </xdr:nvGrpSpPr>
      <xdr:grpSpPr>
        <a:xfrm>
          <a:off x="4603072" y="119287208"/>
          <a:ext cx="33655" cy="33655"/>
          <a:chOff x="0" y="0"/>
          <a:chExt cx="33655" cy="33655"/>
        </a:xfrm>
      </xdr:grpSpPr>
      <xdr:sp macro="" textlink="">
        <xdr:nvSpPr>
          <xdr:cNvPr id="4903" name="Shape 3">
            <a:extLst>
              <a:ext uri="{FF2B5EF4-FFF2-40B4-BE49-F238E27FC236}">
                <a16:creationId xmlns:a16="http://schemas.microsoft.com/office/drawing/2014/main" id="{87C5F3C8-ABF4-25BC-12AC-7564845F3D4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04" name="Shape 4">
            <a:extLst>
              <a:ext uri="{FF2B5EF4-FFF2-40B4-BE49-F238E27FC236}">
                <a16:creationId xmlns:a16="http://schemas.microsoft.com/office/drawing/2014/main" id="{988CEC90-2077-654C-77FA-D467C2820B5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05" name="Shape 5">
            <a:extLst>
              <a:ext uri="{FF2B5EF4-FFF2-40B4-BE49-F238E27FC236}">
                <a16:creationId xmlns:a16="http://schemas.microsoft.com/office/drawing/2014/main" id="{CD37D90F-3252-6357-3472-3AC16363E33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06" name="Shape 6">
            <a:extLst>
              <a:ext uri="{FF2B5EF4-FFF2-40B4-BE49-F238E27FC236}">
                <a16:creationId xmlns:a16="http://schemas.microsoft.com/office/drawing/2014/main" id="{542DF186-051A-1533-B0D0-0B9A4F4854D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07" name="Shape 7">
            <a:extLst>
              <a:ext uri="{FF2B5EF4-FFF2-40B4-BE49-F238E27FC236}">
                <a16:creationId xmlns:a16="http://schemas.microsoft.com/office/drawing/2014/main" id="{72D1A392-4222-2592-C0F2-C56AC9B6669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08" name="Shape 8">
            <a:extLst>
              <a:ext uri="{FF2B5EF4-FFF2-40B4-BE49-F238E27FC236}">
                <a16:creationId xmlns:a16="http://schemas.microsoft.com/office/drawing/2014/main" id="{9B2D2EC3-F312-612A-AC2B-1116772C3A3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09" name="Shape 9">
            <a:extLst>
              <a:ext uri="{FF2B5EF4-FFF2-40B4-BE49-F238E27FC236}">
                <a16:creationId xmlns:a16="http://schemas.microsoft.com/office/drawing/2014/main" id="{477A4AD8-96EF-CE40-519B-517CC1823B6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10" name="Shape 10">
            <a:extLst>
              <a:ext uri="{FF2B5EF4-FFF2-40B4-BE49-F238E27FC236}">
                <a16:creationId xmlns:a16="http://schemas.microsoft.com/office/drawing/2014/main" id="{809BBE9A-10D1-1DDF-4869-9DFFA717054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11" name="Shape 11">
            <a:extLst>
              <a:ext uri="{FF2B5EF4-FFF2-40B4-BE49-F238E27FC236}">
                <a16:creationId xmlns:a16="http://schemas.microsoft.com/office/drawing/2014/main" id="{AA7898A6-9ACD-7005-7BAF-039737E6D55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12" name="Shape 12">
            <a:extLst>
              <a:ext uri="{FF2B5EF4-FFF2-40B4-BE49-F238E27FC236}">
                <a16:creationId xmlns:a16="http://schemas.microsoft.com/office/drawing/2014/main" id="{FCAFAA11-C67D-BE00-14A9-9F6BEEF1C99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13" name="Shape 13">
            <a:extLst>
              <a:ext uri="{FF2B5EF4-FFF2-40B4-BE49-F238E27FC236}">
                <a16:creationId xmlns:a16="http://schemas.microsoft.com/office/drawing/2014/main" id="{7AA0E1F9-B557-7EB5-FB4A-89161AEF546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14" name="Shape 14">
            <a:extLst>
              <a:ext uri="{FF2B5EF4-FFF2-40B4-BE49-F238E27FC236}">
                <a16:creationId xmlns:a16="http://schemas.microsoft.com/office/drawing/2014/main" id="{00D58B9F-A311-93FB-7C16-322003E3857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15" name="Shape 15">
            <a:extLst>
              <a:ext uri="{FF2B5EF4-FFF2-40B4-BE49-F238E27FC236}">
                <a16:creationId xmlns:a16="http://schemas.microsoft.com/office/drawing/2014/main" id="{AD2DF626-35DA-3428-8422-C61786297B6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16" name="Shape 16">
            <a:extLst>
              <a:ext uri="{FF2B5EF4-FFF2-40B4-BE49-F238E27FC236}">
                <a16:creationId xmlns:a16="http://schemas.microsoft.com/office/drawing/2014/main" id="{F91D6591-FF2D-7635-8015-5AD3BEB2DDB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642</xdr:row>
      <xdr:rowOff>3246</xdr:rowOff>
    </xdr:from>
    <xdr:ext cx="33655" cy="33655"/>
    <xdr:grpSp>
      <xdr:nvGrpSpPr>
        <xdr:cNvPr id="4917" name="Group 17">
          <a:extLst>
            <a:ext uri="{FF2B5EF4-FFF2-40B4-BE49-F238E27FC236}">
              <a16:creationId xmlns:a16="http://schemas.microsoft.com/office/drawing/2014/main" id="{43E8E8E5-8819-4C1A-8D3A-BE1E6D78E5D3}"/>
            </a:ext>
          </a:extLst>
        </xdr:cNvPr>
        <xdr:cNvGrpSpPr/>
      </xdr:nvGrpSpPr>
      <xdr:grpSpPr>
        <a:xfrm>
          <a:off x="4603072" y="119287476"/>
          <a:ext cx="33655" cy="33655"/>
          <a:chOff x="0" y="0"/>
          <a:chExt cx="33655" cy="33655"/>
        </a:xfrm>
      </xdr:grpSpPr>
      <xdr:sp macro="" textlink="">
        <xdr:nvSpPr>
          <xdr:cNvPr id="4918" name="Shape 18">
            <a:extLst>
              <a:ext uri="{FF2B5EF4-FFF2-40B4-BE49-F238E27FC236}">
                <a16:creationId xmlns:a16="http://schemas.microsoft.com/office/drawing/2014/main" id="{F6C37265-CCAF-FFD6-95E2-1F88CE63F1B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19" name="Shape 19">
            <a:extLst>
              <a:ext uri="{FF2B5EF4-FFF2-40B4-BE49-F238E27FC236}">
                <a16:creationId xmlns:a16="http://schemas.microsoft.com/office/drawing/2014/main" id="{E3499FA8-CBA0-797B-C5EA-C6ABD7798E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20" name="Shape 20">
            <a:extLst>
              <a:ext uri="{FF2B5EF4-FFF2-40B4-BE49-F238E27FC236}">
                <a16:creationId xmlns:a16="http://schemas.microsoft.com/office/drawing/2014/main" id="{8F5C4267-E507-12AC-81A5-D12855D8F67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21" name="Shape 21">
            <a:extLst>
              <a:ext uri="{FF2B5EF4-FFF2-40B4-BE49-F238E27FC236}">
                <a16:creationId xmlns:a16="http://schemas.microsoft.com/office/drawing/2014/main" id="{17E965C8-10AB-434A-E7FC-2668D66EC85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22" name="Shape 22">
            <a:extLst>
              <a:ext uri="{FF2B5EF4-FFF2-40B4-BE49-F238E27FC236}">
                <a16:creationId xmlns:a16="http://schemas.microsoft.com/office/drawing/2014/main" id="{3A6505EB-2A92-9937-673D-84994B3A683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23" name="Shape 23">
            <a:extLst>
              <a:ext uri="{FF2B5EF4-FFF2-40B4-BE49-F238E27FC236}">
                <a16:creationId xmlns:a16="http://schemas.microsoft.com/office/drawing/2014/main" id="{EF96E0CA-4AF4-5E9E-AF1F-413E4789E4B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24" name="Shape 24">
            <a:extLst>
              <a:ext uri="{FF2B5EF4-FFF2-40B4-BE49-F238E27FC236}">
                <a16:creationId xmlns:a16="http://schemas.microsoft.com/office/drawing/2014/main" id="{A4F9D632-F79E-5791-CC19-84909913F03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25" name="Shape 25">
            <a:extLst>
              <a:ext uri="{FF2B5EF4-FFF2-40B4-BE49-F238E27FC236}">
                <a16:creationId xmlns:a16="http://schemas.microsoft.com/office/drawing/2014/main" id="{63DE100F-0B1F-6F02-291E-1DE6070FE91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26" name="Shape 26">
            <a:extLst>
              <a:ext uri="{FF2B5EF4-FFF2-40B4-BE49-F238E27FC236}">
                <a16:creationId xmlns:a16="http://schemas.microsoft.com/office/drawing/2014/main" id="{B8FEFDB0-980E-EFE0-EDE2-FB1F40CB0C6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27" name="Shape 27">
            <a:extLst>
              <a:ext uri="{FF2B5EF4-FFF2-40B4-BE49-F238E27FC236}">
                <a16:creationId xmlns:a16="http://schemas.microsoft.com/office/drawing/2014/main" id="{1AE33602-F5F6-D00D-2426-3783A024A86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28" name="Shape 28">
            <a:extLst>
              <a:ext uri="{FF2B5EF4-FFF2-40B4-BE49-F238E27FC236}">
                <a16:creationId xmlns:a16="http://schemas.microsoft.com/office/drawing/2014/main" id="{5A444E14-38AE-D468-BE56-326E9E94958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29" name="Shape 29">
            <a:extLst>
              <a:ext uri="{FF2B5EF4-FFF2-40B4-BE49-F238E27FC236}">
                <a16:creationId xmlns:a16="http://schemas.microsoft.com/office/drawing/2014/main" id="{FB6DBE2E-CB2C-DE55-5A6C-C77A56FEA85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30" name="Shape 30">
            <a:extLst>
              <a:ext uri="{FF2B5EF4-FFF2-40B4-BE49-F238E27FC236}">
                <a16:creationId xmlns:a16="http://schemas.microsoft.com/office/drawing/2014/main" id="{DEE065CC-4280-53F3-D6CC-8E52256A4B1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31" name="Shape 31">
            <a:extLst>
              <a:ext uri="{FF2B5EF4-FFF2-40B4-BE49-F238E27FC236}">
                <a16:creationId xmlns:a16="http://schemas.microsoft.com/office/drawing/2014/main" id="{A07AF6BE-786D-BB6C-547A-F9437EF4515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642</xdr:row>
      <xdr:rowOff>3703</xdr:rowOff>
    </xdr:from>
    <xdr:ext cx="33655" cy="33655"/>
    <xdr:grpSp>
      <xdr:nvGrpSpPr>
        <xdr:cNvPr id="4932" name="Group 32">
          <a:extLst>
            <a:ext uri="{FF2B5EF4-FFF2-40B4-BE49-F238E27FC236}">
              <a16:creationId xmlns:a16="http://schemas.microsoft.com/office/drawing/2014/main" id="{9D1E460E-D341-46E4-8BF1-87C5F23A5381}"/>
            </a:ext>
          </a:extLst>
        </xdr:cNvPr>
        <xdr:cNvGrpSpPr/>
      </xdr:nvGrpSpPr>
      <xdr:grpSpPr>
        <a:xfrm>
          <a:off x="4603072" y="119287933"/>
          <a:ext cx="33655" cy="33655"/>
          <a:chOff x="0" y="0"/>
          <a:chExt cx="33655" cy="33655"/>
        </a:xfrm>
      </xdr:grpSpPr>
      <xdr:sp macro="" textlink="">
        <xdr:nvSpPr>
          <xdr:cNvPr id="4933" name="Shape 33">
            <a:extLst>
              <a:ext uri="{FF2B5EF4-FFF2-40B4-BE49-F238E27FC236}">
                <a16:creationId xmlns:a16="http://schemas.microsoft.com/office/drawing/2014/main" id="{61BFF9E8-B348-AA10-8F37-98F87AB3BDF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34" name="Shape 34">
            <a:extLst>
              <a:ext uri="{FF2B5EF4-FFF2-40B4-BE49-F238E27FC236}">
                <a16:creationId xmlns:a16="http://schemas.microsoft.com/office/drawing/2014/main" id="{BF20704E-E4C1-8525-A66B-8C1D715CF24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35" name="Shape 35">
            <a:extLst>
              <a:ext uri="{FF2B5EF4-FFF2-40B4-BE49-F238E27FC236}">
                <a16:creationId xmlns:a16="http://schemas.microsoft.com/office/drawing/2014/main" id="{8DD7A095-1B98-0182-9D98-58C8E89C85C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36" name="Shape 36">
            <a:extLst>
              <a:ext uri="{FF2B5EF4-FFF2-40B4-BE49-F238E27FC236}">
                <a16:creationId xmlns:a16="http://schemas.microsoft.com/office/drawing/2014/main" id="{356183FD-72BC-C057-B5CC-8CF01B0EC75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37" name="Shape 37">
            <a:extLst>
              <a:ext uri="{FF2B5EF4-FFF2-40B4-BE49-F238E27FC236}">
                <a16:creationId xmlns:a16="http://schemas.microsoft.com/office/drawing/2014/main" id="{E55ACC54-A8DD-A390-1985-EEA41B2CE31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38" name="Shape 38">
            <a:extLst>
              <a:ext uri="{FF2B5EF4-FFF2-40B4-BE49-F238E27FC236}">
                <a16:creationId xmlns:a16="http://schemas.microsoft.com/office/drawing/2014/main" id="{A28CA960-4B9F-C9A2-3567-B2A91FF2A2F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39" name="Shape 39">
            <a:extLst>
              <a:ext uri="{FF2B5EF4-FFF2-40B4-BE49-F238E27FC236}">
                <a16:creationId xmlns:a16="http://schemas.microsoft.com/office/drawing/2014/main" id="{AD912E65-8EEA-BE9A-597B-AAC156B9516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40" name="Shape 40">
            <a:extLst>
              <a:ext uri="{FF2B5EF4-FFF2-40B4-BE49-F238E27FC236}">
                <a16:creationId xmlns:a16="http://schemas.microsoft.com/office/drawing/2014/main" id="{9CFFCDE6-E5BE-2CEF-2A0E-786C4FE7665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41" name="Shape 41">
            <a:extLst>
              <a:ext uri="{FF2B5EF4-FFF2-40B4-BE49-F238E27FC236}">
                <a16:creationId xmlns:a16="http://schemas.microsoft.com/office/drawing/2014/main" id="{88FB77C5-E157-6409-35DE-6D7E64EAF8F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42" name="Shape 42">
            <a:extLst>
              <a:ext uri="{FF2B5EF4-FFF2-40B4-BE49-F238E27FC236}">
                <a16:creationId xmlns:a16="http://schemas.microsoft.com/office/drawing/2014/main" id="{E6945F6E-B1E1-CC46-17FB-AD90B2B7C62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43" name="Shape 43">
            <a:extLst>
              <a:ext uri="{FF2B5EF4-FFF2-40B4-BE49-F238E27FC236}">
                <a16:creationId xmlns:a16="http://schemas.microsoft.com/office/drawing/2014/main" id="{74C2268F-0AD4-1C72-F4E2-77D2263F763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44" name="Shape 44">
            <a:extLst>
              <a:ext uri="{FF2B5EF4-FFF2-40B4-BE49-F238E27FC236}">
                <a16:creationId xmlns:a16="http://schemas.microsoft.com/office/drawing/2014/main" id="{05F5CF0C-93ED-0ACD-20BF-3F2B10A2628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45" name="Shape 45">
            <a:extLst>
              <a:ext uri="{FF2B5EF4-FFF2-40B4-BE49-F238E27FC236}">
                <a16:creationId xmlns:a16="http://schemas.microsoft.com/office/drawing/2014/main" id="{3BBE6DE4-68D5-A7C1-60A1-B2E4FF9E30C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46" name="Shape 46">
            <a:extLst>
              <a:ext uri="{FF2B5EF4-FFF2-40B4-BE49-F238E27FC236}">
                <a16:creationId xmlns:a16="http://schemas.microsoft.com/office/drawing/2014/main" id="{B2EA0527-A6CA-3234-6627-C8CD4BA842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642</xdr:row>
      <xdr:rowOff>3409</xdr:rowOff>
    </xdr:from>
    <xdr:ext cx="33655" cy="33655"/>
    <xdr:grpSp>
      <xdr:nvGrpSpPr>
        <xdr:cNvPr id="4947" name="Group 47">
          <a:extLst>
            <a:ext uri="{FF2B5EF4-FFF2-40B4-BE49-F238E27FC236}">
              <a16:creationId xmlns:a16="http://schemas.microsoft.com/office/drawing/2014/main" id="{C73301C7-A12A-492D-930B-165B442ED6BD}"/>
            </a:ext>
          </a:extLst>
        </xdr:cNvPr>
        <xdr:cNvGrpSpPr/>
      </xdr:nvGrpSpPr>
      <xdr:grpSpPr>
        <a:xfrm>
          <a:off x="4603072" y="119287639"/>
          <a:ext cx="33655" cy="33655"/>
          <a:chOff x="0" y="0"/>
          <a:chExt cx="33655" cy="33655"/>
        </a:xfrm>
      </xdr:grpSpPr>
      <xdr:sp macro="" textlink="">
        <xdr:nvSpPr>
          <xdr:cNvPr id="4948" name="Shape 48">
            <a:extLst>
              <a:ext uri="{FF2B5EF4-FFF2-40B4-BE49-F238E27FC236}">
                <a16:creationId xmlns:a16="http://schemas.microsoft.com/office/drawing/2014/main" id="{431FE579-55AD-4854-A5F2-70D5C7589C7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49" name="Shape 49">
            <a:extLst>
              <a:ext uri="{FF2B5EF4-FFF2-40B4-BE49-F238E27FC236}">
                <a16:creationId xmlns:a16="http://schemas.microsoft.com/office/drawing/2014/main" id="{F2840AEE-24A7-47D3-E9AE-4EC0F5FCF1F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50" name="Shape 50">
            <a:extLst>
              <a:ext uri="{FF2B5EF4-FFF2-40B4-BE49-F238E27FC236}">
                <a16:creationId xmlns:a16="http://schemas.microsoft.com/office/drawing/2014/main" id="{77AB0295-327E-3BD4-73EC-286E8709D0E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51" name="Shape 51">
            <a:extLst>
              <a:ext uri="{FF2B5EF4-FFF2-40B4-BE49-F238E27FC236}">
                <a16:creationId xmlns:a16="http://schemas.microsoft.com/office/drawing/2014/main" id="{AC58944C-35F9-F15E-0A32-A268EFD880A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52" name="Shape 52">
            <a:extLst>
              <a:ext uri="{FF2B5EF4-FFF2-40B4-BE49-F238E27FC236}">
                <a16:creationId xmlns:a16="http://schemas.microsoft.com/office/drawing/2014/main" id="{0B4B4121-52E5-969E-C0AB-37A361578AB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53" name="Shape 53">
            <a:extLst>
              <a:ext uri="{FF2B5EF4-FFF2-40B4-BE49-F238E27FC236}">
                <a16:creationId xmlns:a16="http://schemas.microsoft.com/office/drawing/2014/main" id="{E5FBB5FA-7BBA-4BAE-6EE0-D523617FD73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54" name="Shape 54">
            <a:extLst>
              <a:ext uri="{FF2B5EF4-FFF2-40B4-BE49-F238E27FC236}">
                <a16:creationId xmlns:a16="http://schemas.microsoft.com/office/drawing/2014/main" id="{FC916760-42F8-AE09-7086-E08BC1A672E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55" name="Shape 55">
            <a:extLst>
              <a:ext uri="{FF2B5EF4-FFF2-40B4-BE49-F238E27FC236}">
                <a16:creationId xmlns:a16="http://schemas.microsoft.com/office/drawing/2014/main" id="{F6FA5CA9-B281-CA27-D169-46EAAD8D00E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56" name="Shape 56">
            <a:extLst>
              <a:ext uri="{FF2B5EF4-FFF2-40B4-BE49-F238E27FC236}">
                <a16:creationId xmlns:a16="http://schemas.microsoft.com/office/drawing/2014/main" id="{114A697C-45FE-963C-E640-C0822DBB479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57" name="Shape 57">
            <a:extLst>
              <a:ext uri="{FF2B5EF4-FFF2-40B4-BE49-F238E27FC236}">
                <a16:creationId xmlns:a16="http://schemas.microsoft.com/office/drawing/2014/main" id="{17693952-65A2-8C78-970E-87EAA7C217A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58" name="Shape 58">
            <a:extLst>
              <a:ext uri="{FF2B5EF4-FFF2-40B4-BE49-F238E27FC236}">
                <a16:creationId xmlns:a16="http://schemas.microsoft.com/office/drawing/2014/main" id="{ADB2CCFD-69CD-FDD4-B242-6603D0CE475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59" name="Shape 59">
            <a:extLst>
              <a:ext uri="{FF2B5EF4-FFF2-40B4-BE49-F238E27FC236}">
                <a16:creationId xmlns:a16="http://schemas.microsoft.com/office/drawing/2014/main" id="{F2113E42-E4E2-D5ED-D948-9E59881BBCD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60" name="Shape 60">
            <a:extLst>
              <a:ext uri="{FF2B5EF4-FFF2-40B4-BE49-F238E27FC236}">
                <a16:creationId xmlns:a16="http://schemas.microsoft.com/office/drawing/2014/main" id="{249D2F6B-82F5-A4D8-34EB-1B8749BA4E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61" name="Shape 61">
            <a:extLst>
              <a:ext uri="{FF2B5EF4-FFF2-40B4-BE49-F238E27FC236}">
                <a16:creationId xmlns:a16="http://schemas.microsoft.com/office/drawing/2014/main" id="{B4EEDEBA-2426-A81A-BF5D-7DBB35C14B7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642</xdr:row>
      <xdr:rowOff>3962</xdr:rowOff>
    </xdr:from>
    <xdr:ext cx="33655" cy="33655"/>
    <xdr:grpSp>
      <xdr:nvGrpSpPr>
        <xdr:cNvPr id="4962" name="Group 62">
          <a:extLst>
            <a:ext uri="{FF2B5EF4-FFF2-40B4-BE49-F238E27FC236}">
              <a16:creationId xmlns:a16="http://schemas.microsoft.com/office/drawing/2014/main" id="{3F0AC763-F495-4EBA-B7F2-77CDD6A05426}"/>
            </a:ext>
          </a:extLst>
        </xdr:cNvPr>
        <xdr:cNvGrpSpPr/>
      </xdr:nvGrpSpPr>
      <xdr:grpSpPr>
        <a:xfrm>
          <a:off x="4603072" y="119288192"/>
          <a:ext cx="33655" cy="33655"/>
          <a:chOff x="0" y="0"/>
          <a:chExt cx="33655" cy="33655"/>
        </a:xfrm>
      </xdr:grpSpPr>
      <xdr:sp macro="" textlink="">
        <xdr:nvSpPr>
          <xdr:cNvPr id="4963" name="Shape 63">
            <a:extLst>
              <a:ext uri="{FF2B5EF4-FFF2-40B4-BE49-F238E27FC236}">
                <a16:creationId xmlns:a16="http://schemas.microsoft.com/office/drawing/2014/main" id="{2B9CD2B3-6071-84AF-A507-EA9129DF461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64" name="Shape 64">
            <a:extLst>
              <a:ext uri="{FF2B5EF4-FFF2-40B4-BE49-F238E27FC236}">
                <a16:creationId xmlns:a16="http://schemas.microsoft.com/office/drawing/2014/main" id="{3743C249-EE98-356A-8AD2-28127BD2AB3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65" name="Shape 65">
            <a:extLst>
              <a:ext uri="{FF2B5EF4-FFF2-40B4-BE49-F238E27FC236}">
                <a16:creationId xmlns:a16="http://schemas.microsoft.com/office/drawing/2014/main" id="{DBD53809-B616-64B2-C04D-B9579DAB891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66" name="Shape 66">
            <a:extLst>
              <a:ext uri="{FF2B5EF4-FFF2-40B4-BE49-F238E27FC236}">
                <a16:creationId xmlns:a16="http://schemas.microsoft.com/office/drawing/2014/main" id="{260ECDD4-C00A-F2DA-CBB8-5747756B792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67" name="Shape 67">
            <a:extLst>
              <a:ext uri="{FF2B5EF4-FFF2-40B4-BE49-F238E27FC236}">
                <a16:creationId xmlns:a16="http://schemas.microsoft.com/office/drawing/2014/main" id="{0BCE9F5D-8BF1-C444-A820-DDB40B42515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68" name="Shape 68">
            <a:extLst>
              <a:ext uri="{FF2B5EF4-FFF2-40B4-BE49-F238E27FC236}">
                <a16:creationId xmlns:a16="http://schemas.microsoft.com/office/drawing/2014/main" id="{B819D16B-EABA-BEB2-6934-C8327F059E4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69" name="Shape 69">
            <a:extLst>
              <a:ext uri="{FF2B5EF4-FFF2-40B4-BE49-F238E27FC236}">
                <a16:creationId xmlns:a16="http://schemas.microsoft.com/office/drawing/2014/main" id="{B7B4A751-88DB-4347-2831-724B7B9AA37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70" name="Shape 70">
            <a:extLst>
              <a:ext uri="{FF2B5EF4-FFF2-40B4-BE49-F238E27FC236}">
                <a16:creationId xmlns:a16="http://schemas.microsoft.com/office/drawing/2014/main" id="{B35D9F1F-1953-61D2-139D-B4E68D91979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71" name="Shape 71">
            <a:extLst>
              <a:ext uri="{FF2B5EF4-FFF2-40B4-BE49-F238E27FC236}">
                <a16:creationId xmlns:a16="http://schemas.microsoft.com/office/drawing/2014/main" id="{FC12604E-2208-03CB-654B-2B8D98632F3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72" name="Shape 72">
            <a:extLst>
              <a:ext uri="{FF2B5EF4-FFF2-40B4-BE49-F238E27FC236}">
                <a16:creationId xmlns:a16="http://schemas.microsoft.com/office/drawing/2014/main" id="{E88408C2-4F79-6308-3E44-DD02A40D7D0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73" name="Shape 73">
            <a:extLst>
              <a:ext uri="{FF2B5EF4-FFF2-40B4-BE49-F238E27FC236}">
                <a16:creationId xmlns:a16="http://schemas.microsoft.com/office/drawing/2014/main" id="{0ED183B1-125B-3673-5865-3A7E0A61B05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74" name="Shape 74">
            <a:extLst>
              <a:ext uri="{FF2B5EF4-FFF2-40B4-BE49-F238E27FC236}">
                <a16:creationId xmlns:a16="http://schemas.microsoft.com/office/drawing/2014/main" id="{0024091E-2FD1-ADB5-3EB9-A4E97347B4A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75" name="Shape 75">
            <a:extLst>
              <a:ext uri="{FF2B5EF4-FFF2-40B4-BE49-F238E27FC236}">
                <a16:creationId xmlns:a16="http://schemas.microsoft.com/office/drawing/2014/main" id="{BC5549B5-E4AF-8B3F-7FDA-54782311AF1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4976" name="Shape 76">
            <a:extLst>
              <a:ext uri="{FF2B5EF4-FFF2-40B4-BE49-F238E27FC236}">
                <a16:creationId xmlns:a16="http://schemas.microsoft.com/office/drawing/2014/main" id="{DDC9A75A-BAD8-4BBD-7CF8-833A78F2383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654</xdr:row>
      <xdr:rowOff>2978</xdr:rowOff>
    </xdr:from>
    <xdr:ext cx="33655" cy="33655"/>
    <xdr:grpSp>
      <xdr:nvGrpSpPr>
        <xdr:cNvPr id="4977" name="Group 2">
          <a:extLst>
            <a:ext uri="{FF2B5EF4-FFF2-40B4-BE49-F238E27FC236}">
              <a16:creationId xmlns:a16="http://schemas.microsoft.com/office/drawing/2014/main" id="{576F8246-F2BD-48F3-A95E-AAE0B1EFECA3}"/>
            </a:ext>
          </a:extLst>
        </xdr:cNvPr>
        <xdr:cNvGrpSpPr/>
      </xdr:nvGrpSpPr>
      <xdr:grpSpPr>
        <a:xfrm>
          <a:off x="4603072" y="121448289"/>
          <a:ext cx="33655" cy="33655"/>
          <a:chOff x="0" y="0"/>
          <a:chExt cx="33655" cy="33655"/>
        </a:xfrm>
      </xdr:grpSpPr>
      <xdr:sp macro="" textlink="">
        <xdr:nvSpPr>
          <xdr:cNvPr id="4978" name="Shape 3">
            <a:extLst>
              <a:ext uri="{FF2B5EF4-FFF2-40B4-BE49-F238E27FC236}">
                <a16:creationId xmlns:a16="http://schemas.microsoft.com/office/drawing/2014/main" id="{815A19C4-FB7B-CDF2-9F10-C5A3E6D2CC8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79" name="Shape 4">
            <a:extLst>
              <a:ext uri="{FF2B5EF4-FFF2-40B4-BE49-F238E27FC236}">
                <a16:creationId xmlns:a16="http://schemas.microsoft.com/office/drawing/2014/main" id="{303F1BD4-A93D-D298-B879-88F04CF2717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80" name="Shape 5">
            <a:extLst>
              <a:ext uri="{FF2B5EF4-FFF2-40B4-BE49-F238E27FC236}">
                <a16:creationId xmlns:a16="http://schemas.microsoft.com/office/drawing/2014/main" id="{F6E016A6-A52B-16D7-6429-48414C1EDE5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81" name="Shape 6">
            <a:extLst>
              <a:ext uri="{FF2B5EF4-FFF2-40B4-BE49-F238E27FC236}">
                <a16:creationId xmlns:a16="http://schemas.microsoft.com/office/drawing/2014/main" id="{1167860C-0AA8-17E1-C0B5-086DE7C4FBD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82" name="Shape 7">
            <a:extLst>
              <a:ext uri="{FF2B5EF4-FFF2-40B4-BE49-F238E27FC236}">
                <a16:creationId xmlns:a16="http://schemas.microsoft.com/office/drawing/2014/main" id="{A0B2A8DC-04DD-E86C-1294-039E3E47FE7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83" name="Shape 8">
            <a:extLst>
              <a:ext uri="{FF2B5EF4-FFF2-40B4-BE49-F238E27FC236}">
                <a16:creationId xmlns:a16="http://schemas.microsoft.com/office/drawing/2014/main" id="{BC0CA494-1B38-837D-C2E6-D30E47CD6C5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84" name="Shape 9">
            <a:extLst>
              <a:ext uri="{FF2B5EF4-FFF2-40B4-BE49-F238E27FC236}">
                <a16:creationId xmlns:a16="http://schemas.microsoft.com/office/drawing/2014/main" id="{446AF7A7-82BD-8392-2777-6FD0BDC3AD8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85" name="Shape 10">
            <a:extLst>
              <a:ext uri="{FF2B5EF4-FFF2-40B4-BE49-F238E27FC236}">
                <a16:creationId xmlns:a16="http://schemas.microsoft.com/office/drawing/2014/main" id="{BB33FE7C-611B-82CA-401B-1EFD4954322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86" name="Shape 11">
            <a:extLst>
              <a:ext uri="{FF2B5EF4-FFF2-40B4-BE49-F238E27FC236}">
                <a16:creationId xmlns:a16="http://schemas.microsoft.com/office/drawing/2014/main" id="{98B7F3CE-0D02-FF0A-E17B-A9C9F1A3E71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87" name="Shape 12">
            <a:extLst>
              <a:ext uri="{FF2B5EF4-FFF2-40B4-BE49-F238E27FC236}">
                <a16:creationId xmlns:a16="http://schemas.microsoft.com/office/drawing/2014/main" id="{5DC24C02-C9D2-CB55-DE2B-32F28983732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88" name="Shape 13">
            <a:extLst>
              <a:ext uri="{FF2B5EF4-FFF2-40B4-BE49-F238E27FC236}">
                <a16:creationId xmlns:a16="http://schemas.microsoft.com/office/drawing/2014/main" id="{8F7F72F6-84EC-B076-4D1D-D94788BA5DE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89" name="Shape 14">
            <a:extLst>
              <a:ext uri="{FF2B5EF4-FFF2-40B4-BE49-F238E27FC236}">
                <a16:creationId xmlns:a16="http://schemas.microsoft.com/office/drawing/2014/main" id="{3D5A1F65-4DB5-7861-4262-FD30CAB226E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90" name="Shape 15">
            <a:extLst>
              <a:ext uri="{FF2B5EF4-FFF2-40B4-BE49-F238E27FC236}">
                <a16:creationId xmlns:a16="http://schemas.microsoft.com/office/drawing/2014/main" id="{4733515B-D164-CA7E-F706-5969204EE4F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91" name="Shape 16">
            <a:extLst>
              <a:ext uri="{FF2B5EF4-FFF2-40B4-BE49-F238E27FC236}">
                <a16:creationId xmlns:a16="http://schemas.microsoft.com/office/drawing/2014/main" id="{4E8A02CB-52F6-0126-5C80-AB1D74A6CE3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654</xdr:row>
      <xdr:rowOff>3246</xdr:rowOff>
    </xdr:from>
    <xdr:ext cx="33655" cy="33655"/>
    <xdr:grpSp>
      <xdr:nvGrpSpPr>
        <xdr:cNvPr id="4992" name="Group 17">
          <a:extLst>
            <a:ext uri="{FF2B5EF4-FFF2-40B4-BE49-F238E27FC236}">
              <a16:creationId xmlns:a16="http://schemas.microsoft.com/office/drawing/2014/main" id="{542DADDD-D6B2-4BDE-88AF-C51AAB6DCFDE}"/>
            </a:ext>
          </a:extLst>
        </xdr:cNvPr>
        <xdr:cNvGrpSpPr/>
      </xdr:nvGrpSpPr>
      <xdr:grpSpPr>
        <a:xfrm>
          <a:off x="4603072" y="121448557"/>
          <a:ext cx="33655" cy="33655"/>
          <a:chOff x="0" y="0"/>
          <a:chExt cx="33655" cy="33655"/>
        </a:xfrm>
      </xdr:grpSpPr>
      <xdr:sp macro="" textlink="">
        <xdr:nvSpPr>
          <xdr:cNvPr id="4993" name="Shape 18">
            <a:extLst>
              <a:ext uri="{FF2B5EF4-FFF2-40B4-BE49-F238E27FC236}">
                <a16:creationId xmlns:a16="http://schemas.microsoft.com/office/drawing/2014/main" id="{78479627-D049-0BC1-D967-6175C85B9F1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94" name="Shape 19">
            <a:extLst>
              <a:ext uri="{FF2B5EF4-FFF2-40B4-BE49-F238E27FC236}">
                <a16:creationId xmlns:a16="http://schemas.microsoft.com/office/drawing/2014/main" id="{22663248-357F-5C19-FDBD-4FC62121AB1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95" name="Shape 20">
            <a:extLst>
              <a:ext uri="{FF2B5EF4-FFF2-40B4-BE49-F238E27FC236}">
                <a16:creationId xmlns:a16="http://schemas.microsoft.com/office/drawing/2014/main" id="{4E6009E6-78AE-2A9C-896F-AE733EFF624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96" name="Shape 21">
            <a:extLst>
              <a:ext uri="{FF2B5EF4-FFF2-40B4-BE49-F238E27FC236}">
                <a16:creationId xmlns:a16="http://schemas.microsoft.com/office/drawing/2014/main" id="{00AC7F72-09C7-3C44-3711-70A64AE6B23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97" name="Shape 22">
            <a:extLst>
              <a:ext uri="{FF2B5EF4-FFF2-40B4-BE49-F238E27FC236}">
                <a16:creationId xmlns:a16="http://schemas.microsoft.com/office/drawing/2014/main" id="{082470EF-A51E-5936-C7EC-FEA5A53BDC7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4998" name="Shape 23">
            <a:extLst>
              <a:ext uri="{FF2B5EF4-FFF2-40B4-BE49-F238E27FC236}">
                <a16:creationId xmlns:a16="http://schemas.microsoft.com/office/drawing/2014/main" id="{46C5DED1-9A5E-836F-7E39-D34B7D7DF08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4999" name="Shape 24">
            <a:extLst>
              <a:ext uri="{FF2B5EF4-FFF2-40B4-BE49-F238E27FC236}">
                <a16:creationId xmlns:a16="http://schemas.microsoft.com/office/drawing/2014/main" id="{295094AC-0071-2656-AE76-93F543F7577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00" name="Shape 25">
            <a:extLst>
              <a:ext uri="{FF2B5EF4-FFF2-40B4-BE49-F238E27FC236}">
                <a16:creationId xmlns:a16="http://schemas.microsoft.com/office/drawing/2014/main" id="{A1BAA10D-9505-7FC0-EC16-E96CE733987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01" name="Shape 26">
            <a:extLst>
              <a:ext uri="{FF2B5EF4-FFF2-40B4-BE49-F238E27FC236}">
                <a16:creationId xmlns:a16="http://schemas.microsoft.com/office/drawing/2014/main" id="{BD90ACFF-AF35-932A-8D01-0B43E3DFA01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02" name="Shape 27">
            <a:extLst>
              <a:ext uri="{FF2B5EF4-FFF2-40B4-BE49-F238E27FC236}">
                <a16:creationId xmlns:a16="http://schemas.microsoft.com/office/drawing/2014/main" id="{F4667D4E-6951-4579-43A3-706B3FB2E0D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03" name="Shape 28">
            <a:extLst>
              <a:ext uri="{FF2B5EF4-FFF2-40B4-BE49-F238E27FC236}">
                <a16:creationId xmlns:a16="http://schemas.microsoft.com/office/drawing/2014/main" id="{51F8EC29-A95D-3BF3-0FB5-DB83A051339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04" name="Shape 29">
            <a:extLst>
              <a:ext uri="{FF2B5EF4-FFF2-40B4-BE49-F238E27FC236}">
                <a16:creationId xmlns:a16="http://schemas.microsoft.com/office/drawing/2014/main" id="{CCCA13A1-0A90-0B80-F862-E4023075071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05" name="Shape 30">
            <a:extLst>
              <a:ext uri="{FF2B5EF4-FFF2-40B4-BE49-F238E27FC236}">
                <a16:creationId xmlns:a16="http://schemas.microsoft.com/office/drawing/2014/main" id="{62BAE83A-26CE-631B-0DD5-5341D868910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06" name="Shape 31">
            <a:extLst>
              <a:ext uri="{FF2B5EF4-FFF2-40B4-BE49-F238E27FC236}">
                <a16:creationId xmlns:a16="http://schemas.microsoft.com/office/drawing/2014/main" id="{3D54A507-9F25-B6C2-A69A-D3526776BE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654</xdr:row>
      <xdr:rowOff>3703</xdr:rowOff>
    </xdr:from>
    <xdr:ext cx="33655" cy="33655"/>
    <xdr:grpSp>
      <xdr:nvGrpSpPr>
        <xdr:cNvPr id="5007" name="Group 32">
          <a:extLst>
            <a:ext uri="{FF2B5EF4-FFF2-40B4-BE49-F238E27FC236}">
              <a16:creationId xmlns:a16="http://schemas.microsoft.com/office/drawing/2014/main" id="{CFB6C637-DD61-4B7D-905D-9A85C396FE3A}"/>
            </a:ext>
          </a:extLst>
        </xdr:cNvPr>
        <xdr:cNvGrpSpPr/>
      </xdr:nvGrpSpPr>
      <xdr:grpSpPr>
        <a:xfrm>
          <a:off x="4603072" y="121449014"/>
          <a:ext cx="33655" cy="33655"/>
          <a:chOff x="0" y="0"/>
          <a:chExt cx="33655" cy="33655"/>
        </a:xfrm>
      </xdr:grpSpPr>
      <xdr:sp macro="" textlink="">
        <xdr:nvSpPr>
          <xdr:cNvPr id="5008" name="Shape 33">
            <a:extLst>
              <a:ext uri="{FF2B5EF4-FFF2-40B4-BE49-F238E27FC236}">
                <a16:creationId xmlns:a16="http://schemas.microsoft.com/office/drawing/2014/main" id="{A48F00A4-4ADB-8146-8CC1-8F71AED04BA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09" name="Shape 34">
            <a:extLst>
              <a:ext uri="{FF2B5EF4-FFF2-40B4-BE49-F238E27FC236}">
                <a16:creationId xmlns:a16="http://schemas.microsoft.com/office/drawing/2014/main" id="{B02FE3C8-9850-3870-C6EE-175C0703388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10" name="Shape 35">
            <a:extLst>
              <a:ext uri="{FF2B5EF4-FFF2-40B4-BE49-F238E27FC236}">
                <a16:creationId xmlns:a16="http://schemas.microsoft.com/office/drawing/2014/main" id="{7BF309C8-3C88-871C-B069-E16804F3183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11" name="Shape 36">
            <a:extLst>
              <a:ext uri="{FF2B5EF4-FFF2-40B4-BE49-F238E27FC236}">
                <a16:creationId xmlns:a16="http://schemas.microsoft.com/office/drawing/2014/main" id="{DC7FA19B-61B8-03D0-B9E6-09856B74E3B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12" name="Shape 37">
            <a:extLst>
              <a:ext uri="{FF2B5EF4-FFF2-40B4-BE49-F238E27FC236}">
                <a16:creationId xmlns:a16="http://schemas.microsoft.com/office/drawing/2014/main" id="{501D22D2-34F9-D355-FADC-6AC796E63EF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13" name="Shape 38">
            <a:extLst>
              <a:ext uri="{FF2B5EF4-FFF2-40B4-BE49-F238E27FC236}">
                <a16:creationId xmlns:a16="http://schemas.microsoft.com/office/drawing/2014/main" id="{9488DF72-B36E-17D0-A272-046F72BB9C5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14" name="Shape 39">
            <a:extLst>
              <a:ext uri="{FF2B5EF4-FFF2-40B4-BE49-F238E27FC236}">
                <a16:creationId xmlns:a16="http://schemas.microsoft.com/office/drawing/2014/main" id="{93D9E87D-B6DE-0773-6D85-A96F746947B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15" name="Shape 40">
            <a:extLst>
              <a:ext uri="{FF2B5EF4-FFF2-40B4-BE49-F238E27FC236}">
                <a16:creationId xmlns:a16="http://schemas.microsoft.com/office/drawing/2014/main" id="{0A321A1B-A88F-96CE-65DA-6B109FE037E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16" name="Shape 41">
            <a:extLst>
              <a:ext uri="{FF2B5EF4-FFF2-40B4-BE49-F238E27FC236}">
                <a16:creationId xmlns:a16="http://schemas.microsoft.com/office/drawing/2014/main" id="{6E051A5D-E82B-0E25-6190-457F58FBE7F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17" name="Shape 42">
            <a:extLst>
              <a:ext uri="{FF2B5EF4-FFF2-40B4-BE49-F238E27FC236}">
                <a16:creationId xmlns:a16="http://schemas.microsoft.com/office/drawing/2014/main" id="{8FF319F1-05BD-53D6-48B9-EBE8E7B3B42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18" name="Shape 43">
            <a:extLst>
              <a:ext uri="{FF2B5EF4-FFF2-40B4-BE49-F238E27FC236}">
                <a16:creationId xmlns:a16="http://schemas.microsoft.com/office/drawing/2014/main" id="{48DB3B05-E562-4794-3C08-4404884E0A0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19" name="Shape 44">
            <a:extLst>
              <a:ext uri="{FF2B5EF4-FFF2-40B4-BE49-F238E27FC236}">
                <a16:creationId xmlns:a16="http://schemas.microsoft.com/office/drawing/2014/main" id="{80A9B195-1666-7F71-C691-32BDE58FAF0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20" name="Shape 45">
            <a:extLst>
              <a:ext uri="{FF2B5EF4-FFF2-40B4-BE49-F238E27FC236}">
                <a16:creationId xmlns:a16="http://schemas.microsoft.com/office/drawing/2014/main" id="{1B71AFFA-1981-1425-30D1-628902FE26C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21" name="Shape 46">
            <a:extLst>
              <a:ext uri="{FF2B5EF4-FFF2-40B4-BE49-F238E27FC236}">
                <a16:creationId xmlns:a16="http://schemas.microsoft.com/office/drawing/2014/main" id="{9272AEB7-7559-4F8F-846C-A43A7F50A82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654</xdr:row>
      <xdr:rowOff>3409</xdr:rowOff>
    </xdr:from>
    <xdr:ext cx="33655" cy="33655"/>
    <xdr:grpSp>
      <xdr:nvGrpSpPr>
        <xdr:cNvPr id="5022" name="Group 47">
          <a:extLst>
            <a:ext uri="{FF2B5EF4-FFF2-40B4-BE49-F238E27FC236}">
              <a16:creationId xmlns:a16="http://schemas.microsoft.com/office/drawing/2014/main" id="{EB27FFDD-9843-4451-8A7A-284E541C09E9}"/>
            </a:ext>
          </a:extLst>
        </xdr:cNvPr>
        <xdr:cNvGrpSpPr/>
      </xdr:nvGrpSpPr>
      <xdr:grpSpPr>
        <a:xfrm>
          <a:off x="4603072" y="121448720"/>
          <a:ext cx="33655" cy="33655"/>
          <a:chOff x="0" y="0"/>
          <a:chExt cx="33655" cy="33655"/>
        </a:xfrm>
      </xdr:grpSpPr>
      <xdr:sp macro="" textlink="">
        <xdr:nvSpPr>
          <xdr:cNvPr id="5023" name="Shape 48">
            <a:extLst>
              <a:ext uri="{FF2B5EF4-FFF2-40B4-BE49-F238E27FC236}">
                <a16:creationId xmlns:a16="http://schemas.microsoft.com/office/drawing/2014/main" id="{A28DBEBB-483F-49C3-95A6-9B068614757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24" name="Shape 49">
            <a:extLst>
              <a:ext uri="{FF2B5EF4-FFF2-40B4-BE49-F238E27FC236}">
                <a16:creationId xmlns:a16="http://schemas.microsoft.com/office/drawing/2014/main" id="{8499B260-4287-6B02-B07B-958A4277272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25" name="Shape 50">
            <a:extLst>
              <a:ext uri="{FF2B5EF4-FFF2-40B4-BE49-F238E27FC236}">
                <a16:creationId xmlns:a16="http://schemas.microsoft.com/office/drawing/2014/main" id="{510CEB74-640F-33D6-1D40-68F0EF5DDF1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26" name="Shape 51">
            <a:extLst>
              <a:ext uri="{FF2B5EF4-FFF2-40B4-BE49-F238E27FC236}">
                <a16:creationId xmlns:a16="http://schemas.microsoft.com/office/drawing/2014/main" id="{6D3B4009-9C2A-661A-4ED5-B197E11AC06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27" name="Shape 52">
            <a:extLst>
              <a:ext uri="{FF2B5EF4-FFF2-40B4-BE49-F238E27FC236}">
                <a16:creationId xmlns:a16="http://schemas.microsoft.com/office/drawing/2014/main" id="{168E4567-0ABA-2113-B6A8-A28599C519A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28" name="Shape 53">
            <a:extLst>
              <a:ext uri="{FF2B5EF4-FFF2-40B4-BE49-F238E27FC236}">
                <a16:creationId xmlns:a16="http://schemas.microsoft.com/office/drawing/2014/main" id="{02230191-49B4-ED6A-2C3F-38A46873998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29" name="Shape 54">
            <a:extLst>
              <a:ext uri="{FF2B5EF4-FFF2-40B4-BE49-F238E27FC236}">
                <a16:creationId xmlns:a16="http://schemas.microsoft.com/office/drawing/2014/main" id="{66B06CBD-1749-992C-0DB8-9E277C2FAB8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30" name="Shape 55">
            <a:extLst>
              <a:ext uri="{FF2B5EF4-FFF2-40B4-BE49-F238E27FC236}">
                <a16:creationId xmlns:a16="http://schemas.microsoft.com/office/drawing/2014/main" id="{D976F995-1D58-1FBB-0F6D-6AC95F9288A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31" name="Shape 56">
            <a:extLst>
              <a:ext uri="{FF2B5EF4-FFF2-40B4-BE49-F238E27FC236}">
                <a16:creationId xmlns:a16="http://schemas.microsoft.com/office/drawing/2014/main" id="{A1F7BF57-367B-AB17-318E-F5716F3D091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32" name="Shape 57">
            <a:extLst>
              <a:ext uri="{FF2B5EF4-FFF2-40B4-BE49-F238E27FC236}">
                <a16:creationId xmlns:a16="http://schemas.microsoft.com/office/drawing/2014/main" id="{C8B6E4EF-87BA-CDFE-3983-71BE4F1F5F0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33" name="Shape 58">
            <a:extLst>
              <a:ext uri="{FF2B5EF4-FFF2-40B4-BE49-F238E27FC236}">
                <a16:creationId xmlns:a16="http://schemas.microsoft.com/office/drawing/2014/main" id="{2A5FDF3B-6D60-AC5B-2807-5F5907F51B8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34" name="Shape 59">
            <a:extLst>
              <a:ext uri="{FF2B5EF4-FFF2-40B4-BE49-F238E27FC236}">
                <a16:creationId xmlns:a16="http://schemas.microsoft.com/office/drawing/2014/main" id="{2271D301-A380-802B-1A02-4E8A50C896B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35" name="Shape 60">
            <a:extLst>
              <a:ext uri="{FF2B5EF4-FFF2-40B4-BE49-F238E27FC236}">
                <a16:creationId xmlns:a16="http://schemas.microsoft.com/office/drawing/2014/main" id="{2D605E13-DE0F-9BB7-5850-B61FA1991D7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36" name="Shape 61">
            <a:extLst>
              <a:ext uri="{FF2B5EF4-FFF2-40B4-BE49-F238E27FC236}">
                <a16:creationId xmlns:a16="http://schemas.microsoft.com/office/drawing/2014/main" id="{E5A47E14-E682-D695-6271-FFFB867229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654</xdr:row>
      <xdr:rowOff>3962</xdr:rowOff>
    </xdr:from>
    <xdr:ext cx="33655" cy="33655"/>
    <xdr:grpSp>
      <xdr:nvGrpSpPr>
        <xdr:cNvPr id="5037" name="Group 62">
          <a:extLst>
            <a:ext uri="{FF2B5EF4-FFF2-40B4-BE49-F238E27FC236}">
              <a16:creationId xmlns:a16="http://schemas.microsoft.com/office/drawing/2014/main" id="{5664FD97-8944-4E67-97ED-A73966210F2E}"/>
            </a:ext>
          </a:extLst>
        </xdr:cNvPr>
        <xdr:cNvGrpSpPr/>
      </xdr:nvGrpSpPr>
      <xdr:grpSpPr>
        <a:xfrm>
          <a:off x="4603072" y="121449273"/>
          <a:ext cx="33655" cy="33655"/>
          <a:chOff x="0" y="0"/>
          <a:chExt cx="33655" cy="33655"/>
        </a:xfrm>
      </xdr:grpSpPr>
      <xdr:sp macro="" textlink="">
        <xdr:nvSpPr>
          <xdr:cNvPr id="5038" name="Shape 63">
            <a:extLst>
              <a:ext uri="{FF2B5EF4-FFF2-40B4-BE49-F238E27FC236}">
                <a16:creationId xmlns:a16="http://schemas.microsoft.com/office/drawing/2014/main" id="{2A199ED9-1CD8-2501-7557-596565EC261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39" name="Shape 64">
            <a:extLst>
              <a:ext uri="{FF2B5EF4-FFF2-40B4-BE49-F238E27FC236}">
                <a16:creationId xmlns:a16="http://schemas.microsoft.com/office/drawing/2014/main" id="{051F204E-3EBD-0C78-5043-48A6A23C3DD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040" name="Shape 65">
            <a:extLst>
              <a:ext uri="{FF2B5EF4-FFF2-40B4-BE49-F238E27FC236}">
                <a16:creationId xmlns:a16="http://schemas.microsoft.com/office/drawing/2014/main" id="{73DCCC3F-109B-7450-F586-C9006452C92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41" name="Shape 66">
            <a:extLst>
              <a:ext uri="{FF2B5EF4-FFF2-40B4-BE49-F238E27FC236}">
                <a16:creationId xmlns:a16="http://schemas.microsoft.com/office/drawing/2014/main" id="{7F514061-1059-B9DE-D5EA-E7A70866297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042" name="Shape 67">
            <a:extLst>
              <a:ext uri="{FF2B5EF4-FFF2-40B4-BE49-F238E27FC236}">
                <a16:creationId xmlns:a16="http://schemas.microsoft.com/office/drawing/2014/main" id="{BDB7D87B-F72E-1F2F-310F-A95AB1BCC02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43" name="Shape 68">
            <a:extLst>
              <a:ext uri="{FF2B5EF4-FFF2-40B4-BE49-F238E27FC236}">
                <a16:creationId xmlns:a16="http://schemas.microsoft.com/office/drawing/2014/main" id="{A4B71150-4062-4AAA-BBB3-D79A40C880C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044" name="Shape 69">
            <a:extLst>
              <a:ext uri="{FF2B5EF4-FFF2-40B4-BE49-F238E27FC236}">
                <a16:creationId xmlns:a16="http://schemas.microsoft.com/office/drawing/2014/main" id="{4A82CD21-520D-DF1D-3468-E9174E6D2CB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45" name="Shape 70">
            <a:extLst>
              <a:ext uri="{FF2B5EF4-FFF2-40B4-BE49-F238E27FC236}">
                <a16:creationId xmlns:a16="http://schemas.microsoft.com/office/drawing/2014/main" id="{D0AB08FA-9A68-4BF4-6DA7-423DCE9E433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046" name="Shape 71">
            <a:extLst>
              <a:ext uri="{FF2B5EF4-FFF2-40B4-BE49-F238E27FC236}">
                <a16:creationId xmlns:a16="http://schemas.microsoft.com/office/drawing/2014/main" id="{B6F68700-05C1-041E-55F8-77A8B9EE0D8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47" name="Shape 72">
            <a:extLst>
              <a:ext uri="{FF2B5EF4-FFF2-40B4-BE49-F238E27FC236}">
                <a16:creationId xmlns:a16="http://schemas.microsoft.com/office/drawing/2014/main" id="{7CF598C4-FA86-0F93-4439-8BA5E3018AD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048" name="Shape 73">
            <a:extLst>
              <a:ext uri="{FF2B5EF4-FFF2-40B4-BE49-F238E27FC236}">
                <a16:creationId xmlns:a16="http://schemas.microsoft.com/office/drawing/2014/main" id="{B191FECC-83B4-0D0F-9EDC-C8FF0D8C4E3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49" name="Shape 74">
            <a:extLst>
              <a:ext uri="{FF2B5EF4-FFF2-40B4-BE49-F238E27FC236}">
                <a16:creationId xmlns:a16="http://schemas.microsoft.com/office/drawing/2014/main" id="{D6DA626B-32FD-4149-9A55-B90335717AF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050" name="Shape 75">
            <a:extLst>
              <a:ext uri="{FF2B5EF4-FFF2-40B4-BE49-F238E27FC236}">
                <a16:creationId xmlns:a16="http://schemas.microsoft.com/office/drawing/2014/main" id="{AC804A12-32F8-C360-0C2F-C30467AF17E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051" name="Shape 76">
            <a:extLst>
              <a:ext uri="{FF2B5EF4-FFF2-40B4-BE49-F238E27FC236}">
                <a16:creationId xmlns:a16="http://schemas.microsoft.com/office/drawing/2014/main" id="{5031DD8D-C83D-C7B8-6588-F1E5D871D5C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654</xdr:row>
      <xdr:rowOff>2978</xdr:rowOff>
    </xdr:from>
    <xdr:ext cx="33655" cy="33655"/>
    <xdr:grpSp>
      <xdr:nvGrpSpPr>
        <xdr:cNvPr id="5052" name="Group 2">
          <a:extLst>
            <a:ext uri="{FF2B5EF4-FFF2-40B4-BE49-F238E27FC236}">
              <a16:creationId xmlns:a16="http://schemas.microsoft.com/office/drawing/2014/main" id="{1461097B-D6A7-4140-BA9D-6F36454B3D9B}"/>
            </a:ext>
          </a:extLst>
        </xdr:cNvPr>
        <xdr:cNvGrpSpPr/>
      </xdr:nvGrpSpPr>
      <xdr:grpSpPr>
        <a:xfrm>
          <a:off x="4603072" y="121448289"/>
          <a:ext cx="33655" cy="33655"/>
          <a:chOff x="0" y="0"/>
          <a:chExt cx="33655" cy="33655"/>
        </a:xfrm>
      </xdr:grpSpPr>
      <xdr:sp macro="" textlink="">
        <xdr:nvSpPr>
          <xdr:cNvPr id="5053" name="Shape 3">
            <a:extLst>
              <a:ext uri="{FF2B5EF4-FFF2-40B4-BE49-F238E27FC236}">
                <a16:creationId xmlns:a16="http://schemas.microsoft.com/office/drawing/2014/main" id="{FF98BE86-42F9-C715-07A2-49F0B44F4E2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54" name="Shape 4">
            <a:extLst>
              <a:ext uri="{FF2B5EF4-FFF2-40B4-BE49-F238E27FC236}">
                <a16:creationId xmlns:a16="http://schemas.microsoft.com/office/drawing/2014/main" id="{8FD5C273-71C1-0F2B-6667-4ED14B12879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55" name="Shape 5">
            <a:extLst>
              <a:ext uri="{FF2B5EF4-FFF2-40B4-BE49-F238E27FC236}">
                <a16:creationId xmlns:a16="http://schemas.microsoft.com/office/drawing/2014/main" id="{04B96ABD-E1BF-4052-C50C-708A2352860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56" name="Shape 6">
            <a:extLst>
              <a:ext uri="{FF2B5EF4-FFF2-40B4-BE49-F238E27FC236}">
                <a16:creationId xmlns:a16="http://schemas.microsoft.com/office/drawing/2014/main" id="{1625E3C3-0A22-6CB5-C051-D3B813630BF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57" name="Shape 7">
            <a:extLst>
              <a:ext uri="{FF2B5EF4-FFF2-40B4-BE49-F238E27FC236}">
                <a16:creationId xmlns:a16="http://schemas.microsoft.com/office/drawing/2014/main" id="{DC198E1F-217C-61B7-8E26-C25BEEBF0AC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58" name="Shape 8">
            <a:extLst>
              <a:ext uri="{FF2B5EF4-FFF2-40B4-BE49-F238E27FC236}">
                <a16:creationId xmlns:a16="http://schemas.microsoft.com/office/drawing/2014/main" id="{F6382991-330C-4D13-D145-094930E158A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59" name="Shape 9">
            <a:extLst>
              <a:ext uri="{FF2B5EF4-FFF2-40B4-BE49-F238E27FC236}">
                <a16:creationId xmlns:a16="http://schemas.microsoft.com/office/drawing/2014/main" id="{6BD1B665-FCDD-8A77-E48D-876A44BC1DF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60" name="Shape 10">
            <a:extLst>
              <a:ext uri="{FF2B5EF4-FFF2-40B4-BE49-F238E27FC236}">
                <a16:creationId xmlns:a16="http://schemas.microsoft.com/office/drawing/2014/main" id="{88F2D0F1-1908-F87E-D460-DE61468B6C4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61" name="Shape 11">
            <a:extLst>
              <a:ext uri="{FF2B5EF4-FFF2-40B4-BE49-F238E27FC236}">
                <a16:creationId xmlns:a16="http://schemas.microsoft.com/office/drawing/2014/main" id="{9C184288-ACB5-36A7-8205-55210972076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62" name="Shape 12">
            <a:extLst>
              <a:ext uri="{FF2B5EF4-FFF2-40B4-BE49-F238E27FC236}">
                <a16:creationId xmlns:a16="http://schemas.microsoft.com/office/drawing/2014/main" id="{567B90AC-A586-89C2-6189-53173F7AD20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63" name="Shape 13">
            <a:extLst>
              <a:ext uri="{FF2B5EF4-FFF2-40B4-BE49-F238E27FC236}">
                <a16:creationId xmlns:a16="http://schemas.microsoft.com/office/drawing/2014/main" id="{0D9B185B-5220-2BB6-470D-097CE01AEAC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64" name="Shape 14">
            <a:extLst>
              <a:ext uri="{FF2B5EF4-FFF2-40B4-BE49-F238E27FC236}">
                <a16:creationId xmlns:a16="http://schemas.microsoft.com/office/drawing/2014/main" id="{BAEBF93D-8662-C789-BF29-633983E3E98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65" name="Shape 15">
            <a:extLst>
              <a:ext uri="{FF2B5EF4-FFF2-40B4-BE49-F238E27FC236}">
                <a16:creationId xmlns:a16="http://schemas.microsoft.com/office/drawing/2014/main" id="{8297EDC9-7D34-F794-5E9A-F38080FCEF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66" name="Shape 16">
            <a:extLst>
              <a:ext uri="{FF2B5EF4-FFF2-40B4-BE49-F238E27FC236}">
                <a16:creationId xmlns:a16="http://schemas.microsoft.com/office/drawing/2014/main" id="{6E477F8E-4402-D0D1-2120-4006E4A7987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654</xdr:row>
      <xdr:rowOff>3246</xdr:rowOff>
    </xdr:from>
    <xdr:ext cx="33655" cy="33655"/>
    <xdr:grpSp>
      <xdr:nvGrpSpPr>
        <xdr:cNvPr id="5067" name="Group 17">
          <a:extLst>
            <a:ext uri="{FF2B5EF4-FFF2-40B4-BE49-F238E27FC236}">
              <a16:creationId xmlns:a16="http://schemas.microsoft.com/office/drawing/2014/main" id="{5E86A066-2969-435E-94BE-2CBD90EEE33D}"/>
            </a:ext>
          </a:extLst>
        </xdr:cNvPr>
        <xdr:cNvGrpSpPr/>
      </xdr:nvGrpSpPr>
      <xdr:grpSpPr>
        <a:xfrm>
          <a:off x="4603072" y="121448557"/>
          <a:ext cx="33655" cy="33655"/>
          <a:chOff x="0" y="0"/>
          <a:chExt cx="33655" cy="33655"/>
        </a:xfrm>
      </xdr:grpSpPr>
      <xdr:sp macro="" textlink="">
        <xdr:nvSpPr>
          <xdr:cNvPr id="5068" name="Shape 18">
            <a:extLst>
              <a:ext uri="{FF2B5EF4-FFF2-40B4-BE49-F238E27FC236}">
                <a16:creationId xmlns:a16="http://schemas.microsoft.com/office/drawing/2014/main" id="{D3EFA52A-FBCF-86A2-552C-8E677C8D534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69" name="Shape 19">
            <a:extLst>
              <a:ext uri="{FF2B5EF4-FFF2-40B4-BE49-F238E27FC236}">
                <a16:creationId xmlns:a16="http://schemas.microsoft.com/office/drawing/2014/main" id="{50A1D14F-E9DE-D787-9D8A-ED4318C9BF8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70" name="Shape 20">
            <a:extLst>
              <a:ext uri="{FF2B5EF4-FFF2-40B4-BE49-F238E27FC236}">
                <a16:creationId xmlns:a16="http://schemas.microsoft.com/office/drawing/2014/main" id="{10378005-D255-49AB-7548-00DF2364468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71" name="Shape 21">
            <a:extLst>
              <a:ext uri="{FF2B5EF4-FFF2-40B4-BE49-F238E27FC236}">
                <a16:creationId xmlns:a16="http://schemas.microsoft.com/office/drawing/2014/main" id="{8F8D5581-FF32-F45C-84DC-5856BED7AB5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72" name="Shape 22">
            <a:extLst>
              <a:ext uri="{FF2B5EF4-FFF2-40B4-BE49-F238E27FC236}">
                <a16:creationId xmlns:a16="http://schemas.microsoft.com/office/drawing/2014/main" id="{F625D6DF-5F8D-341C-65FA-0A174AE8E38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73" name="Shape 23">
            <a:extLst>
              <a:ext uri="{FF2B5EF4-FFF2-40B4-BE49-F238E27FC236}">
                <a16:creationId xmlns:a16="http://schemas.microsoft.com/office/drawing/2014/main" id="{AFC4155B-577E-9A2C-B2D1-B7FC5E0E872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74" name="Shape 24">
            <a:extLst>
              <a:ext uri="{FF2B5EF4-FFF2-40B4-BE49-F238E27FC236}">
                <a16:creationId xmlns:a16="http://schemas.microsoft.com/office/drawing/2014/main" id="{8B08DECD-0DFE-2052-7F67-0BF141A1C68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75" name="Shape 25">
            <a:extLst>
              <a:ext uri="{FF2B5EF4-FFF2-40B4-BE49-F238E27FC236}">
                <a16:creationId xmlns:a16="http://schemas.microsoft.com/office/drawing/2014/main" id="{E3EF11B5-AF10-0A22-47FD-554F94E579D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76" name="Shape 26">
            <a:extLst>
              <a:ext uri="{FF2B5EF4-FFF2-40B4-BE49-F238E27FC236}">
                <a16:creationId xmlns:a16="http://schemas.microsoft.com/office/drawing/2014/main" id="{D4F745C8-222E-600F-D78B-E731389D0A3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77" name="Shape 27">
            <a:extLst>
              <a:ext uri="{FF2B5EF4-FFF2-40B4-BE49-F238E27FC236}">
                <a16:creationId xmlns:a16="http://schemas.microsoft.com/office/drawing/2014/main" id="{D95DE589-EE36-2624-549A-72304E7FBD6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78" name="Shape 28">
            <a:extLst>
              <a:ext uri="{FF2B5EF4-FFF2-40B4-BE49-F238E27FC236}">
                <a16:creationId xmlns:a16="http://schemas.microsoft.com/office/drawing/2014/main" id="{96408BB6-2A9C-C51C-D794-E07C28D3740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79" name="Shape 29">
            <a:extLst>
              <a:ext uri="{FF2B5EF4-FFF2-40B4-BE49-F238E27FC236}">
                <a16:creationId xmlns:a16="http://schemas.microsoft.com/office/drawing/2014/main" id="{16639D12-61EC-3DD7-BD79-F0A3992F0A6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80" name="Shape 30">
            <a:extLst>
              <a:ext uri="{FF2B5EF4-FFF2-40B4-BE49-F238E27FC236}">
                <a16:creationId xmlns:a16="http://schemas.microsoft.com/office/drawing/2014/main" id="{41F7B4EF-A224-11F9-AB25-1D64C1E0054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81" name="Shape 31">
            <a:extLst>
              <a:ext uri="{FF2B5EF4-FFF2-40B4-BE49-F238E27FC236}">
                <a16:creationId xmlns:a16="http://schemas.microsoft.com/office/drawing/2014/main" id="{BA662C76-C9EC-B0A0-706E-A34E99F5373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654</xdr:row>
      <xdr:rowOff>3703</xdr:rowOff>
    </xdr:from>
    <xdr:ext cx="33655" cy="33655"/>
    <xdr:grpSp>
      <xdr:nvGrpSpPr>
        <xdr:cNvPr id="5082" name="Group 32">
          <a:extLst>
            <a:ext uri="{FF2B5EF4-FFF2-40B4-BE49-F238E27FC236}">
              <a16:creationId xmlns:a16="http://schemas.microsoft.com/office/drawing/2014/main" id="{32BA4DF7-530F-4B99-8865-7C530AA9537E}"/>
            </a:ext>
          </a:extLst>
        </xdr:cNvPr>
        <xdr:cNvGrpSpPr/>
      </xdr:nvGrpSpPr>
      <xdr:grpSpPr>
        <a:xfrm>
          <a:off x="4603072" y="121449014"/>
          <a:ext cx="33655" cy="33655"/>
          <a:chOff x="0" y="0"/>
          <a:chExt cx="33655" cy="33655"/>
        </a:xfrm>
      </xdr:grpSpPr>
      <xdr:sp macro="" textlink="">
        <xdr:nvSpPr>
          <xdr:cNvPr id="5083" name="Shape 33">
            <a:extLst>
              <a:ext uri="{FF2B5EF4-FFF2-40B4-BE49-F238E27FC236}">
                <a16:creationId xmlns:a16="http://schemas.microsoft.com/office/drawing/2014/main" id="{A3C8B335-6A27-4B5B-EFAE-F0E82DE892C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84" name="Shape 34">
            <a:extLst>
              <a:ext uri="{FF2B5EF4-FFF2-40B4-BE49-F238E27FC236}">
                <a16:creationId xmlns:a16="http://schemas.microsoft.com/office/drawing/2014/main" id="{7302F69A-17CB-A81D-2D0C-897286000F0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85" name="Shape 35">
            <a:extLst>
              <a:ext uri="{FF2B5EF4-FFF2-40B4-BE49-F238E27FC236}">
                <a16:creationId xmlns:a16="http://schemas.microsoft.com/office/drawing/2014/main" id="{2DAAF475-2791-9881-D996-76A2A3D77DC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86" name="Shape 36">
            <a:extLst>
              <a:ext uri="{FF2B5EF4-FFF2-40B4-BE49-F238E27FC236}">
                <a16:creationId xmlns:a16="http://schemas.microsoft.com/office/drawing/2014/main" id="{C53810EA-51AF-7DE1-B22C-EB5EB465704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87" name="Shape 37">
            <a:extLst>
              <a:ext uri="{FF2B5EF4-FFF2-40B4-BE49-F238E27FC236}">
                <a16:creationId xmlns:a16="http://schemas.microsoft.com/office/drawing/2014/main" id="{6432D6D3-4A80-7C23-35FE-30875C39DD4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88" name="Shape 38">
            <a:extLst>
              <a:ext uri="{FF2B5EF4-FFF2-40B4-BE49-F238E27FC236}">
                <a16:creationId xmlns:a16="http://schemas.microsoft.com/office/drawing/2014/main" id="{F48122FE-F2AE-1E93-E401-91A9C4B322A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89" name="Shape 39">
            <a:extLst>
              <a:ext uri="{FF2B5EF4-FFF2-40B4-BE49-F238E27FC236}">
                <a16:creationId xmlns:a16="http://schemas.microsoft.com/office/drawing/2014/main" id="{56076291-6964-8ED8-6E4B-E7737FB27D3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90" name="Shape 40">
            <a:extLst>
              <a:ext uri="{FF2B5EF4-FFF2-40B4-BE49-F238E27FC236}">
                <a16:creationId xmlns:a16="http://schemas.microsoft.com/office/drawing/2014/main" id="{8291812C-BF64-E6B5-2C11-EC54F551F85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91" name="Shape 41">
            <a:extLst>
              <a:ext uri="{FF2B5EF4-FFF2-40B4-BE49-F238E27FC236}">
                <a16:creationId xmlns:a16="http://schemas.microsoft.com/office/drawing/2014/main" id="{A9DA38A1-9D9A-D9DE-B123-465CE20F9C4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92" name="Shape 42">
            <a:extLst>
              <a:ext uri="{FF2B5EF4-FFF2-40B4-BE49-F238E27FC236}">
                <a16:creationId xmlns:a16="http://schemas.microsoft.com/office/drawing/2014/main" id="{B578D2EB-AA37-B4F5-8BA6-1407E675963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93" name="Shape 43">
            <a:extLst>
              <a:ext uri="{FF2B5EF4-FFF2-40B4-BE49-F238E27FC236}">
                <a16:creationId xmlns:a16="http://schemas.microsoft.com/office/drawing/2014/main" id="{CE0711D0-3859-EF57-5119-E0AD730D123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94" name="Shape 44">
            <a:extLst>
              <a:ext uri="{FF2B5EF4-FFF2-40B4-BE49-F238E27FC236}">
                <a16:creationId xmlns:a16="http://schemas.microsoft.com/office/drawing/2014/main" id="{296DCBCC-BA89-07F0-01D6-296E79F23B6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95" name="Shape 45">
            <a:extLst>
              <a:ext uri="{FF2B5EF4-FFF2-40B4-BE49-F238E27FC236}">
                <a16:creationId xmlns:a16="http://schemas.microsoft.com/office/drawing/2014/main" id="{87F82D5A-B7EA-C861-851C-73038CA625E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096" name="Shape 46">
            <a:extLst>
              <a:ext uri="{FF2B5EF4-FFF2-40B4-BE49-F238E27FC236}">
                <a16:creationId xmlns:a16="http://schemas.microsoft.com/office/drawing/2014/main" id="{C5339BD1-2760-0BE5-BED9-BE97726D003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654</xdr:row>
      <xdr:rowOff>3409</xdr:rowOff>
    </xdr:from>
    <xdr:ext cx="33655" cy="33655"/>
    <xdr:grpSp>
      <xdr:nvGrpSpPr>
        <xdr:cNvPr id="5097" name="Group 47">
          <a:extLst>
            <a:ext uri="{FF2B5EF4-FFF2-40B4-BE49-F238E27FC236}">
              <a16:creationId xmlns:a16="http://schemas.microsoft.com/office/drawing/2014/main" id="{EA5F5D19-2C51-46D9-9D09-E613A252ECFA}"/>
            </a:ext>
          </a:extLst>
        </xdr:cNvPr>
        <xdr:cNvGrpSpPr/>
      </xdr:nvGrpSpPr>
      <xdr:grpSpPr>
        <a:xfrm>
          <a:off x="4603072" y="121448720"/>
          <a:ext cx="33655" cy="33655"/>
          <a:chOff x="0" y="0"/>
          <a:chExt cx="33655" cy="33655"/>
        </a:xfrm>
      </xdr:grpSpPr>
      <xdr:sp macro="" textlink="">
        <xdr:nvSpPr>
          <xdr:cNvPr id="5098" name="Shape 48">
            <a:extLst>
              <a:ext uri="{FF2B5EF4-FFF2-40B4-BE49-F238E27FC236}">
                <a16:creationId xmlns:a16="http://schemas.microsoft.com/office/drawing/2014/main" id="{2A1222B8-B3CD-A0AC-E797-75FFBEBD44C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099" name="Shape 49">
            <a:extLst>
              <a:ext uri="{FF2B5EF4-FFF2-40B4-BE49-F238E27FC236}">
                <a16:creationId xmlns:a16="http://schemas.microsoft.com/office/drawing/2014/main" id="{82DCFB27-84B2-01C8-9C48-0B5BC15F2AA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00" name="Shape 50">
            <a:extLst>
              <a:ext uri="{FF2B5EF4-FFF2-40B4-BE49-F238E27FC236}">
                <a16:creationId xmlns:a16="http://schemas.microsoft.com/office/drawing/2014/main" id="{25AA1CE7-9AED-BDF6-E57E-CDBD36785E8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01" name="Shape 51">
            <a:extLst>
              <a:ext uri="{FF2B5EF4-FFF2-40B4-BE49-F238E27FC236}">
                <a16:creationId xmlns:a16="http://schemas.microsoft.com/office/drawing/2014/main" id="{19E670AE-2150-BFD7-C4F9-6F8A79CED2F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02" name="Shape 52">
            <a:extLst>
              <a:ext uri="{FF2B5EF4-FFF2-40B4-BE49-F238E27FC236}">
                <a16:creationId xmlns:a16="http://schemas.microsoft.com/office/drawing/2014/main" id="{D6619C79-8EE4-6637-AA6D-C31DC73189A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03" name="Shape 53">
            <a:extLst>
              <a:ext uri="{FF2B5EF4-FFF2-40B4-BE49-F238E27FC236}">
                <a16:creationId xmlns:a16="http://schemas.microsoft.com/office/drawing/2014/main" id="{9579FF06-4257-4A11-53A5-D677EAA32EC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04" name="Shape 54">
            <a:extLst>
              <a:ext uri="{FF2B5EF4-FFF2-40B4-BE49-F238E27FC236}">
                <a16:creationId xmlns:a16="http://schemas.microsoft.com/office/drawing/2014/main" id="{B5DB5426-510A-1DEB-F79F-6CBE83E951C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05" name="Shape 55">
            <a:extLst>
              <a:ext uri="{FF2B5EF4-FFF2-40B4-BE49-F238E27FC236}">
                <a16:creationId xmlns:a16="http://schemas.microsoft.com/office/drawing/2014/main" id="{5E9DF381-8296-7BBA-A5D9-FA447D7CED6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06" name="Shape 56">
            <a:extLst>
              <a:ext uri="{FF2B5EF4-FFF2-40B4-BE49-F238E27FC236}">
                <a16:creationId xmlns:a16="http://schemas.microsoft.com/office/drawing/2014/main" id="{4B975380-4BC4-54E5-96AC-99DFB550E26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07" name="Shape 57">
            <a:extLst>
              <a:ext uri="{FF2B5EF4-FFF2-40B4-BE49-F238E27FC236}">
                <a16:creationId xmlns:a16="http://schemas.microsoft.com/office/drawing/2014/main" id="{BE7B8CA4-8CFD-70CE-1DC1-91D948C80A0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08" name="Shape 58">
            <a:extLst>
              <a:ext uri="{FF2B5EF4-FFF2-40B4-BE49-F238E27FC236}">
                <a16:creationId xmlns:a16="http://schemas.microsoft.com/office/drawing/2014/main" id="{DC538CF9-4678-80FC-8653-675B831A5C2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09" name="Shape 59">
            <a:extLst>
              <a:ext uri="{FF2B5EF4-FFF2-40B4-BE49-F238E27FC236}">
                <a16:creationId xmlns:a16="http://schemas.microsoft.com/office/drawing/2014/main" id="{0EA9E515-3CBE-4085-D1F2-2BA6355F5F4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10" name="Shape 60">
            <a:extLst>
              <a:ext uri="{FF2B5EF4-FFF2-40B4-BE49-F238E27FC236}">
                <a16:creationId xmlns:a16="http://schemas.microsoft.com/office/drawing/2014/main" id="{76B46566-3241-6413-0B68-3F4A3761246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11" name="Shape 61">
            <a:extLst>
              <a:ext uri="{FF2B5EF4-FFF2-40B4-BE49-F238E27FC236}">
                <a16:creationId xmlns:a16="http://schemas.microsoft.com/office/drawing/2014/main" id="{B148D071-16A7-4A32-DC30-ECFFD4BF216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654</xdr:row>
      <xdr:rowOff>3962</xdr:rowOff>
    </xdr:from>
    <xdr:ext cx="33655" cy="33655"/>
    <xdr:grpSp>
      <xdr:nvGrpSpPr>
        <xdr:cNvPr id="5112" name="Group 62">
          <a:extLst>
            <a:ext uri="{FF2B5EF4-FFF2-40B4-BE49-F238E27FC236}">
              <a16:creationId xmlns:a16="http://schemas.microsoft.com/office/drawing/2014/main" id="{164BDECF-767C-4D64-A8A8-C44760698DD5}"/>
            </a:ext>
          </a:extLst>
        </xdr:cNvPr>
        <xdr:cNvGrpSpPr/>
      </xdr:nvGrpSpPr>
      <xdr:grpSpPr>
        <a:xfrm>
          <a:off x="4603072" y="121449273"/>
          <a:ext cx="33655" cy="33655"/>
          <a:chOff x="0" y="0"/>
          <a:chExt cx="33655" cy="33655"/>
        </a:xfrm>
      </xdr:grpSpPr>
      <xdr:sp macro="" textlink="">
        <xdr:nvSpPr>
          <xdr:cNvPr id="5113" name="Shape 63">
            <a:extLst>
              <a:ext uri="{FF2B5EF4-FFF2-40B4-BE49-F238E27FC236}">
                <a16:creationId xmlns:a16="http://schemas.microsoft.com/office/drawing/2014/main" id="{DF46EA94-57F1-2B01-9EF2-4B97BCD714D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14" name="Shape 64">
            <a:extLst>
              <a:ext uri="{FF2B5EF4-FFF2-40B4-BE49-F238E27FC236}">
                <a16:creationId xmlns:a16="http://schemas.microsoft.com/office/drawing/2014/main" id="{EE2DEC4B-ADC7-1616-EEDF-234C5D728EB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15" name="Shape 65">
            <a:extLst>
              <a:ext uri="{FF2B5EF4-FFF2-40B4-BE49-F238E27FC236}">
                <a16:creationId xmlns:a16="http://schemas.microsoft.com/office/drawing/2014/main" id="{93D6C2B6-B73F-9148-9175-04F8529F33D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16" name="Shape 66">
            <a:extLst>
              <a:ext uri="{FF2B5EF4-FFF2-40B4-BE49-F238E27FC236}">
                <a16:creationId xmlns:a16="http://schemas.microsoft.com/office/drawing/2014/main" id="{568F3BF3-6BA5-3039-B97C-E285990E266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17" name="Shape 67">
            <a:extLst>
              <a:ext uri="{FF2B5EF4-FFF2-40B4-BE49-F238E27FC236}">
                <a16:creationId xmlns:a16="http://schemas.microsoft.com/office/drawing/2014/main" id="{11D442C2-B6DC-57AC-2A75-E1925CE55B3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18" name="Shape 68">
            <a:extLst>
              <a:ext uri="{FF2B5EF4-FFF2-40B4-BE49-F238E27FC236}">
                <a16:creationId xmlns:a16="http://schemas.microsoft.com/office/drawing/2014/main" id="{BD93CFED-F4F1-F85E-2163-74C63A9875A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19" name="Shape 69">
            <a:extLst>
              <a:ext uri="{FF2B5EF4-FFF2-40B4-BE49-F238E27FC236}">
                <a16:creationId xmlns:a16="http://schemas.microsoft.com/office/drawing/2014/main" id="{20747589-531D-561A-A4DF-5C62681FBF7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20" name="Shape 70">
            <a:extLst>
              <a:ext uri="{FF2B5EF4-FFF2-40B4-BE49-F238E27FC236}">
                <a16:creationId xmlns:a16="http://schemas.microsoft.com/office/drawing/2014/main" id="{6D334872-C10E-4EF5-B095-E5B45EED941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21" name="Shape 71">
            <a:extLst>
              <a:ext uri="{FF2B5EF4-FFF2-40B4-BE49-F238E27FC236}">
                <a16:creationId xmlns:a16="http://schemas.microsoft.com/office/drawing/2014/main" id="{39DD239C-A428-64D3-7EAF-921B1916BDA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22" name="Shape 72">
            <a:extLst>
              <a:ext uri="{FF2B5EF4-FFF2-40B4-BE49-F238E27FC236}">
                <a16:creationId xmlns:a16="http://schemas.microsoft.com/office/drawing/2014/main" id="{CCDEC55F-B05D-302B-BF8C-49AF36BDC6C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23" name="Shape 73">
            <a:extLst>
              <a:ext uri="{FF2B5EF4-FFF2-40B4-BE49-F238E27FC236}">
                <a16:creationId xmlns:a16="http://schemas.microsoft.com/office/drawing/2014/main" id="{030AEABD-81FD-AF47-EB51-26AC40540AB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24" name="Shape 74">
            <a:extLst>
              <a:ext uri="{FF2B5EF4-FFF2-40B4-BE49-F238E27FC236}">
                <a16:creationId xmlns:a16="http://schemas.microsoft.com/office/drawing/2014/main" id="{4392024E-1391-40CB-A24E-697E6844F65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25" name="Shape 75">
            <a:extLst>
              <a:ext uri="{FF2B5EF4-FFF2-40B4-BE49-F238E27FC236}">
                <a16:creationId xmlns:a16="http://schemas.microsoft.com/office/drawing/2014/main" id="{F2E322A5-BC9F-3A6A-58D7-8FF30DF8B8D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26" name="Shape 76">
            <a:extLst>
              <a:ext uri="{FF2B5EF4-FFF2-40B4-BE49-F238E27FC236}">
                <a16:creationId xmlns:a16="http://schemas.microsoft.com/office/drawing/2014/main" id="{1FD3B333-1AEE-3862-F5E2-2564A5477B5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672</xdr:row>
      <xdr:rowOff>2978</xdr:rowOff>
    </xdr:from>
    <xdr:ext cx="33655" cy="33655"/>
    <xdr:grpSp>
      <xdr:nvGrpSpPr>
        <xdr:cNvPr id="5127" name="Group 2">
          <a:extLst>
            <a:ext uri="{FF2B5EF4-FFF2-40B4-BE49-F238E27FC236}">
              <a16:creationId xmlns:a16="http://schemas.microsoft.com/office/drawing/2014/main" id="{E67BDB37-A95C-40AA-8A57-3E32CFBEF306}"/>
            </a:ext>
          </a:extLst>
        </xdr:cNvPr>
        <xdr:cNvGrpSpPr/>
      </xdr:nvGrpSpPr>
      <xdr:grpSpPr>
        <a:xfrm>
          <a:off x="4603072" y="124465060"/>
          <a:ext cx="33655" cy="33655"/>
          <a:chOff x="0" y="0"/>
          <a:chExt cx="33655" cy="33655"/>
        </a:xfrm>
      </xdr:grpSpPr>
      <xdr:sp macro="" textlink="">
        <xdr:nvSpPr>
          <xdr:cNvPr id="5128" name="Shape 3">
            <a:extLst>
              <a:ext uri="{FF2B5EF4-FFF2-40B4-BE49-F238E27FC236}">
                <a16:creationId xmlns:a16="http://schemas.microsoft.com/office/drawing/2014/main" id="{127DFA70-D0D3-C435-D8C7-0A9FEE3D976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29" name="Shape 4">
            <a:extLst>
              <a:ext uri="{FF2B5EF4-FFF2-40B4-BE49-F238E27FC236}">
                <a16:creationId xmlns:a16="http://schemas.microsoft.com/office/drawing/2014/main" id="{0BFCB9D7-973B-B215-BCC6-CFAC3F86FDB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30" name="Shape 5">
            <a:extLst>
              <a:ext uri="{FF2B5EF4-FFF2-40B4-BE49-F238E27FC236}">
                <a16:creationId xmlns:a16="http://schemas.microsoft.com/office/drawing/2014/main" id="{0A7A201D-3968-09A2-6144-4A30C5979B6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31" name="Shape 6">
            <a:extLst>
              <a:ext uri="{FF2B5EF4-FFF2-40B4-BE49-F238E27FC236}">
                <a16:creationId xmlns:a16="http://schemas.microsoft.com/office/drawing/2014/main" id="{E648440F-7234-6F5A-5152-F7F864A4971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32" name="Shape 7">
            <a:extLst>
              <a:ext uri="{FF2B5EF4-FFF2-40B4-BE49-F238E27FC236}">
                <a16:creationId xmlns:a16="http://schemas.microsoft.com/office/drawing/2014/main" id="{BB17053C-9810-F6EF-E4F7-D3CCCE9367E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33" name="Shape 8">
            <a:extLst>
              <a:ext uri="{FF2B5EF4-FFF2-40B4-BE49-F238E27FC236}">
                <a16:creationId xmlns:a16="http://schemas.microsoft.com/office/drawing/2014/main" id="{867234DA-57D4-C793-62D7-36983A0720E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34" name="Shape 9">
            <a:extLst>
              <a:ext uri="{FF2B5EF4-FFF2-40B4-BE49-F238E27FC236}">
                <a16:creationId xmlns:a16="http://schemas.microsoft.com/office/drawing/2014/main" id="{EB56EB07-0546-0062-5136-B6B854F6B1D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35" name="Shape 10">
            <a:extLst>
              <a:ext uri="{FF2B5EF4-FFF2-40B4-BE49-F238E27FC236}">
                <a16:creationId xmlns:a16="http://schemas.microsoft.com/office/drawing/2014/main" id="{37215600-7F3C-F356-59CE-284C3AAB434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36" name="Shape 11">
            <a:extLst>
              <a:ext uri="{FF2B5EF4-FFF2-40B4-BE49-F238E27FC236}">
                <a16:creationId xmlns:a16="http://schemas.microsoft.com/office/drawing/2014/main" id="{BFDADDF3-2E39-9B59-AB74-2F3A76BDE2F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37" name="Shape 12">
            <a:extLst>
              <a:ext uri="{FF2B5EF4-FFF2-40B4-BE49-F238E27FC236}">
                <a16:creationId xmlns:a16="http://schemas.microsoft.com/office/drawing/2014/main" id="{33751AE1-16F5-FB70-2170-83F47DC940E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38" name="Shape 13">
            <a:extLst>
              <a:ext uri="{FF2B5EF4-FFF2-40B4-BE49-F238E27FC236}">
                <a16:creationId xmlns:a16="http://schemas.microsoft.com/office/drawing/2014/main" id="{B9BF6ED5-ECB5-DBE1-7C86-52ACC6A567C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39" name="Shape 14">
            <a:extLst>
              <a:ext uri="{FF2B5EF4-FFF2-40B4-BE49-F238E27FC236}">
                <a16:creationId xmlns:a16="http://schemas.microsoft.com/office/drawing/2014/main" id="{88BEB455-CEB5-A8A1-04AB-7CDC2276005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40" name="Shape 15">
            <a:extLst>
              <a:ext uri="{FF2B5EF4-FFF2-40B4-BE49-F238E27FC236}">
                <a16:creationId xmlns:a16="http://schemas.microsoft.com/office/drawing/2014/main" id="{ECFF41CD-9B88-7FAF-3F90-DEF47439167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41" name="Shape 16">
            <a:extLst>
              <a:ext uri="{FF2B5EF4-FFF2-40B4-BE49-F238E27FC236}">
                <a16:creationId xmlns:a16="http://schemas.microsoft.com/office/drawing/2014/main" id="{5995B5AF-0A74-CE37-BAE2-A4A60F51471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672</xdr:row>
      <xdr:rowOff>3246</xdr:rowOff>
    </xdr:from>
    <xdr:ext cx="33655" cy="33655"/>
    <xdr:grpSp>
      <xdr:nvGrpSpPr>
        <xdr:cNvPr id="5142" name="Group 17">
          <a:extLst>
            <a:ext uri="{FF2B5EF4-FFF2-40B4-BE49-F238E27FC236}">
              <a16:creationId xmlns:a16="http://schemas.microsoft.com/office/drawing/2014/main" id="{EF69A981-0737-4ECB-A2AF-C7FCA0B1DC76}"/>
            </a:ext>
          </a:extLst>
        </xdr:cNvPr>
        <xdr:cNvGrpSpPr/>
      </xdr:nvGrpSpPr>
      <xdr:grpSpPr>
        <a:xfrm>
          <a:off x="4603072" y="124465328"/>
          <a:ext cx="33655" cy="33655"/>
          <a:chOff x="0" y="0"/>
          <a:chExt cx="33655" cy="33655"/>
        </a:xfrm>
      </xdr:grpSpPr>
      <xdr:sp macro="" textlink="">
        <xdr:nvSpPr>
          <xdr:cNvPr id="5143" name="Shape 18">
            <a:extLst>
              <a:ext uri="{FF2B5EF4-FFF2-40B4-BE49-F238E27FC236}">
                <a16:creationId xmlns:a16="http://schemas.microsoft.com/office/drawing/2014/main" id="{0A64F479-4B15-3002-F4BA-47899F8107A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44" name="Shape 19">
            <a:extLst>
              <a:ext uri="{FF2B5EF4-FFF2-40B4-BE49-F238E27FC236}">
                <a16:creationId xmlns:a16="http://schemas.microsoft.com/office/drawing/2014/main" id="{496645D6-14EF-BBB0-0448-CE103D8308B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45" name="Shape 20">
            <a:extLst>
              <a:ext uri="{FF2B5EF4-FFF2-40B4-BE49-F238E27FC236}">
                <a16:creationId xmlns:a16="http://schemas.microsoft.com/office/drawing/2014/main" id="{647D78C0-7FFB-7157-F12F-0F5141A243A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46" name="Shape 21">
            <a:extLst>
              <a:ext uri="{FF2B5EF4-FFF2-40B4-BE49-F238E27FC236}">
                <a16:creationId xmlns:a16="http://schemas.microsoft.com/office/drawing/2014/main" id="{27D5AC8E-6D43-EC35-FC38-EB0796AAC23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47" name="Shape 22">
            <a:extLst>
              <a:ext uri="{FF2B5EF4-FFF2-40B4-BE49-F238E27FC236}">
                <a16:creationId xmlns:a16="http://schemas.microsoft.com/office/drawing/2014/main" id="{CDE8CC66-F305-20BD-7218-4A94152456E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48" name="Shape 23">
            <a:extLst>
              <a:ext uri="{FF2B5EF4-FFF2-40B4-BE49-F238E27FC236}">
                <a16:creationId xmlns:a16="http://schemas.microsoft.com/office/drawing/2014/main" id="{22DC6705-2551-A84D-5B86-DE36897B930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49" name="Shape 24">
            <a:extLst>
              <a:ext uri="{FF2B5EF4-FFF2-40B4-BE49-F238E27FC236}">
                <a16:creationId xmlns:a16="http://schemas.microsoft.com/office/drawing/2014/main" id="{6F14B2F5-FD34-9975-8D00-0B8F5EAFFC7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50" name="Shape 25">
            <a:extLst>
              <a:ext uri="{FF2B5EF4-FFF2-40B4-BE49-F238E27FC236}">
                <a16:creationId xmlns:a16="http://schemas.microsoft.com/office/drawing/2014/main" id="{7B7C62E8-0637-6657-2297-4B7D3A8B32D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51" name="Shape 26">
            <a:extLst>
              <a:ext uri="{FF2B5EF4-FFF2-40B4-BE49-F238E27FC236}">
                <a16:creationId xmlns:a16="http://schemas.microsoft.com/office/drawing/2014/main" id="{021C2F6E-6D7C-4BD9-6CFA-DC3EF64670C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52" name="Shape 27">
            <a:extLst>
              <a:ext uri="{FF2B5EF4-FFF2-40B4-BE49-F238E27FC236}">
                <a16:creationId xmlns:a16="http://schemas.microsoft.com/office/drawing/2014/main" id="{2046FB22-6DAA-2198-4E49-2341801803A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53" name="Shape 28">
            <a:extLst>
              <a:ext uri="{FF2B5EF4-FFF2-40B4-BE49-F238E27FC236}">
                <a16:creationId xmlns:a16="http://schemas.microsoft.com/office/drawing/2014/main" id="{C79E9C43-D436-2033-BDD0-F2170B48AD0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54" name="Shape 29">
            <a:extLst>
              <a:ext uri="{FF2B5EF4-FFF2-40B4-BE49-F238E27FC236}">
                <a16:creationId xmlns:a16="http://schemas.microsoft.com/office/drawing/2014/main" id="{54C6FBDC-0F72-7123-E2CD-C378299A48E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55" name="Shape 30">
            <a:extLst>
              <a:ext uri="{FF2B5EF4-FFF2-40B4-BE49-F238E27FC236}">
                <a16:creationId xmlns:a16="http://schemas.microsoft.com/office/drawing/2014/main" id="{B0880751-410A-B891-85A4-9F7D5998705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56" name="Shape 31">
            <a:extLst>
              <a:ext uri="{FF2B5EF4-FFF2-40B4-BE49-F238E27FC236}">
                <a16:creationId xmlns:a16="http://schemas.microsoft.com/office/drawing/2014/main" id="{BD7DD3EF-D127-7B31-793A-C0DF9A79607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672</xdr:row>
      <xdr:rowOff>3703</xdr:rowOff>
    </xdr:from>
    <xdr:ext cx="33655" cy="33655"/>
    <xdr:grpSp>
      <xdr:nvGrpSpPr>
        <xdr:cNvPr id="5157" name="Group 32">
          <a:extLst>
            <a:ext uri="{FF2B5EF4-FFF2-40B4-BE49-F238E27FC236}">
              <a16:creationId xmlns:a16="http://schemas.microsoft.com/office/drawing/2014/main" id="{3E08EF14-E14A-40C7-9BB7-C81200AFD272}"/>
            </a:ext>
          </a:extLst>
        </xdr:cNvPr>
        <xdr:cNvGrpSpPr/>
      </xdr:nvGrpSpPr>
      <xdr:grpSpPr>
        <a:xfrm>
          <a:off x="4603072" y="124465785"/>
          <a:ext cx="33655" cy="33655"/>
          <a:chOff x="0" y="0"/>
          <a:chExt cx="33655" cy="33655"/>
        </a:xfrm>
      </xdr:grpSpPr>
      <xdr:sp macro="" textlink="">
        <xdr:nvSpPr>
          <xdr:cNvPr id="5158" name="Shape 33">
            <a:extLst>
              <a:ext uri="{FF2B5EF4-FFF2-40B4-BE49-F238E27FC236}">
                <a16:creationId xmlns:a16="http://schemas.microsoft.com/office/drawing/2014/main" id="{5F099E3B-7F6F-C2B1-9DC6-CCD7CCFCE66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59" name="Shape 34">
            <a:extLst>
              <a:ext uri="{FF2B5EF4-FFF2-40B4-BE49-F238E27FC236}">
                <a16:creationId xmlns:a16="http://schemas.microsoft.com/office/drawing/2014/main" id="{962C9CE6-F038-B5F8-C613-6DB4A9F6AD9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60" name="Shape 35">
            <a:extLst>
              <a:ext uri="{FF2B5EF4-FFF2-40B4-BE49-F238E27FC236}">
                <a16:creationId xmlns:a16="http://schemas.microsoft.com/office/drawing/2014/main" id="{EE56B532-549B-440F-2DEA-C2A0EFF1E4E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61" name="Shape 36">
            <a:extLst>
              <a:ext uri="{FF2B5EF4-FFF2-40B4-BE49-F238E27FC236}">
                <a16:creationId xmlns:a16="http://schemas.microsoft.com/office/drawing/2014/main" id="{2D583F29-E461-79AC-D156-E096D8D1FE3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62" name="Shape 37">
            <a:extLst>
              <a:ext uri="{FF2B5EF4-FFF2-40B4-BE49-F238E27FC236}">
                <a16:creationId xmlns:a16="http://schemas.microsoft.com/office/drawing/2014/main" id="{99573010-E055-A79D-FCD6-568A9EE8AE4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63" name="Shape 38">
            <a:extLst>
              <a:ext uri="{FF2B5EF4-FFF2-40B4-BE49-F238E27FC236}">
                <a16:creationId xmlns:a16="http://schemas.microsoft.com/office/drawing/2014/main" id="{3DB4E16D-995B-217E-6423-CBFAFBB8E24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64" name="Shape 39">
            <a:extLst>
              <a:ext uri="{FF2B5EF4-FFF2-40B4-BE49-F238E27FC236}">
                <a16:creationId xmlns:a16="http://schemas.microsoft.com/office/drawing/2014/main" id="{84351409-898E-853E-6940-F052177ABF0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65" name="Shape 40">
            <a:extLst>
              <a:ext uri="{FF2B5EF4-FFF2-40B4-BE49-F238E27FC236}">
                <a16:creationId xmlns:a16="http://schemas.microsoft.com/office/drawing/2014/main" id="{F9E1F368-05C3-64EB-A694-A5E6CECCC7B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66" name="Shape 41">
            <a:extLst>
              <a:ext uri="{FF2B5EF4-FFF2-40B4-BE49-F238E27FC236}">
                <a16:creationId xmlns:a16="http://schemas.microsoft.com/office/drawing/2014/main" id="{0E9A5C96-638E-65D6-1E86-F3FBB5EA0DD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67" name="Shape 42">
            <a:extLst>
              <a:ext uri="{FF2B5EF4-FFF2-40B4-BE49-F238E27FC236}">
                <a16:creationId xmlns:a16="http://schemas.microsoft.com/office/drawing/2014/main" id="{89696FD7-080C-D200-71C6-862107C4455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68" name="Shape 43">
            <a:extLst>
              <a:ext uri="{FF2B5EF4-FFF2-40B4-BE49-F238E27FC236}">
                <a16:creationId xmlns:a16="http://schemas.microsoft.com/office/drawing/2014/main" id="{1B792505-64F7-62B5-128A-C52A622F684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69" name="Shape 44">
            <a:extLst>
              <a:ext uri="{FF2B5EF4-FFF2-40B4-BE49-F238E27FC236}">
                <a16:creationId xmlns:a16="http://schemas.microsoft.com/office/drawing/2014/main" id="{D51A593C-163D-4438-4676-F0F7817DC92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70" name="Shape 45">
            <a:extLst>
              <a:ext uri="{FF2B5EF4-FFF2-40B4-BE49-F238E27FC236}">
                <a16:creationId xmlns:a16="http://schemas.microsoft.com/office/drawing/2014/main" id="{66B440B8-890E-8449-BAAE-9064189961A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71" name="Shape 46">
            <a:extLst>
              <a:ext uri="{FF2B5EF4-FFF2-40B4-BE49-F238E27FC236}">
                <a16:creationId xmlns:a16="http://schemas.microsoft.com/office/drawing/2014/main" id="{D1B83EF3-EE38-0B04-CA74-7A4FBC9794B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672</xdr:row>
      <xdr:rowOff>3409</xdr:rowOff>
    </xdr:from>
    <xdr:ext cx="33655" cy="33655"/>
    <xdr:grpSp>
      <xdr:nvGrpSpPr>
        <xdr:cNvPr id="5172" name="Group 47">
          <a:extLst>
            <a:ext uri="{FF2B5EF4-FFF2-40B4-BE49-F238E27FC236}">
              <a16:creationId xmlns:a16="http://schemas.microsoft.com/office/drawing/2014/main" id="{25B1877C-FA7D-4B79-92CD-2C1F9E3A67B1}"/>
            </a:ext>
          </a:extLst>
        </xdr:cNvPr>
        <xdr:cNvGrpSpPr/>
      </xdr:nvGrpSpPr>
      <xdr:grpSpPr>
        <a:xfrm>
          <a:off x="4603072" y="124465491"/>
          <a:ext cx="33655" cy="33655"/>
          <a:chOff x="0" y="0"/>
          <a:chExt cx="33655" cy="33655"/>
        </a:xfrm>
      </xdr:grpSpPr>
      <xdr:sp macro="" textlink="">
        <xdr:nvSpPr>
          <xdr:cNvPr id="5173" name="Shape 48">
            <a:extLst>
              <a:ext uri="{FF2B5EF4-FFF2-40B4-BE49-F238E27FC236}">
                <a16:creationId xmlns:a16="http://schemas.microsoft.com/office/drawing/2014/main" id="{9F437E9B-29BD-F956-D9F3-60839C9B232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74" name="Shape 49">
            <a:extLst>
              <a:ext uri="{FF2B5EF4-FFF2-40B4-BE49-F238E27FC236}">
                <a16:creationId xmlns:a16="http://schemas.microsoft.com/office/drawing/2014/main" id="{AC999DD8-F039-FBD1-1883-F2F047799CD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75" name="Shape 50">
            <a:extLst>
              <a:ext uri="{FF2B5EF4-FFF2-40B4-BE49-F238E27FC236}">
                <a16:creationId xmlns:a16="http://schemas.microsoft.com/office/drawing/2014/main" id="{92EFD50B-4215-828A-1BFF-CEA1376A184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76" name="Shape 51">
            <a:extLst>
              <a:ext uri="{FF2B5EF4-FFF2-40B4-BE49-F238E27FC236}">
                <a16:creationId xmlns:a16="http://schemas.microsoft.com/office/drawing/2014/main" id="{18F67C8A-140D-5336-4475-7BAE193948A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77" name="Shape 52">
            <a:extLst>
              <a:ext uri="{FF2B5EF4-FFF2-40B4-BE49-F238E27FC236}">
                <a16:creationId xmlns:a16="http://schemas.microsoft.com/office/drawing/2014/main" id="{AE557BCF-060E-3C6A-D3FE-DE33C06AC46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78" name="Shape 53">
            <a:extLst>
              <a:ext uri="{FF2B5EF4-FFF2-40B4-BE49-F238E27FC236}">
                <a16:creationId xmlns:a16="http://schemas.microsoft.com/office/drawing/2014/main" id="{09B696C1-8D79-C7AF-0210-AEB6750CE18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79" name="Shape 54">
            <a:extLst>
              <a:ext uri="{FF2B5EF4-FFF2-40B4-BE49-F238E27FC236}">
                <a16:creationId xmlns:a16="http://schemas.microsoft.com/office/drawing/2014/main" id="{DD8DFFDD-B964-BA28-CF62-4F91885ADB7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80" name="Shape 55">
            <a:extLst>
              <a:ext uri="{FF2B5EF4-FFF2-40B4-BE49-F238E27FC236}">
                <a16:creationId xmlns:a16="http://schemas.microsoft.com/office/drawing/2014/main" id="{81271573-5A5B-BC96-21FC-D9068807034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81" name="Shape 56">
            <a:extLst>
              <a:ext uri="{FF2B5EF4-FFF2-40B4-BE49-F238E27FC236}">
                <a16:creationId xmlns:a16="http://schemas.microsoft.com/office/drawing/2014/main" id="{3E255DA6-1608-5958-16D4-CF546855F62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82" name="Shape 57">
            <a:extLst>
              <a:ext uri="{FF2B5EF4-FFF2-40B4-BE49-F238E27FC236}">
                <a16:creationId xmlns:a16="http://schemas.microsoft.com/office/drawing/2014/main" id="{E08B4CB3-E0DE-41A2-1DDE-FA77B0BC54F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83" name="Shape 58">
            <a:extLst>
              <a:ext uri="{FF2B5EF4-FFF2-40B4-BE49-F238E27FC236}">
                <a16:creationId xmlns:a16="http://schemas.microsoft.com/office/drawing/2014/main" id="{400F1144-0E48-F040-F778-754C9B42B7E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84" name="Shape 59">
            <a:extLst>
              <a:ext uri="{FF2B5EF4-FFF2-40B4-BE49-F238E27FC236}">
                <a16:creationId xmlns:a16="http://schemas.microsoft.com/office/drawing/2014/main" id="{E9BC43EA-872A-CD59-C75C-C1E19F4D137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85" name="Shape 60">
            <a:extLst>
              <a:ext uri="{FF2B5EF4-FFF2-40B4-BE49-F238E27FC236}">
                <a16:creationId xmlns:a16="http://schemas.microsoft.com/office/drawing/2014/main" id="{C62C87FF-97C6-56CC-FC14-822FDEB4B4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186" name="Shape 61">
            <a:extLst>
              <a:ext uri="{FF2B5EF4-FFF2-40B4-BE49-F238E27FC236}">
                <a16:creationId xmlns:a16="http://schemas.microsoft.com/office/drawing/2014/main" id="{A009FEEE-02C1-F385-5C53-3486C6614D6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672</xdr:row>
      <xdr:rowOff>3962</xdr:rowOff>
    </xdr:from>
    <xdr:ext cx="33655" cy="33655"/>
    <xdr:grpSp>
      <xdr:nvGrpSpPr>
        <xdr:cNvPr id="5187" name="Group 62">
          <a:extLst>
            <a:ext uri="{FF2B5EF4-FFF2-40B4-BE49-F238E27FC236}">
              <a16:creationId xmlns:a16="http://schemas.microsoft.com/office/drawing/2014/main" id="{E98D5F50-9BC7-4F47-A34F-D59BEFB8E393}"/>
            </a:ext>
          </a:extLst>
        </xdr:cNvPr>
        <xdr:cNvGrpSpPr/>
      </xdr:nvGrpSpPr>
      <xdr:grpSpPr>
        <a:xfrm>
          <a:off x="4603072" y="124466044"/>
          <a:ext cx="33655" cy="33655"/>
          <a:chOff x="0" y="0"/>
          <a:chExt cx="33655" cy="33655"/>
        </a:xfrm>
      </xdr:grpSpPr>
      <xdr:sp macro="" textlink="">
        <xdr:nvSpPr>
          <xdr:cNvPr id="5188" name="Shape 63">
            <a:extLst>
              <a:ext uri="{FF2B5EF4-FFF2-40B4-BE49-F238E27FC236}">
                <a16:creationId xmlns:a16="http://schemas.microsoft.com/office/drawing/2014/main" id="{C3301F61-B701-CB3C-3322-5CAF1E42EAE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89" name="Shape 64">
            <a:extLst>
              <a:ext uri="{FF2B5EF4-FFF2-40B4-BE49-F238E27FC236}">
                <a16:creationId xmlns:a16="http://schemas.microsoft.com/office/drawing/2014/main" id="{6E955947-0C96-C080-9087-DB919FE4F44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90" name="Shape 65">
            <a:extLst>
              <a:ext uri="{FF2B5EF4-FFF2-40B4-BE49-F238E27FC236}">
                <a16:creationId xmlns:a16="http://schemas.microsoft.com/office/drawing/2014/main" id="{CFAD4DB7-9AA3-649C-6A06-ED24412566F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91" name="Shape 66">
            <a:extLst>
              <a:ext uri="{FF2B5EF4-FFF2-40B4-BE49-F238E27FC236}">
                <a16:creationId xmlns:a16="http://schemas.microsoft.com/office/drawing/2014/main" id="{DFAEE6AB-FD1C-51EA-488E-2666395A6F2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92" name="Shape 67">
            <a:extLst>
              <a:ext uri="{FF2B5EF4-FFF2-40B4-BE49-F238E27FC236}">
                <a16:creationId xmlns:a16="http://schemas.microsoft.com/office/drawing/2014/main" id="{4B84EC01-E6CB-E3E2-9ECA-0DFA73FAC53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93" name="Shape 68">
            <a:extLst>
              <a:ext uri="{FF2B5EF4-FFF2-40B4-BE49-F238E27FC236}">
                <a16:creationId xmlns:a16="http://schemas.microsoft.com/office/drawing/2014/main" id="{F411F69F-C614-D380-2208-0E78F9A3CAC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94" name="Shape 69">
            <a:extLst>
              <a:ext uri="{FF2B5EF4-FFF2-40B4-BE49-F238E27FC236}">
                <a16:creationId xmlns:a16="http://schemas.microsoft.com/office/drawing/2014/main" id="{7865073F-768A-F7D2-1B11-BBDF7FAC367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95" name="Shape 70">
            <a:extLst>
              <a:ext uri="{FF2B5EF4-FFF2-40B4-BE49-F238E27FC236}">
                <a16:creationId xmlns:a16="http://schemas.microsoft.com/office/drawing/2014/main" id="{40EC1F99-C8ED-A309-54E6-5961A6C5F4B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96" name="Shape 71">
            <a:extLst>
              <a:ext uri="{FF2B5EF4-FFF2-40B4-BE49-F238E27FC236}">
                <a16:creationId xmlns:a16="http://schemas.microsoft.com/office/drawing/2014/main" id="{4AD16D50-2966-D6CC-113E-A7CAD1B6712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97" name="Shape 72">
            <a:extLst>
              <a:ext uri="{FF2B5EF4-FFF2-40B4-BE49-F238E27FC236}">
                <a16:creationId xmlns:a16="http://schemas.microsoft.com/office/drawing/2014/main" id="{2073C9AB-1166-C0E0-8ABF-301CDC8AAC4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198" name="Shape 73">
            <a:extLst>
              <a:ext uri="{FF2B5EF4-FFF2-40B4-BE49-F238E27FC236}">
                <a16:creationId xmlns:a16="http://schemas.microsoft.com/office/drawing/2014/main" id="{854ED126-7EAA-2947-7781-346B31A5A2B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199" name="Shape 74">
            <a:extLst>
              <a:ext uri="{FF2B5EF4-FFF2-40B4-BE49-F238E27FC236}">
                <a16:creationId xmlns:a16="http://schemas.microsoft.com/office/drawing/2014/main" id="{1BD50B71-F253-BE46-064B-D1FD46FC0E3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00" name="Shape 75">
            <a:extLst>
              <a:ext uri="{FF2B5EF4-FFF2-40B4-BE49-F238E27FC236}">
                <a16:creationId xmlns:a16="http://schemas.microsoft.com/office/drawing/2014/main" id="{17C239C7-2248-E4CE-9139-AE45417700C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01" name="Shape 76">
            <a:extLst>
              <a:ext uri="{FF2B5EF4-FFF2-40B4-BE49-F238E27FC236}">
                <a16:creationId xmlns:a16="http://schemas.microsoft.com/office/drawing/2014/main" id="{220A8F01-E8E9-C96B-EF3A-2CAD01EBFA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672</xdr:row>
      <xdr:rowOff>2978</xdr:rowOff>
    </xdr:from>
    <xdr:ext cx="33655" cy="33655"/>
    <xdr:grpSp>
      <xdr:nvGrpSpPr>
        <xdr:cNvPr id="5202" name="Group 2">
          <a:extLst>
            <a:ext uri="{FF2B5EF4-FFF2-40B4-BE49-F238E27FC236}">
              <a16:creationId xmlns:a16="http://schemas.microsoft.com/office/drawing/2014/main" id="{6B2D3249-3036-49F3-AC49-014D93D7957A}"/>
            </a:ext>
          </a:extLst>
        </xdr:cNvPr>
        <xdr:cNvGrpSpPr/>
      </xdr:nvGrpSpPr>
      <xdr:grpSpPr>
        <a:xfrm>
          <a:off x="4603072" y="124465060"/>
          <a:ext cx="33655" cy="33655"/>
          <a:chOff x="0" y="0"/>
          <a:chExt cx="33655" cy="33655"/>
        </a:xfrm>
      </xdr:grpSpPr>
      <xdr:sp macro="" textlink="">
        <xdr:nvSpPr>
          <xdr:cNvPr id="5203" name="Shape 3">
            <a:extLst>
              <a:ext uri="{FF2B5EF4-FFF2-40B4-BE49-F238E27FC236}">
                <a16:creationId xmlns:a16="http://schemas.microsoft.com/office/drawing/2014/main" id="{6A2BEFCE-90D8-1882-6A9E-E42FF19988D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04" name="Shape 4">
            <a:extLst>
              <a:ext uri="{FF2B5EF4-FFF2-40B4-BE49-F238E27FC236}">
                <a16:creationId xmlns:a16="http://schemas.microsoft.com/office/drawing/2014/main" id="{D03D1F6C-C96E-1348-179C-B058C53B5AB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05" name="Shape 5">
            <a:extLst>
              <a:ext uri="{FF2B5EF4-FFF2-40B4-BE49-F238E27FC236}">
                <a16:creationId xmlns:a16="http://schemas.microsoft.com/office/drawing/2014/main" id="{D3F8E170-7C95-4068-4670-3101E7E1C10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06" name="Shape 6">
            <a:extLst>
              <a:ext uri="{FF2B5EF4-FFF2-40B4-BE49-F238E27FC236}">
                <a16:creationId xmlns:a16="http://schemas.microsoft.com/office/drawing/2014/main" id="{D85C15F7-913A-159A-7A6A-548FBC238BC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07" name="Shape 7">
            <a:extLst>
              <a:ext uri="{FF2B5EF4-FFF2-40B4-BE49-F238E27FC236}">
                <a16:creationId xmlns:a16="http://schemas.microsoft.com/office/drawing/2014/main" id="{AAADA256-25DD-E163-1296-658767E5B9F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08" name="Shape 8">
            <a:extLst>
              <a:ext uri="{FF2B5EF4-FFF2-40B4-BE49-F238E27FC236}">
                <a16:creationId xmlns:a16="http://schemas.microsoft.com/office/drawing/2014/main" id="{F9ECA25E-5492-9430-3AB1-2EF157D3FBF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09" name="Shape 9">
            <a:extLst>
              <a:ext uri="{FF2B5EF4-FFF2-40B4-BE49-F238E27FC236}">
                <a16:creationId xmlns:a16="http://schemas.microsoft.com/office/drawing/2014/main" id="{0E5A13ED-75F1-41EB-8674-DE07CCEEC2B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10" name="Shape 10">
            <a:extLst>
              <a:ext uri="{FF2B5EF4-FFF2-40B4-BE49-F238E27FC236}">
                <a16:creationId xmlns:a16="http://schemas.microsoft.com/office/drawing/2014/main" id="{3B0C5063-6B2E-7DD8-430B-E3B501D5553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11" name="Shape 11">
            <a:extLst>
              <a:ext uri="{FF2B5EF4-FFF2-40B4-BE49-F238E27FC236}">
                <a16:creationId xmlns:a16="http://schemas.microsoft.com/office/drawing/2014/main" id="{AB0D3C73-E250-7F93-6102-2F4F561EF69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12" name="Shape 12">
            <a:extLst>
              <a:ext uri="{FF2B5EF4-FFF2-40B4-BE49-F238E27FC236}">
                <a16:creationId xmlns:a16="http://schemas.microsoft.com/office/drawing/2014/main" id="{54E6FD5C-F6A0-C208-491E-3C4BE375518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13" name="Shape 13">
            <a:extLst>
              <a:ext uri="{FF2B5EF4-FFF2-40B4-BE49-F238E27FC236}">
                <a16:creationId xmlns:a16="http://schemas.microsoft.com/office/drawing/2014/main" id="{6D7C6C96-B5CB-963E-9E00-86FC5DCB3ED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14" name="Shape 14">
            <a:extLst>
              <a:ext uri="{FF2B5EF4-FFF2-40B4-BE49-F238E27FC236}">
                <a16:creationId xmlns:a16="http://schemas.microsoft.com/office/drawing/2014/main" id="{2E1FEAB6-58FF-1448-430F-7BD29E18D35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15" name="Shape 15">
            <a:extLst>
              <a:ext uri="{FF2B5EF4-FFF2-40B4-BE49-F238E27FC236}">
                <a16:creationId xmlns:a16="http://schemas.microsoft.com/office/drawing/2014/main" id="{E18360BB-E99D-CCCC-D3AF-91EB7D0C721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16" name="Shape 16">
            <a:extLst>
              <a:ext uri="{FF2B5EF4-FFF2-40B4-BE49-F238E27FC236}">
                <a16:creationId xmlns:a16="http://schemas.microsoft.com/office/drawing/2014/main" id="{4F773F1D-A39D-E825-FFE8-75F145E3064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672</xdr:row>
      <xdr:rowOff>3246</xdr:rowOff>
    </xdr:from>
    <xdr:ext cx="33655" cy="33655"/>
    <xdr:grpSp>
      <xdr:nvGrpSpPr>
        <xdr:cNvPr id="5217" name="Group 17">
          <a:extLst>
            <a:ext uri="{FF2B5EF4-FFF2-40B4-BE49-F238E27FC236}">
              <a16:creationId xmlns:a16="http://schemas.microsoft.com/office/drawing/2014/main" id="{D061388B-881C-4FA2-9FAB-36D0D034168B}"/>
            </a:ext>
          </a:extLst>
        </xdr:cNvPr>
        <xdr:cNvGrpSpPr/>
      </xdr:nvGrpSpPr>
      <xdr:grpSpPr>
        <a:xfrm>
          <a:off x="4603072" y="124465328"/>
          <a:ext cx="33655" cy="33655"/>
          <a:chOff x="0" y="0"/>
          <a:chExt cx="33655" cy="33655"/>
        </a:xfrm>
      </xdr:grpSpPr>
      <xdr:sp macro="" textlink="">
        <xdr:nvSpPr>
          <xdr:cNvPr id="5218" name="Shape 18">
            <a:extLst>
              <a:ext uri="{FF2B5EF4-FFF2-40B4-BE49-F238E27FC236}">
                <a16:creationId xmlns:a16="http://schemas.microsoft.com/office/drawing/2014/main" id="{1519C26F-B36D-65D4-84BF-128E60F3CB4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19" name="Shape 19">
            <a:extLst>
              <a:ext uri="{FF2B5EF4-FFF2-40B4-BE49-F238E27FC236}">
                <a16:creationId xmlns:a16="http://schemas.microsoft.com/office/drawing/2014/main" id="{93921F45-085A-78DD-4C76-1614940200A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20" name="Shape 20">
            <a:extLst>
              <a:ext uri="{FF2B5EF4-FFF2-40B4-BE49-F238E27FC236}">
                <a16:creationId xmlns:a16="http://schemas.microsoft.com/office/drawing/2014/main" id="{24024C24-B8D4-12BD-F7E1-3AE8180F1B5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21" name="Shape 21">
            <a:extLst>
              <a:ext uri="{FF2B5EF4-FFF2-40B4-BE49-F238E27FC236}">
                <a16:creationId xmlns:a16="http://schemas.microsoft.com/office/drawing/2014/main" id="{A7804F47-252E-721A-D71C-982103AEA97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22" name="Shape 22">
            <a:extLst>
              <a:ext uri="{FF2B5EF4-FFF2-40B4-BE49-F238E27FC236}">
                <a16:creationId xmlns:a16="http://schemas.microsoft.com/office/drawing/2014/main" id="{97B4C597-8774-9D25-AF8E-DB9EA239EE7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23" name="Shape 23">
            <a:extLst>
              <a:ext uri="{FF2B5EF4-FFF2-40B4-BE49-F238E27FC236}">
                <a16:creationId xmlns:a16="http://schemas.microsoft.com/office/drawing/2014/main" id="{2F952C98-0F3A-0517-DF4E-E997A7DA595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24" name="Shape 24">
            <a:extLst>
              <a:ext uri="{FF2B5EF4-FFF2-40B4-BE49-F238E27FC236}">
                <a16:creationId xmlns:a16="http://schemas.microsoft.com/office/drawing/2014/main" id="{7FF4D085-FB14-3A34-D063-3CBA361A895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25" name="Shape 25">
            <a:extLst>
              <a:ext uri="{FF2B5EF4-FFF2-40B4-BE49-F238E27FC236}">
                <a16:creationId xmlns:a16="http://schemas.microsoft.com/office/drawing/2014/main" id="{B79ACAA3-7680-F0E7-0AE9-43A6C795059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26" name="Shape 26">
            <a:extLst>
              <a:ext uri="{FF2B5EF4-FFF2-40B4-BE49-F238E27FC236}">
                <a16:creationId xmlns:a16="http://schemas.microsoft.com/office/drawing/2014/main" id="{7CFB9271-6DB4-D10F-D548-488D9D6A070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27" name="Shape 27">
            <a:extLst>
              <a:ext uri="{FF2B5EF4-FFF2-40B4-BE49-F238E27FC236}">
                <a16:creationId xmlns:a16="http://schemas.microsoft.com/office/drawing/2014/main" id="{CFFE5960-A141-D51A-2F2D-8CF02EAB514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28" name="Shape 28">
            <a:extLst>
              <a:ext uri="{FF2B5EF4-FFF2-40B4-BE49-F238E27FC236}">
                <a16:creationId xmlns:a16="http://schemas.microsoft.com/office/drawing/2014/main" id="{41291EAF-82A4-328E-C4BC-4260152A834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29" name="Shape 29">
            <a:extLst>
              <a:ext uri="{FF2B5EF4-FFF2-40B4-BE49-F238E27FC236}">
                <a16:creationId xmlns:a16="http://schemas.microsoft.com/office/drawing/2014/main" id="{9AAC0912-D1FE-C486-DE51-3441A07BC3D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30" name="Shape 30">
            <a:extLst>
              <a:ext uri="{FF2B5EF4-FFF2-40B4-BE49-F238E27FC236}">
                <a16:creationId xmlns:a16="http://schemas.microsoft.com/office/drawing/2014/main" id="{510BCD3B-5C19-A380-F4B0-20331990C71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31" name="Shape 31">
            <a:extLst>
              <a:ext uri="{FF2B5EF4-FFF2-40B4-BE49-F238E27FC236}">
                <a16:creationId xmlns:a16="http://schemas.microsoft.com/office/drawing/2014/main" id="{1030CE34-1D0A-306C-C26A-8AA3E984A7D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672</xdr:row>
      <xdr:rowOff>3703</xdr:rowOff>
    </xdr:from>
    <xdr:ext cx="33655" cy="33655"/>
    <xdr:grpSp>
      <xdr:nvGrpSpPr>
        <xdr:cNvPr id="5232" name="Group 32">
          <a:extLst>
            <a:ext uri="{FF2B5EF4-FFF2-40B4-BE49-F238E27FC236}">
              <a16:creationId xmlns:a16="http://schemas.microsoft.com/office/drawing/2014/main" id="{696E1480-2686-46CB-ABF5-13CDE1606137}"/>
            </a:ext>
          </a:extLst>
        </xdr:cNvPr>
        <xdr:cNvGrpSpPr/>
      </xdr:nvGrpSpPr>
      <xdr:grpSpPr>
        <a:xfrm>
          <a:off x="4603072" y="124465785"/>
          <a:ext cx="33655" cy="33655"/>
          <a:chOff x="0" y="0"/>
          <a:chExt cx="33655" cy="33655"/>
        </a:xfrm>
      </xdr:grpSpPr>
      <xdr:sp macro="" textlink="">
        <xdr:nvSpPr>
          <xdr:cNvPr id="5233" name="Shape 33">
            <a:extLst>
              <a:ext uri="{FF2B5EF4-FFF2-40B4-BE49-F238E27FC236}">
                <a16:creationId xmlns:a16="http://schemas.microsoft.com/office/drawing/2014/main" id="{A83EFA37-F28E-0E02-999A-49B86AEC79E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34" name="Shape 34">
            <a:extLst>
              <a:ext uri="{FF2B5EF4-FFF2-40B4-BE49-F238E27FC236}">
                <a16:creationId xmlns:a16="http://schemas.microsoft.com/office/drawing/2014/main" id="{8468C86D-3535-4C95-BA5F-7A9D69201C1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35" name="Shape 35">
            <a:extLst>
              <a:ext uri="{FF2B5EF4-FFF2-40B4-BE49-F238E27FC236}">
                <a16:creationId xmlns:a16="http://schemas.microsoft.com/office/drawing/2014/main" id="{3C5275DC-98AA-C4EE-B3E3-1BE3F739F6B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36" name="Shape 36">
            <a:extLst>
              <a:ext uri="{FF2B5EF4-FFF2-40B4-BE49-F238E27FC236}">
                <a16:creationId xmlns:a16="http://schemas.microsoft.com/office/drawing/2014/main" id="{B4D957BB-7113-0F77-0307-EB7DBB34936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37" name="Shape 37">
            <a:extLst>
              <a:ext uri="{FF2B5EF4-FFF2-40B4-BE49-F238E27FC236}">
                <a16:creationId xmlns:a16="http://schemas.microsoft.com/office/drawing/2014/main" id="{3BB372E5-12E5-13A0-B1AC-F3B296C20CB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38" name="Shape 38">
            <a:extLst>
              <a:ext uri="{FF2B5EF4-FFF2-40B4-BE49-F238E27FC236}">
                <a16:creationId xmlns:a16="http://schemas.microsoft.com/office/drawing/2014/main" id="{03EFCBD9-45E2-543E-84A1-852596C197A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39" name="Shape 39">
            <a:extLst>
              <a:ext uri="{FF2B5EF4-FFF2-40B4-BE49-F238E27FC236}">
                <a16:creationId xmlns:a16="http://schemas.microsoft.com/office/drawing/2014/main" id="{F1330407-8F37-D641-A012-9E1D13DC984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40" name="Shape 40">
            <a:extLst>
              <a:ext uri="{FF2B5EF4-FFF2-40B4-BE49-F238E27FC236}">
                <a16:creationId xmlns:a16="http://schemas.microsoft.com/office/drawing/2014/main" id="{2D44F560-641A-4047-F0CA-15BC624021C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41" name="Shape 41">
            <a:extLst>
              <a:ext uri="{FF2B5EF4-FFF2-40B4-BE49-F238E27FC236}">
                <a16:creationId xmlns:a16="http://schemas.microsoft.com/office/drawing/2014/main" id="{2EF3260F-C18D-6DC5-4265-5C3FEAFAE87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42" name="Shape 42">
            <a:extLst>
              <a:ext uri="{FF2B5EF4-FFF2-40B4-BE49-F238E27FC236}">
                <a16:creationId xmlns:a16="http://schemas.microsoft.com/office/drawing/2014/main" id="{223D6A35-45F1-DEE5-F715-AE5FE640F56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43" name="Shape 43">
            <a:extLst>
              <a:ext uri="{FF2B5EF4-FFF2-40B4-BE49-F238E27FC236}">
                <a16:creationId xmlns:a16="http://schemas.microsoft.com/office/drawing/2014/main" id="{C889D620-71C8-8C85-0B76-0B96574A2EF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44" name="Shape 44">
            <a:extLst>
              <a:ext uri="{FF2B5EF4-FFF2-40B4-BE49-F238E27FC236}">
                <a16:creationId xmlns:a16="http://schemas.microsoft.com/office/drawing/2014/main" id="{252004E6-E73C-1306-D967-DA85558944D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45" name="Shape 45">
            <a:extLst>
              <a:ext uri="{FF2B5EF4-FFF2-40B4-BE49-F238E27FC236}">
                <a16:creationId xmlns:a16="http://schemas.microsoft.com/office/drawing/2014/main" id="{7BF7C757-AD2C-EC3B-E7AE-C264494909A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46" name="Shape 46">
            <a:extLst>
              <a:ext uri="{FF2B5EF4-FFF2-40B4-BE49-F238E27FC236}">
                <a16:creationId xmlns:a16="http://schemas.microsoft.com/office/drawing/2014/main" id="{4B6F9124-093F-8132-76F5-5AB2FEC5A41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672</xdr:row>
      <xdr:rowOff>3409</xdr:rowOff>
    </xdr:from>
    <xdr:ext cx="33655" cy="33655"/>
    <xdr:grpSp>
      <xdr:nvGrpSpPr>
        <xdr:cNvPr id="5247" name="Group 47">
          <a:extLst>
            <a:ext uri="{FF2B5EF4-FFF2-40B4-BE49-F238E27FC236}">
              <a16:creationId xmlns:a16="http://schemas.microsoft.com/office/drawing/2014/main" id="{09EA7110-7647-4A03-9682-03455A4F46A8}"/>
            </a:ext>
          </a:extLst>
        </xdr:cNvPr>
        <xdr:cNvGrpSpPr/>
      </xdr:nvGrpSpPr>
      <xdr:grpSpPr>
        <a:xfrm>
          <a:off x="4603072" y="124465491"/>
          <a:ext cx="33655" cy="33655"/>
          <a:chOff x="0" y="0"/>
          <a:chExt cx="33655" cy="33655"/>
        </a:xfrm>
      </xdr:grpSpPr>
      <xdr:sp macro="" textlink="">
        <xdr:nvSpPr>
          <xdr:cNvPr id="5248" name="Shape 48">
            <a:extLst>
              <a:ext uri="{FF2B5EF4-FFF2-40B4-BE49-F238E27FC236}">
                <a16:creationId xmlns:a16="http://schemas.microsoft.com/office/drawing/2014/main" id="{76897276-F249-A54B-5724-C66B7D477C4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49" name="Shape 49">
            <a:extLst>
              <a:ext uri="{FF2B5EF4-FFF2-40B4-BE49-F238E27FC236}">
                <a16:creationId xmlns:a16="http://schemas.microsoft.com/office/drawing/2014/main" id="{C2695A3B-C927-525F-3496-17682C1384E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50" name="Shape 50">
            <a:extLst>
              <a:ext uri="{FF2B5EF4-FFF2-40B4-BE49-F238E27FC236}">
                <a16:creationId xmlns:a16="http://schemas.microsoft.com/office/drawing/2014/main" id="{6E8DB8FF-6D58-7F96-C6B5-7B1A669114F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51" name="Shape 51">
            <a:extLst>
              <a:ext uri="{FF2B5EF4-FFF2-40B4-BE49-F238E27FC236}">
                <a16:creationId xmlns:a16="http://schemas.microsoft.com/office/drawing/2014/main" id="{AC98524C-AB1C-7772-F99D-B29BF781241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52" name="Shape 52">
            <a:extLst>
              <a:ext uri="{FF2B5EF4-FFF2-40B4-BE49-F238E27FC236}">
                <a16:creationId xmlns:a16="http://schemas.microsoft.com/office/drawing/2014/main" id="{A77636F5-DA57-49B3-897E-5A167E65D1C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53" name="Shape 53">
            <a:extLst>
              <a:ext uri="{FF2B5EF4-FFF2-40B4-BE49-F238E27FC236}">
                <a16:creationId xmlns:a16="http://schemas.microsoft.com/office/drawing/2014/main" id="{6DC30EB1-4601-666F-E227-65BD930C198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54" name="Shape 54">
            <a:extLst>
              <a:ext uri="{FF2B5EF4-FFF2-40B4-BE49-F238E27FC236}">
                <a16:creationId xmlns:a16="http://schemas.microsoft.com/office/drawing/2014/main" id="{CBEE5124-FF3F-2425-C051-1E2EA84088A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55" name="Shape 55">
            <a:extLst>
              <a:ext uri="{FF2B5EF4-FFF2-40B4-BE49-F238E27FC236}">
                <a16:creationId xmlns:a16="http://schemas.microsoft.com/office/drawing/2014/main" id="{23B410AE-A8CC-AEC9-CE1A-A845DB3FD34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56" name="Shape 56">
            <a:extLst>
              <a:ext uri="{FF2B5EF4-FFF2-40B4-BE49-F238E27FC236}">
                <a16:creationId xmlns:a16="http://schemas.microsoft.com/office/drawing/2014/main" id="{F89A9053-6A78-6EAD-BC07-AD8B2B2C564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57" name="Shape 57">
            <a:extLst>
              <a:ext uri="{FF2B5EF4-FFF2-40B4-BE49-F238E27FC236}">
                <a16:creationId xmlns:a16="http://schemas.microsoft.com/office/drawing/2014/main" id="{E4014242-FCAB-E73C-8F1E-70DAFD65B9E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58" name="Shape 58">
            <a:extLst>
              <a:ext uri="{FF2B5EF4-FFF2-40B4-BE49-F238E27FC236}">
                <a16:creationId xmlns:a16="http://schemas.microsoft.com/office/drawing/2014/main" id="{007F5915-B714-A137-7BFD-3FE8CE08AA8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59" name="Shape 59">
            <a:extLst>
              <a:ext uri="{FF2B5EF4-FFF2-40B4-BE49-F238E27FC236}">
                <a16:creationId xmlns:a16="http://schemas.microsoft.com/office/drawing/2014/main" id="{BBA9C226-9C60-1223-42CB-883CB25C66A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60" name="Shape 60">
            <a:extLst>
              <a:ext uri="{FF2B5EF4-FFF2-40B4-BE49-F238E27FC236}">
                <a16:creationId xmlns:a16="http://schemas.microsoft.com/office/drawing/2014/main" id="{DCB0CFCC-3642-87A1-622D-BACEB297D30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61" name="Shape 61">
            <a:extLst>
              <a:ext uri="{FF2B5EF4-FFF2-40B4-BE49-F238E27FC236}">
                <a16:creationId xmlns:a16="http://schemas.microsoft.com/office/drawing/2014/main" id="{5CF3C477-135C-20D6-74C3-32CF5AC81FD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672</xdr:row>
      <xdr:rowOff>3962</xdr:rowOff>
    </xdr:from>
    <xdr:ext cx="33655" cy="33655"/>
    <xdr:grpSp>
      <xdr:nvGrpSpPr>
        <xdr:cNvPr id="5262" name="Group 62">
          <a:extLst>
            <a:ext uri="{FF2B5EF4-FFF2-40B4-BE49-F238E27FC236}">
              <a16:creationId xmlns:a16="http://schemas.microsoft.com/office/drawing/2014/main" id="{5C7F6E30-0101-43FD-A538-5451415B2047}"/>
            </a:ext>
          </a:extLst>
        </xdr:cNvPr>
        <xdr:cNvGrpSpPr/>
      </xdr:nvGrpSpPr>
      <xdr:grpSpPr>
        <a:xfrm>
          <a:off x="4603072" y="124466044"/>
          <a:ext cx="33655" cy="33655"/>
          <a:chOff x="0" y="0"/>
          <a:chExt cx="33655" cy="33655"/>
        </a:xfrm>
      </xdr:grpSpPr>
      <xdr:sp macro="" textlink="">
        <xdr:nvSpPr>
          <xdr:cNvPr id="5263" name="Shape 63">
            <a:extLst>
              <a:ext uri="{FF2B5EF4-FFF2-40B4-BE49-F238E27FC236}">
                <a16:creationId xmlns:a16="http://schemas.microsoft.com/office/drawing/2014/main" id="{4C0DEFC2-E359-F64D-BC67-7E9A53C848F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64" name="Shape 64">
            <a:extLst>
              <a:ext uri="{FF2B5EF4-FFF2-40B4-BE49-F238E27FC236}">
                <a16:creationId xmlns:a16="http://schemas.microsoft.com/office/drawing/2014/main" id="{002018E9-AE93-D378-7E76-84333E8551F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65" name="Shape 65">
            <a:extLst>
              <a:ext uri="{FF2B5EF4-FFF2-40B4-BE49-F238E27FC236}">
                <a16:creationId xmlns:a16="http://schemas.microsoft.com/office/drawing/2014/main" id="{96C50E7D-56D8-BAA4-F811-7F441F1FF54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66" name="Shape 66">
            <a:extLst>
              <a:ext uri="{FF2B5EF4-FFF2-40B4-BE49-F238E27FC236}">
                <a16:creationId xmlns:a16="http://schemas.microsoft.com/office/drawing/2014/main" id="{BCEE4D04-9D13-17B7-D328-DF7C5CA2FD7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67" name="Shape 67">
            <a:extLst>
              <a:ext uri="{FF2B5EF4-FFF2-40B4-BE49-F238E27FC236}">
                <a16:creationId xmlns:a16="http://schemas.microsoft.com/office/drawing/2014/main" id="{BF8558E5-3C85-0BD5-9AC3-5149ABE4B97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68" name="Shape 68">
            <a:extLst>
              <a:ext uri="{FF2B5EF4-FFF2-40B4-BE49-F238E27FC236}">
                <a16:creationId xmlns:a16="http://schemas.microsoft.com/office/drawing/2014/main" id="{40F22100-3E53-CE3B-341E-29727B04401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69" name="Shape 69">
            <a:extLst>
              <a:ext uri="{FF2B5EF4-FFF2-40B4-BE49-F238E27FC236}">
                <a16:creationId xmlns:a16="http://schemas.microsoft.com/office/drawing/2014/main" id="{DA4666A1-678F-743E-DE89-40851FBBF96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70" name="Shape 70">
            <a:extLst>
              <a:ext uri="{FF2B5EF4-FFF2-40B4-BE49-F238E27FC236}">
                <a16:creationId xmlns:a16="http://schemas.microsoft.com/office/drawing/2014/main" id="{BF7C58C2-8BC8-B4CF-8196-9E2C9BE792E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71" name="Shape 71">
            <a:extLst>
              <a:ext uri="{FF2B5EF4-FFF2-40B4-BE49-F238E27FC236}">
                <a16:creationId xmlns:a16="http://schemas.microsoft.com/office/drawing/2014/main" id="{769EC391-EA96-2178-13AB-1CAEBFE14B0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72" name="Shape 72">
            <a:extLst>
              <a:ext uri="{FF2B5EF4-FFF2-40B4-BE49-F238E27FC236}">
                <a16:creationId xmlns:a16="http://schemas.microsoft.com/office/drawing/2014/main" id="{06BD7925-8179-5614-09FE-F6A07ED270A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73" name="Shape 73">
            <a:extLst>
              <a:ext uri="{FF2B5EF4-FFF2-40B4-BE49-F238E27FC236}">
                <a16:creationId xmlns:a16="http://schemas.microsoft.com/office/drawing/2014/main" id="{F42D30CC-AE89-EC0E-236D-008CB3363D4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74" name="Shape 74">
            <a:extLst>
              <a:ext uri="{FF2B5EF4-FFF2-40B4-BE49-F238E27FC236}">
                <a16:creationId xmlns:a16="http://schemas.microsoft.com/office/drawing/2014/main" id="{C61C4D7B-48D5-20F3-4B3D-5C6095D2C0A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75" name="Shape 75">
            <a:extLst>
              <a:ext uri="{FF2B5EF4-FFF2-40B4-BE49-F238E27FC236}">
                <a16:creationId xmlns:a16="http://schemas.microsoft.com/office/drawing/2014/main" id="{6F7E98D1-6E40-6D67-9F3E-E3626B6AECD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276" name="Shape 76">
            <a:extLst>
              <a:ext uri="{FF2B5EF4-FFF2-40B4-BE49-F238E27FC236}">
                <a16:creationId xmlns:a16="http://schemas.microsoft.com/office/drawing/2014/main" id="{EC14AE01-FA87-4342-662C-1E94E1E42F5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684</xdr:row>
      <xdr:rowOff>2978</xdr:rowOff>
    </xdr:from>
    <xdr:ext cx="33655" cy="33655"/>
    <xdr:grpSp>
      <xdr:nvGrpSpPr>
        <xdr:cNvPr id="5277" name="Group 2">
          <a:extLst>
            <a:ext uri="{FF2B5EF4-FFF2-40B4-BE49-F238E27FC236}">
              <a16:creationId xmlns:a16="http://schemas.microsoft.com/office/drawing/2014/main" id="{4374C3C9-760B-4B9C-9B94-4848C59F0F83}"/>
            </a:ext>
          </a:extLst>
        </xdr:cNvPr>
        <xdr:cNvGrpSpPr/>
      </xdr:nvGrpSpPr>
      <xdr:grpSpPr>
        <a:xfrm>
          <a:off x="4603072" y="126607404"/>
          <a:ext cx="33655" cy="33655"/>
          <a:chOff x="0" y="0"/>
          <a:chExt cx="33655" cy="33655"/>
        </a:xfrm>
      </xdr:grpSpPr>
      <xdr:sp macro="" textlink="">
        <xdr:nvSpPr>
          <xdr:cNvPr id="5278" name="Shape 3">
            <a:extLst>
              <a:ext uri="{FF2B5EF4-FFF2-40B4-BE49-F238E27FC236}">
                <a16:creationId xmlns:a16="http://schemas.microsoft.com/office/drawing/2014/main" id="{D932E73F-8DAC-9240-1CDC-0EFB450BFA7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79" name="Shape 4">
            <a:extLst>
              <a:ext uri="{FF2B5EF4-FFF2-40B4-BE49-F238E27FC236}">
                <a16:creationId xmlns:a16="http://schemas.microsoft.com/office/drawing/2014/main" id="{45271A81-C0B8-8C71-B611-2BBD65E91B4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80" name="Shape 5">
            <a:extLst>
              <a:ext uri="{FF2B5EF4-FFF2-40B4-BE49-F238E27FC236}">
                <a16:creationId xmlns:a16="http://schemas.microsoft.com/office/drawing/2014/main" id="{C508C24A-D29A-2282-E46E-4489B079834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81" name="Shape 6">
            <a:extLst>
              <a:ext uri="{FF2B5EF4-FFF2-40B4-BE49-F238E27FC236}">
                <a16:creationId xmlns:a16="http://schemas.microsoft.com/office/drawing/2014/main" id="{07DE98A4-0DCE-99F3-AF53-2434EA5852B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82" name="Shape 7">
            <a:extLst>
              <a:ext uri="{FF2B5EF4-FFF2-40B4-BE49-F238E27FC236}">
                <a16:creationId xmlns:a16="http://schemas.microsoft.com/office/drawing/2014/main" id="{B956457B-4C3F-383B-F63B-849CE568FD8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83" name="Shape 8">
            <a:extLst>
              <a:ext uri="{FF2B5EF4-FFF2-40B4-BE49-F238E27FC236}">
                <a16:creationId xmlns:a16="http://schemas.microsoft.com/office/drawing/2014/main" id="{E806E954-773E-C9C4-2933-154B827F2FC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84" name="Shape 9">
            <a:extLst>
              <a:ext uri="{FF2B5EF4-FFF2-40B4-BE49-F238E27FC236}">
                <a16:creationId xmlns:a16="http://schemas.microsoft.com/office/drawing/2014/main" id="{59A1CC1A-AAF3-F06B-3147-8EF75D1B21E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85" name="Shape 10">
            <a:extLst>
              <a:ext uri="{FF2B5EF4-FFF2-40B4-BE49-F238E27FC236}">
                <a16:creationId xmlns:a16="http://schemas.microsoft.com/office/drawing/2014/main" id="{18803502-5E92-49F7-1CEA-0C2C5137110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86" name="Shape 11">
            <a:extLst>
              <a:ext uri="{FF2B5EF4-FFF2-40B4-BE49-F238E27FC236}">
                <a16:creationId xmlns:a16="http://schemas.microsoft.com/office/drawing/2014/main" id="{FA3BD466-EDE6-D5E5-1E44-093060107C2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87" name="Shape 12">
            <a:extLst>
              <a:ext uri="{FF2B5EF4-FFF2-40B4-BE49-F238E27FC236}">
                <a16:creationId xmlns:a16="http://schemas.microsoft.com/office/drawing/2014/main" id="{D54E8EC1-9E9F-C84A-EC03-E2C1E4E1647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88" name="Shape 13">
            <a:extLst>
              <a:ext uri="{FF2B5EF4-FFF2-40B4-BE49-F238E27FC236}">
                <a16:creationId xmlns:a16="http://schemas.microsoft.com/office/drawing/2014/main" id="{BF054C2F-1B06-B156-E402-B3709F2D855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89" name="Shape 14">
            <a:extLst>
              <a:ext uri="{FF2B5EF4-FFF2-40B4-BE49-F238E27FC236}">
                <a16:creationId xmlns:a16="http://schemas.microsoft.com/office/drawing/2014/main" id="{9F2E38E2-4F5D-EEF2-709A-796931A91DD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90" name="Shape 15">
            <a:extLst>
              <a:ext uri="{FF2B5EF4-FFF2-40B4-BE49-F238E27FC236}">
                <a16:creationId xmlns:a16="http://schemas.microsoft.com/office/drawing/2014/main" id="{F296A10F-813D-DEAF-33EB-13C94865430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91" name="Shape 16">
            <a:extLst>
              <a:ext uri="{FF2B5EF4-FFF2-40B4-BE49-F238E27FC236}">
                <a16:creationId xmlns:a16="http://schemas.microsoft.com/office/drawing/2014/main" id="{A2D0BEA1-06B3-83F2-0261-ED4CDDCBC13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684</xdr:row>
      <xdr:rowOff>3246</xdr:rowOff>
    </xdr:from>
    <xdr:ext cx="33655" cy="33655"/>
    <xdr:grpSp>
      <xdr:nvGrpSpPr>
        <xdr:cNvPr id="5292" name="Group 17">
          <a:extLst>
            <a:ext uri="{FF2B5EF4-FFF2-40B4-BE49-F238E27FC236}">
              <a16:creationId xmlns:a16="http://schemas.microsoft.com/office/drawing/2014/main" id="{C5C36575-C68C-4300-82C7-9A95B938EA10}"/>
            </a:ext>
          </a:extLst>
        </xdr:cNvPr>
        <xdr:cNvGrpSpPr/>
      </xdr:nvGrpSpPr>
      <xdr:grpSpPr>
        <a:xfrm>
          <a:off x="4603072" y="126607672"/>
          <a:ext cx="33655" cy="33655"/>
          <a:chOff x="0" y="0"/>
          <a:chExt cx="33655" cy="33655"/>
        </a:xfrm>
      </xdr:grpSpPr>
      <xdr:sp macro="" textlink="">
        <xdr:nvSpPr>
          <xdr:cNvPr id="5293" name="Shape 18">
            <a:extLst>
              <a:ext uri="{FF2B5EF4-FFF2-40B4-BE49-F238E27FC236}">
                <a16:creationId xmlns:a16="http://schemas.microsoft.com/office/drawing/2014/main" id="{C6E82896-6B4A-2D82-94BA-40A2975FF37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94" name="Shape 19">
            <a:extLst>
              <a:ext uri="{FF2B5EF4-FFF2-40B4-BE49-F238E27FC236}">
                <a16:creationId xmlns:a16="http://schemas.microsoft.com/office/drawing/2014/main" id="{30788E2F-5F5D-1A74-388B-5D85DB42F50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95" name="Shape 20">
            <a:extLst>
              <a:ext uri="{FF2B5EF4-FFF2-40B4-BE49-F238E27FC236}">
                <a16:creationId xmlns:a16="http://schemas.microsoft.com/office/drawing/2014/main" id="{E02A0CB0-DFBB-23AD-A4C3-FDC1BD93BF6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96" name="Shape 21">
            <a:extLst>
              <a:ext uri="{FF2B5EF4-FFF2-40B4-BE49-F238E27FC236}">
                <a16:creationId xmlns:a16="http://schemas.microsoft.com/office/drawing/2014/main" id="{ACF8E3CC-5468-169A-DE54-C9B532C392A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97" name="Shape 22">
            <a:extLst>
              <a:ext uri="{FF2B5EF4-FFF2-40B4-BE49-F238E27FC236}">
                <a16:creationId xmlns:a16="http://schemas.microsoft.com/office/drawing/2014/main" id="{70933AE0-4196-D8DF-11C1-FA0A43771C7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298" name="Shape 23">
            <a:extLst>
              <a:ext uri="{FF2B5EF4-FFF2-40B4-BE49-F238E27FC236}">
                <a16:creationId xmlns:a16="http://schemas.microsoft.com/office/drawing/2014/main" id="{17702679-18F5-2715-BCA1-1FBE1112002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299" name="Shape 24">
            <a:extLst>
              <a:ext uri="{FF2B5EF4-FFF2-40B4-BE49-F238E27FC236}">
                <a16:creationId xmlns:a16="http://schemas.microsoft.com/office/drawing/2014/main" id="{44D301B8-329B-B8A5-F8F3-F213A708A0C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00" name="Shape 25">
            <a:extLst>
              <a:ext uri="{FF2B5EF4-FFF2-40B4-BE49-F238E27FC236}">
                <a16:creationId xmlns:a16="http://schemas.microsoft.com/office/drawing/2014/main" id="{4482DF2D-AB69-5BC0-FB0F-0DBCBE40CDC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01" name="Shape 26">
            <a:extLst>
              <a:ext uri="{FF2B5EF4-FFF2-40B4-BE49-F238E27FC236}">
                <a16:creationId xmlns:a16="http://schemas.microsoft.com/office/drawing/2014/main" id="{24CBEE03-48C8-063E-5425-8E77D3EF664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02" name="Shape 27">
            <a:extLst>
              <a:ext uri="{FF2B5EF4-FFF2-40B4-BE49-F238E27FC236}">
                <a16:creationId xmlns:a16="http://schemas.microsoft.com/office/drawing/2014/main" id="{46E115FF-7F9B-C63A-2130-A54CA34D9D3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03" name="Shape 28">
            <a:extLst>
              <a:ext uri="{FF2B5EF4-FFF2-40B4-BE49-F238E27FC236}">
                <a16:creationId xmlns:a16="http://schemas.microsoft.com/office/drawing/2014/main" id="{3F655034-023E-AC3E-A197-0BB6ACAB169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04" name="Shape 29">
            <a:extLst>
              <a:ext uri="{FF2B5EF4-FFF2-40B4-BE49-F238E27FC236}">
                <a16:creationId xmlns:a16="http://schemas.microsoft.com/office/drawing/2014/main" id="{5886DC54-8865-F8EE-1C79-ABA6AEF04ED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05" name="Shape 30">
            <a:extLst>
              <a:ext uri="{FF2B5EF4-FFF2-40B4-BE49-F238E27FC236}">
                <a16:creationId xmlns:a16="http://schemas.microsoft.com/office/drawing/2014/main" id="{B1FD4DAB-43FB-8D1F-A3D0-3F46E169747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06" name="Shape 31">
            <a:extLst>
              <a:ext uri="{FF2B5EF4-FFF2-40B4-BE49-F238E27FC236}">
                <a16:creationId xmlns:a16="http://schemas.microsoft.com/office/drawing/2014/main" id="{7A5E0316-C432-AEEC-C47D-6928C8E8E05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684</xdr:row>
      <xdr:rowOff>3703</xdr:rowOff>
    </xdr:from>
    <xdr:ext cx="33655" cy="33655"/>
    <xdr:grpSp>
      <xdr:nvGrpSpPr>
        <xdr:cNvPr id="5307" name="Group 32">
          <a:extLst>
            <a:ext uri="{FF2B5EF4-FFF2-40B4-BE49-F238E27FC236}">
              <a16:creationId xmlns:a16="http://schemas.microsoft.com/office/drawing/2014/main" id="{53A21FAC-1E59-4C33-99BA-ED5403A504AA}"/>
            </a:ext>
          </a:extLst>
        </xdr:cNvPr>
        <xdr:cNvGrpSpPr/>
      </xdr:nvGrpSpPr>
      <xdr:grpSpPr>
        <a:xfrm>
          <a:off x="4603072" y="126608129"/>
          <a:ext cx="33655" cy="33655"/>
          <a:chOff x="0" y="0"/>
          <a:chExt cx="33655" cy="33655"/>
        </a:xfrm>
      </xdr:grpSpPr>
      <xdr:sp macro="" textlink="">
        <xdr:nvSpPr>
          <xdr:cNvPr id="5308" name="Shape 33">
            <a:extLst>
              <a:ext uri="{FF2B5EF4-FFF2-40B4-BE49-F238E27FC236}">
                <a16:creationId xmlns:a16="http://schemas.microsoft.com/office/drawing/2014/main" id="{B44E4BEA-5864-587F-EE40-23434EC2A0D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09" name="Shape 34">
            <a:extLst>
              <a:ext uri="{FF2B5EF4-FFF2-40B4-BE49-F238E27FC236}">
                <a16:creationId xmlns:a16="http://schemas.microsoft.com/office/drawing/2014/main" id="{0A33F889-2CBF-A1B0-29FD-8311767D795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10" name="Shape 35">
            <a:extLst>
              <a:ext uri="{FF2B5EF4-FFF2-40B4-BE49-F238E27FC236}">
                <a16:creationId xmlns:a16="http://schemas.microsoft.com/office/drawing/2014/main" id="{D2AF2553-C10F-9E0B-F5CB-C4C4AD8E3AF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11" name="Shape 36">
            <a:extLst>
              <a:ext uri="{FF2B5EF4-FFF2-40B4-BE49-F238E27FC236}">
                <a16:creationId xmlns:a16="http://schemas.microsoft.com/office/drawing/2014/main" id="{753577F0-7AB6-3EE9-811C-0631AA3279D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12" name="Shape 37">
            <a:extLst>
              <a:ext uri="{FF2B5EF4-FFF2-40B4-BE49-F238E27FC236}">
                <a16:creationId xmlns:a16="http://schemas.microsoft.com/office/drawing/2014/main" id="{2EAD3F93-7972-FA93-D660-C88A1BF3714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13" name="Shape 38">
            <a:extLst>
              <a:ext uri="{FF2B5EF4-FFF2-40B4-BE49-F238E27FC236}">
                <a16:creationId xmlns:a16="http://schemas.microsoft.com/office/drawing/2014/main" id="{E4768EBD-AAC1-86D5-B100-BA6665FF844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14" name="Shape 39">
            <a:extLst>
              <a:ext uri="{FF2B5EF4-FFF2-40B4-BE49-F238E27FC236}">
                <a16:creationId xmlns:a16="http://schemas.microsoft.com/office/drawing/2014/main" id="{D42A3945-7582-24CA-BE34-2043342FB1F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15" name="Shape 40">
            <a:extLst>
              <a:ext uri="{FF2B5EF4-FFF2-40B4-BE49-F238E27FC236}">
                <a16:creationId xmlns:a16="http://schemas.microsoft.com/office/drawing/2014/main" id="{9F4258D1-0131-F606-935C-5BECC58F32A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16" name="Shape 41">
            <a:extLst>
              <a:ext uri="{FF2B5EF4-FFF2-40B4-BE49-F238E27FC236}">
                <a16:creationId xmlns:a16="http://schemas.microsoft.com/office/drawing/2014/main" id="{AAAF68A9-7426-B2AB-10EF-B139BC0EFF5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17" name="Shape 42">
            <a:extLst>
              <a:ext uri="{FF2B5EF4-FFF2-40B4-BE49-F238E27FC236}">
                <a16:creationId xmlns:a16="http://schemas.microsoft.com/office/drawing/2014/main" id="{EDBF9C2C-3684-00B7-E1CF-F715120F9D0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18" name="Shape 43">
            <a:extLst>
              <a:ext uri="{FF2B5EF4-FFF2-40B4-BE49-F238E27FC236}">
                <a16:creationId xmlns:a16="http://schemas.microsoft.com/office/drawing/2014/main" id="{2F0EE15F-89C0-AF9C-3DC0-4BDF8E0DE6D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19" name="Shape 44">
            <a:extLst>
              <a:ext uri="{FF2B5EF4-FFF2-40B4-BE49-F238E27FC236}">
                <a16:creationId xmlns:a16="http://schemas.microsoft.com/office/drawing/2014/main" id="{4239E556-DD0F-6896-7096-A6D6C26B0C7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20" name="Shape 45">
            <a:extLst>
              <a:ext uri="{FF2B5EF4-FFF2-40B4-BE49-F238E27FC236}">
                <a16:creationId xmlns:a16="http://schemas.microsoft.com/office/drawing/2014/main" id="{648C7B71-11CE-382A-0DD7-724714AFD19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21" name="Shape 46">
            <a:extLst>
              <a:ext uri="{FF2B5EF4-FFF2-40B4-BE49-F238E27FC236}">
                <a16:creationId xmlns:a16="http://schemas.microsoft.com/office/drawing/2014/main" id="{E9B67A06-A25E-DF80-E98B-ACA6439CB2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684</xdr:row>
      <xdr:rowOff>3409</xdr:rowOff>
    </xdr:from>
    <xdr:ext cx="33655" cy="33655"/>
    <xdr:grpSp>
      <xdr:nvGrpSpPr>
        <xdr:cNvPr id="5322" name="Group 47">
          <a:extLst>
            <a:ext uri="{FF2B5EF4-FFF2-40B4-BE49-F238E27FC236}">
              <a16:creationId xmlns:a16="http://schemas.microsoft.com/office/drawing/2014/main" id="{D1212C32-47D0-48E9-81EE-86A1DA5569D5}"/>
            </a:ext>
          </a:extLst>
        </xdr:cNvPr>
        <xdr:cNvGrpSpPr/>
      </xdr:nvGrpSpPr>
      <xdr:grpSpPr>
        <a:xfrm>
          <a:off x="4603072" y="126607835"/>
          <a:ext cx="33655" cy="33655"/>
          <a:chOff x="0" y="0"/>
          <a:chExt cx="33655" cy="33655"/>
        </a:xfrm>
      </xdr:grpSpPr>
      <xdr:sp macro="" textlink="">
        <xdr:nvSpPr>
          <xdr:cNvPr id="5323" name="Shape 48">
            <a:extLst>
              <a:ext uri="{FF2B5EF4-FFF2-40B4-BE49-F238E27FC236}">
                <a16:creationId xmlns:a16="http://schemas.microsoft.com/office/drawing/2014/main" id="{F40E6021-3F5E-A91E-B803-B2F7352D896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24" name="Shape 49">
            <a:extLst>
              <a:ext uri="{FF2B5EF4-FFF2-40B4-BE49-F238E27FC236}">
                <a16:creationId xmlns:a16="http://schemas.microsoft.com/office/drawing/2014/main" id="{D3A3C5D7-6628-AAED-7D01-5DAD92787D2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25" name="Shape 50">
            <a:extLst>
              <a:ext uri="{FF2B5EF4-FFF2-40B4-BE49-F238E27FC236}">
                <a16:creationId xmlns:a16="http://schemas.microsoft.com/office/drawing/2014/main" id="{603580FF-2E46-7546-59B3-D269F338E80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26" name="Shape 51">
            <a:extLst>
              <a:ext uri="{FF2B5EF4-FFF2-40B4-BE49-F238E27FC236}">
                <a16:creationId xmlns:a16="http://schemas.microsoft.com/office/drawing/2014/main" id="{DBA7F9CF-8558-3469-8240-2E81795F998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27" name="Shape 52">
            <a:extLst>
              <a:ext uri="{FF2B5EF4-FFF2-40B4-BE49-F238E27FC236}">
                <a16:creationId xmlns:a16="http://schemas.microsoft.com/office/drawing/2014/main" id="{FAF2FD48-8FEB-764D-4880-B78726F4FC2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28" name="Shape 53">
            <a:extLst>
              <a:ext uri="{FF2B5EF4-FFF2-40B4-BE49-F238E27FC236}">
                <a16:creationId xmlns:a16="http://schemas.microsoft.com/office/drawing/2014/main" id="{0BA1C099-3FAE-03FD-284A-6C41327B9C4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29" name="Shape 54">
            <a:extLst>
              <a:ext uri="{FF2B5EF4-FFF2-40B4-BE49-F238E27FC236}">
                <a16:creationId xmlns:a16="http://schemas.microsoft.com/office/drawing/2014/main" id="{70339A39-73FD-B618-2527-39D0BA5690E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30" name="Shape 55">
            <a:extLst>
              <a:ext uri="{FF2B5EF4-FFF2-40B4-BE49-F238E27FC236}">
                <a16:creationId xmlns:a16="http://schemas.microsoft.com/office/drawing/2014/main" id="{38D5183D-C5F1-DFDD-AC27-ED84AF69025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31" name="Shape 56">
            <a:extLst>
              <a:ext uri="{FF2B5EF4-FFF2-40B4-BE49-F238E27FC236}">
                <a16:creationId xmlns:a16="http://schemas.microsoft.com/office/drawing/2014/main" id="{1A78B4F8-BB99-D0AF-239D-06CD155AB82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32" name="Shape 57">
            <a:extLst>
              <a:ext uri="{FF2B5EF4-FFF2-40B4-BE49-F238E27FC236}">
                <a16:creationId xmlns:a16="http://schemas.microsoft.com/office/drawing/2014/main" id="{087E0B3C-740F-BFA0-4760-5045DC72967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33" name="Shape 58">
            <a:extLst>
              <a:ext uri="{FF2B5EF4-FFF2-40B4-BE49-F238E27FC236}">
                <a16:creationId xmlns:a16="http://schemas.microsoft.com/office/drawing/2014/main" id="{19DC2356-78DE-A120-025C-9339B1C1584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34" name="Shape 59">
            <a:extLst>
              <a:ext uri="{FF2B5EF4-FFF2-40B4-BE49-F238E27FC236}">
                <a16:creationId xmlns:a16="http://schemas.microsoft.com/office/drawing/2014/main" id="{D786C843-FCA8-CECD-6BE0-4042D0CF8BC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35" name="Shape 60">
            <a:extLst>
              <a:ext uri="{FF2B5EF4-FFF2-40B4-BE49-F238E27FC236}">
                <a16:creationId xmlns:a16="http://schemas.microsoft.com/office/drawing/2014/main" id="{28DCC496-8C0F-48F1-6813-B5E05F976B8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36" name="Shape 61">
            <a:extLst>
              <a:ext uri="{FF2B5EF4-FFF2-40B4-BE49-F238E27FC236}">
                <a16:creationId xmlns:a16="http://schemas.microsoft.com/office/drawing/2014/main" id="{EE1702E9-3EDF-FF94-AD4D-237DE86579E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684</xdr:row>
      <xdr:rowOff>3962</xdr:rowOff>
    </xdr:from>
    <xdr:ext cx="33655" cy="33655"/>
    <xdr:grpSp>
      <xdr:nvGrpSpPr>
        <xdr:cNvPr id="5337" name="Group 62">
          <a:extLst>
            <a:ext uri="{FF2B5EF4-FFF2-40B4-BE49-F238E27FC236}">
              <a16:creationId xmlns:a16="http://schemas.microsoft.com/office/drawing/2014/main" id="{D18C5DD3-D458-4C7A-BE96-643D68120DAC}"/>
            </a:ext>
          </a:extLst>
        </xdr:cNvPr>
        <xdr:cNvGrpSpPr/>
      </xdr:nvGrpSpPr>
      <xdr:grpSpPr>
        <a:xfrm>
          <a:off x="4603072" y="126608388"/>
          <a:ext cx="33655" cy="33655"/>
          <a:chOff x="0" y="0"/>
          <a:chExt cx="33655" cy="33655"/>
        </a:xfrm>
      </xdr:grpSpPr>
      <xdr:sp macro="" textlink="">
        <xdr:nvSpPr>
          <xdr:cNvPr id="5338" name="Shape 63">
            <a:extLst>
              <a:ext uri="{FF2B5EF4-FFF2-40B4-BE49-F238E27FC236}">
                <a16:creationId xmlns:a16="http://schemas.microsoft.com/office/drawing/2014/main" id="{388BCF58-80A1-5F91-7F4F-75A45DC5605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39" name="Shape 64">
            <a:extLst>
              <a:ext uri="{FF2B5EF4-FFF2-40B4-BE49-F238E27FC236}">
                <a16:creationId xmlns:a16="http://schemas.microsoft.com/office/drawing/2014/main" id="{5C398BA3-5CCF-6780-92CA-183BA4B6CA7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340" name="Shape 65">
            <a:extLst>
              <a:ext uri="{FF2B5EF4-FFF2-40B4-BE49-F238E27FC236}">
                <a16:creationId xmlns:a16="http://schemas.microsoft.com/office/drawing/2014/main" id="{EB8BA236-D111-DD9F-9CE4-97CD2E2D07B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41" name="Shape 66">
            <a:extLst>
              <a:ext uri="{FF2B5EF4-FFF2-40B4-BE49-F238E27FC236}">
                <a16:creationId xmlns:a16="http://schemas.microsoft.com/office/drawing/2014/main" id="{99AADF45-31CD-1FF0-9677-DBE39465E96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342" name="Shape 67">
            <a:extLst>
              <a:ext uri="{FF2B5EF4-FFF2-40B4-BE49-F238E27FC236}">
                <a16:creationId xmlns:a16="http://schemas.microsoft.com/office/drawing/2014/main" id="{17340415-144C-F4C5-9D94-C22EA0EC487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43" name="Shape 68">
            <a:extLst>
              <a:ext uri="{FF2B5EF4-FFF2-40B4-BE49-F238E27FC236}">
                <a16:creationId xmlns:a16="http://schemas.microsoft.com/office/drawing/2014/main" id="{D14C4604-4C76-0E7F-B68C-989DFF5FC14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344" name="Shape 69">
            <a:extLst>
              <a:ext uri="{FF2B5EF4-FFF2-40B4-BE49-F238E27FC236}">
                <a16:creationId xmlns:a16="http://schemas.microsoft.com/office/drawing/2014/main" id="{8B3AB4C7-03B2-C265-174F-529156471E2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45" name="Shape 70">
            <a:extLst>
              <a:ext uri="{FF2B5EF4-FFF2-40B4-BE49-F238E27FC236}">
                <a16:creationId xmlns:a16="http://schemas.microsoft.com/office/drawing/2014/main" id="{769ADBC9-22B7-9B6E-C87E-A19017884EF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346" name="Shape 71">
            <a:extLst>
              <a:ext uri="{FF2B5EF4-FFF2-40B4-BE49-F238E27FC236}">
                <a16:creationId xmlns:a16="http://schemas.microsoft.com/office/drawing/2014/main" id="{CE6B61C0-0292-58CD-828B-8FF9D349E2A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47" name="Shape 72">
            <a:extLst>
              <a:ext uri="{FF2B5EF4-FFF2-40B4-BE49-F238E27FC236}">
                <a16:creationId xmlns:a16="http://schemas.microsoft.com/office/drawing/2014/main" id="{A21A7D6A-BA0B-61C6-438F-EAF770370E8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348" name="Shape 73">
            <a:extLst>
              <a:ext uri="{FF2B5EF4-FFF2-40B4-BE49-F238E27FC236}">
                <a16:creationId xmlns:a16="http://schemas.microsoft.com/office/drawing/2014/main" id="{EFE3044D-891C-374D-1763-E9EA8F5E6C0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49" name="Shape 74">
            <a:extLst>
              <a:ext uri="{FF2B5EF4-FFF2-40B4-BE49-F238E27FC236}">
                <a16:creationId xmlns:a16="http://schemas.microsoft.com/office/drawing/2014/main" id="{7599A209-607D-F9A5-1EE9-1AD8F2BEC5B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350" name="Shape 75">
            <a:extLst>
              <a:ext uri="{FF2B5EF4-FFF2-40B4-BE49-F238E27FC236}">
                <a16:creationId xmlns:a16="http://schemas.microsoft.com/office/drawing/2014/main" id="{D528B419-DAD2-7B91-CF74-4FAB42E3171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351" name="Shape 76">
            <a:extLst>
              <a:ext uri="{FF2B5EF4-FFF2-40B4-BE49-F238E27FC236}">
                <a16:creationId xmlns:a16="http://schemas.microsoft.com/office/drawing/2014/main" id="{A35C0BDB-3856-C895-5120-35AA6B3E9D9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684</xdr:row>
      <xdr:rowOff>2978</xdr:rowOff>
    </xdr:from>
    <xdr:ext cx="33655" cy="33655"/>
    <xdr:grpSp>
      <xdr:nvGrpSpPr>
        <xdr:cNvPr id="5352" name="Group 2">
          <a:extLst>
            <a:ext uri="{FF2B5EF4-FFF2-40B4-BE49-F238E27FC236}">
              <a16:creationId xmlns:a16="http://schemas.microsoft.com/office/drawing/2014/main" id="{7BBE27A4-8A5C-4FB8-B4AA-7FE21FF45D22}"/>
            </a:ext>
          </a:extLst>
        </xdr:cNvPr>
        <xdr:cNvGrpSpPr/>
      </xdr:nvGrpSpPr>
      <xdr:grpSpPr>
        <a:xfrm>
          <a:off x="4603072" y="126607404"/>
          <a:ext cx="33655" cy="33655"/>
          <a:chOff x="0" y="0"/>
          <a:chExt cx="33655" cy="33655"/>
        </a:xfrm>
      </xdr:grpSpPr>
      <xdr:sp macro="" textlink="">
        <xdr:nvSpPr>
          <xdr:cNvPr id="5353" name="Shape 3">
            <a:extLst>
              <a:ext uri="{FF2B5EF4-FFF2-40B4-BE49-F238E27FC236}">
                <a16:creationId xmlns:a16="http://schemas.microsoft.com/office/drawing/2014/main" id="{1426B0D2-1F61-59CA-710A-D5F643164B5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54" name="Shape 4">
            <a:extLst>
              <a:ext uri="{FF2B5EF4-FFF2-40B4-BE49-F238E27FC236}">
                <a16:creationId xmlns:a16="http://schemas.microsoft.com/office/drawing/2014/main" id="{0EA7F4E0-52A2-3140-8238-248A7EB2F0C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55" name="Shape 5">
            <a:extLst>
              <a:ext uri="{FF2B5EF4-FFF2-40B4-BE49-F238E27FC236}">
                <a16:creationId xmlns:a16="http://schemas.microsoft.com/office/drawing/2014/main" id="{DDECA4DB-E129-5029-16CB-0E4D8C8C7CF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56" name="Shape 6">
            <a:extLst>
              <a:ext uri="{FF2B5EF4-FFF2-40B4-BE49-F238E27FC236}">
                <a16:creationId xmlns:a16="http://schemas.microsoft.com/office/drawing/2014/main" id="{3254EE6A-3440-6291-3DF3-E39DFBB0689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57" name="Shape 7">
            <a:extLst>
              <a:ext uri="{FF2B5EF4-FFF2-40B4-BE49-F238E27FC236}">
                <a16:creationId xmlns:a16="http://schemas.microsoft.com/office/drawing/2014/main" id="{AE1AC391-6516-3A2A-6E23-0FFDB3A5FE2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58" name="Shape 8">
            <a:extLst>
              <a:ext uri="{FF2B5EF4-FFF2-40B4-BE49-F238E27FC236}">
                <a16:creationId xmlns:a16="http://schemas.microsoft.com/office/drawing/2014/main" id="{8FF2CC5D-A467-78B0-ADBA-A30A0E2131C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59" name="Shape 9">
            <a:extLst>
              <a:ext uri="{FF2B5EF4-FFF2-40B4-BE49-F238E27FC236}">
                <a16:creationId xmlns:a16="http://schemas.microsoft.com/office/drawing/2014/main" id="{376B0D8E-88A3-F2D6-26AC-6134165CDA6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60" name="Shape 10">
            <a:extLst>
              <a:ext uri="{FF2B5EF4-FFF2-40B4-BE49-F238E27FC236}">
                <a16:creationId xmlns:a16="http://schemas.microsoft.com/office/drawing/2014/main" id="{A886943A-0066-3992-8C00-F7400243E7B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61" name="Shape 11">
            <a:extLst>
              <a:ext uri="{FF2B5EF4-FFF2-40B4-BE49-F238E27FC236}">
                <a16:creationId xmlns:a16="http://schemas.microsoft.com/office/drawing/2014/main" id="{EA421E22-AC9D-E8FD-1AAD-8CF24F62FD3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62" name="Shape 12">
            <a:extLst>
              <a:ext uri="{FF2B5EF4-FFF2-40B4-BE49-F238E27FC236}">
                <a16:creationId xmlns:a16="http://schemas.microsoft.com/office/drawing/2014/main" id="{D467B7AC-5423-0E4E-8B04-32DEDC300DF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63" name="Shape 13">
            <a:extLst>
              <a:ext uri="{FF2B5EF4-FFF2-40B4-BE49-F238E27FC236}">
                <a16:creationId xmlns:a16="http://schemas.microsoft.com/office/drawing/2014/main" id="{DCF5D7FE-D460-1126-6F33-A78D70102F9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64" name="Shape 14">
            <a:extLst>
              <a:ext uri="{FF2B5EF4-FFF2-40B4-BE49-F238E27FC236}">
                <a16:creationId xmlns:a16="http://schemas.microsoft.com/office/drawing/2014/main" id="{27946C5E-C125-3B4C-BCF5-F7ED9B35C6B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65" name="Shape 15">
            <a:extLst>
              <a:ext uri="{FF2B5EF4-FFF2-40B4-BE49-F238E27FC236}">
                <a16:creationId xmlns:a16="http://schemas.microsoft.com/office/drawing/2014/main" id="{2DA5F0AF-20EB-BE4C-40B6-83001DD3AD6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66" name="Shape 16">
            <a:extLst>
              <a:ext uri="{FF2B5EF4-FFF2-40B4-BE49-F238E27FC236}">
                <a16:creationId xmlns:a16="http://schemas.microsoft.com/office/drawing/2014/main" id="{37D50DAC-A1E0-EDC7-F5A4-F0D5928AFCE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684</xdr:row>
      <xdr:rowOff>3246</xdr:rowOff>
    </xdr:from>
    <xdr:ext cx="33655" cy="33655"/>
    <xdr:grpSp>
      <xdr:nvGrpSpPr>
        <xdr:cNvPr id="5367" name="Group 17">
          <a:extLst>
            <a:ext uri="{FF2B5EF4-FFF2-40B4-BE49-F238E27FC236}">
              <a16:creationId xmlns:a16="http://schemas.microsoft.com/office/drawing/2014/main" id="{2E796380-8C00-4FB6-A608-4894523CB2A1}"/>
            </a:ext>
          </a:extLst>
        </xdr:cNvPr>
        <xdr:cNvGrpSpPr/>
      </xdr:nvGrpSpPr>
      <xdr:grpSpPr>
        <a:xfrm>
          <a:off x="4603072" y="126607672"/>
          <a:ext cx="33655" cy="33655"/>
          <a:chOff x="0" y="0"/>
          <a:chExt cx="33655" cy="33655"/>
        </a:xfrm>
      </xdr:grpSpPr>
      <xdr:sp macro="" textlink="">
        <xdr:nvSpPr>
          <xdr:cNvPr id="5368" name="Shape 18">
            <a:extLst>
              <a:ext uri="{FF2B5EF4-FFF2-40B4-BE49-F238E27FC236}">
                <a16:creationId xmlns:a16="http://schemas.microsoft.com/office/drawing/2014/main" id="{BAC0B648-DC04-3152-BD6D-EB4FF34AE09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69" name="Shape 19">
            <a:extLst>
              <a:ext uri="{FF2B5EF4-FFF2-40B4-BE49-F238E27FC236}">
                <a16:creationId xmlns:a16="http://schemas.microsoft.com/office/drawing/2014/main" id="{EB9568F4-33A0-556D-8EEE-28663E51781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70" name="Shape 20">
            <a:extLst>
              <a:ext uri="{FF2B5EF4-FFF2-40B4-BE49-F238E27FC236}">
                <a16:creationId xmlns:a16="http://schemas.microsoft.com/office/drawing/2014/main" id="{A0D3354E-20D2-8E1E-76B9-195A6416F4F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71" name="Shape 21">
            <a:extLst>
              <a:ext uri="{FF2B5EF4-FFF2-40B4-BE49-F238E27FC236}">
                <a16:creationId xmlns:a16="http://schemas.microsoft.com/office/drawing/2014/main" id="{F48EE8BC-B798-E561-C229-3DB08D1FCEE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72" name="Shape 22">
            <a:extLst>
              <a:ext uri="{FF2B5EF4-FFF2-40B4-BE49-F238E27FC236}">
                <a16:creationId xmlns:a16="http://schemas.microsoft.com/office/drawing/2014/main" id="{BF35142A-C927-7FB2-AD97-7DFF016107E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73" name="Shape 23">
            <a:extLst>
              <a:ext uri="{FF2B5EF4-FFF2-40B4-BE49-F238E27FC236}">
                <a16:creationId xmlns:a16="http://schemas.microsoft.com/office/drawing/2014/main" id="{8EA5F4CE-B20C-B224-3B8A-F91174B5E72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74" name="Shape 24">
            <a:extLst>
              <a:ext uri="{FF2B5EF4-FFF2-40B4-BE49-F238E27FC236}">
                <a16:creationId xmlns:a16="http://schemas.microsoft.com/office/drawing/2014/main" id="{3E2C65B9-EDFB-E6C4-FFFC-4B39CA35398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75" name="Shape 25">
            <a:extLst>
              <a:ext uri="{FF2B5EF4-FFF2-40B4-BE49-F238E27FC236}">
                <a16:creationId xmlns:a16="http://schemas.microsoft.com/office/drawing/2014/main" id="{60BE6229-7B1E-F39A-E2E3-92712D25FB0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76" name="Shape 26">
            <a:extLst>
              <a:ext uri="{FF2B5EF4-FFF2-40B4-BE49-F238E27FC236}">
                <a16:creationId xmlns:a16="http://schemas.microsoft.com/office/drawing/2014/main" id="{378C61C4-3126-A15D-8E1B-B58F4B5D8A2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77" name="Shape 27">
            <a:extLst>
              <a:ext uri="{FF2B5EF4-FFF2-40B4-BE49-F238E27FC236}">
                <a16:creationId xmlns:a16="http://schemas.microsoft.com/office/drawing/2014/main" id="{EAAE073F-01DC-D8BA-4E13-9C7F9D34D8E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78" name="Shape 28">
            <a:extLst>
              <a:ext uri="{FF2B5EF4-FFF2-40B4-BE49-F238E27FC236}">
                <a16:creationId xmlns:a16="http://schemas.microsoft.com/office/drawing/2014/main" id="{82A83A62-00BF-945C-4D2F-951E0CB8042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79" name="Shape 29">
            <a:extLst>
              <a:ext uri="{FF2B5EF4-FFF2-40B4-BE49-F238E27FC236}">
                <a16:creationId xmlns:a16="http://schemas.microsoft.com/office/drawing/2014/main" id="{E5318F5D-CF4D-07AD-90FC-EB7C161990C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80" name="Shape 30">
            <a:extLst>
              <a:ext uri="{FF2B5EF4-FFF2-40B4-BE49-F238E27FC236}">
                <a16:creationId xmlns:a16="http://schemas.microsoft.com/office/drawing/2014/main" id="{81C225B0-FE59-E3E6-44D1-E75F3217542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81" name="Shape 31">
            <a:extLst>
              <a:ext uri="{FF2B5EF4-FFF2-40B4-BE49-F238E27FC236}">
                <a16:creationId xmlns:a16="http://schemas.microsoft.com/office/drawing/2014/main" id="{1706E880-D23E-1EBF-123F-5CB0F5900D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684</xdr:row>
      <xdr:rowOff>3703</xdr:rowOff>
    </xdr:from>
    <xdr:ext cx="33655" cy="33655"/>
    <xdr:grpSp>
      <xdr:nvGrpSpPr>
        <xdr:cNvPr id="5382" name="Group 32">
          <a:extLst>
            <a:ext uri="{FF2B5EF4-FFF2-40B4-BE49-F238E27FC236}">
              <a16:creationId xmlns:a16="http://schemas.microsoft.com/office/drawing/2014/main" id="{4829A5B7-B55F-4832-A5C7-50FE027B5F40}"/>
            </a:ext>
          </a:extLst>
        </xdr:cNvPr>
        <xdr:cNvGrpSpPr/>
      </xdr:nvGrpSpPr>
      <xdr:grpSpPr>
        <a:xfrm>
          <a:off x="4603072" y="126608129"/>
          <a:ext cx="33655" cy="33655"/>
          <a:chOff x="0" y="0"/>
          <a:chExt cx="33655" cy="33655"/>
        </a:xfrm>
      </xdr:grpSpPr>
      <xdr:sp macro="" textlink="">
        <xdr:nvSpPr>
          <xdr:cNvPr id="5383" name="Shape 33">
            <a:extLst>
              <a:ext uri="{FF2B5EF4-FFF2-40B4-BE49-F238E27FC236}">
                <a16:creationId xmlns:a16="http://schemas.microsoft.com/office/drawing/2014/main" id="{221CF6F8-FF01-231B-7A54-4E845704B03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84" name="Shape 34">
            <a:extLst>
              <a:ext uri="{FF2B5EF4-FFF2-40B4-BE49-F238E27FC236}">
                <a16:creationId xmlns:a16="http://schemas.microsoft.com/office/drawing/2014/main" id="{22DE6330-923E-5E1E-C33F-329AFC3FEBA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85" name="Shape 35">
            <a:extLst>
              <a:ext uri="{FF2B5EF4-FFF2-40B4-BE49-F238E27FC236}">
                <a16:creationId xmlns:a16="http://schemas.microsoft.com/office/drawing/2014/main" id="{84D8C0C6-7009-44D0-F72D-19967251875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86" name="Shape 36">
            <a:extLst>
              <a:ext uri="{FF2B5EF4-FFF2-40B4-BE49-F238E27FC236}">
                <a16:creationId xmlns:a16="http://schemas.microsoft.com/office/drawing/2014/main" id="{F7FEBC0B-80C1-F528-3476-B988994CE0C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87" name="Shape 37">
            <a:extLst>
              <a:ext uri="{FF2B5EF4-FFF2-40B4-BE49-F238E27FC236}">
                <a16:creationId xmlns:a16="http://schemas.microsoft.com/office/drawing/2014/main" id="{83B927E1-FA65-1CA7-ACFC-28BDF71C505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88" name="Shape 38">
            <a:extLst>
              <a:ext uri="{FF2B5EF4-FFF2-40B4-BE49-F238E27FC236}">
                <a16:creationId xmlns:a16="http://schemas.microsoft.com/office/drawing/2014/main" id="{7D6E936C-8016-5FB8-7517-B4B7DACC9E4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89" name="Shape 39">
            <a:extLst>
              <a:ext uri="{FF2B5EF4-FFF2-40B4-BE49-F238E27FC236}">
                <a16:creationId xmlns:a16="http://schemas.microsoft.com/office/drawing/2014/main" id="{8DA2F10D-D388-0A45-AF84-CDADAE69FC0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90" name="Shape 40">
            <a:extLst>
              <a:ext uri="{FF2B5EF4-FFF2-40B4-BE49-F238E27FC236}">
                <a16:creationId xmlns:a16="http://schemas.microsoft.com/office/drawing/2014/main" id="{35601156-2DA0-C518-CAB2-A7D09EF0DE7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91" name="Shape 41">
            <a:extLst>
              <a:ext uri="{FF2B5EF4-FFF2-40B4-BE49-F238E27FC236}">
                <a16:creationId xmlns:a16="http://schemas.microsoft.com/office/drawing/2014/main" id="{F997129F-EACE-79C6-895F-C48AF0C1FCD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92" name="Shape 42">
            <a:extLst>
              <a:ext uri="{FF2B5EF4-FFF2-40B4-BE49-F238E27FC236}">
                <a16:creationId xmlns:a16="http://schemas.microsoft.com/office/drawing/2014/main" id="{8CA7E3BE-7F7E-CE31-8124-0C6B023FFD5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93" name="Shape 43">
            <a:extLst>
              <a:ext uri="{FF2B5EF4-FFF2-40B4-BE49-F238E27FC236}">
                <a16:creationId xmlns:a16="http://schemas.microsoft.com/office/drawing/2014/main" id="{6E899105-05A2-446E-A906-56C18BEB80B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94" name="Shape 44">
            <a:extLst>
              <a:ext uri="{FF2B5EF4-FFF2-40B4-BE49-F238E27FC236}">
                <a16:creationId xmlns:a16="http://schemas.microsoft.com/office/drawing/2014/main" id="{83A3D784-1C05-5561-EF38-EEAF93267FD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95" name="Shape 45">
            <a:extLst>
              <a:ext uri="{FF2B5EF4-FFF2-40B4-BE49-F238E27FC236}">
                <a16:creationId xmlns:a16="http://schemas.microsoft.com/office/drawing/2014/main" id="{B239B520-3DC4-015E-FFEA-FC8A726B1F2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396" name="Shape 46">
            <a:extLst>
              <a:ext uri="{FF2B5EF4-FFF2-40B4-BE49-F238E27FC236}">
                <a16:creationId xmlns:a16="http://schemas.microsoft.com/office/drawing/2014/main" id="{A2441D6D-43F2-2EA9-ECDA-00F03EFEF78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684</xdr:row>
      <xdr:rowOff>3409</xdr:rowOff>
    </xdr:from>
    <xdr:ext cx="33655" cy="33655"/>
    <xdr:grpSp>
      <xdr:nvGrpSpPr>
        <xdr:cNvPr id="5397" name="Group 47">
          <a:extLst>
            <a:ext uri="{FF2B5EF4-FFF2-40B4-BE49-F238E27FC236}">
              <a16:creationId xmlns:a16="http://schemas.microsoft.com/office/drawing/2014/main" id="{6E49C281-F6F9-4A2E-A5BC-E83B25C82DAE}"/>
            </a:ext>
          </a:extLst>
        </xdr:cNvPr>
        <xdr:cNvGrpSpPr/>
      </xdr:nvGrpSpPr>
      <xdr:grpSpPr>
        <a:xfrm>
          <a:off x="4603072" y="126607835"/>
          <a:ext cx="33655" cy="33655"/>
          <a:chOff x="0" y="0"/>
          <a:chExt cx="33655" cy="33655"/>
        </a:xfrm>
      </xdr:grpSpPr>
      <xdr:sp macro="" textlink="">
        <xdr:nvSpPr>
          <xdr:cNvPr id="5398" name="Shape 48">
            <a:extLst>
              <a:ext uri="{FF2B5EF4-FFF2-40B4-BE49-F238E27FC236}">
                <a16:creationId xmlns:a16="http://schemas.microsoft.com/office/drawing/2014/main" id="{AB7E2BAC-BCAB-625E-7DC2-BF4DE722750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399" name="Shape 49">
            <a:extLst>
              <a:ext uri="{FF2B5EF4-FFF2-40B4-BE49-F238E27FC236}">
                <a16:creationId xmlns:a16="http://schemas.microsoft.com/office/drawing/2014/main" id="{F794AD1B-4A6E-D31A-99FB-93520C73CD0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00" name="Shape 50">
            <a:extLst>
              <a:ext uri="{FF2B5EF4-FFF2-40B4-BE49-F238E27FC236}">
                <a16:creationId xmlns:a16="http://schemas.microsoft.com/office/drawing/2014/main" id="{B59340B1-1C71-DAA1-27F3-B4EB40E8021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01" name="Shape 51">
            <a:extLst>
              <a:ext uri="{FF2B5EF4-FFF2-40B4-BE49-F238E27FC236}">
                <a16:creationId xmlns:a16="http://schemas.microsoft.com/office/drawing/2014/main" id="{C094C2DB-C965-EFA8-6483-655C50782D1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02" name="Shape 52">
            <a:extLst>
              <a:ext uri="{FF2B5EF4-FFF2-40B4-BE49-F238E27FC236}">
                <a16:creationId xmlns:a16="http://schemas.microsoft.com/office/drawing/2014/main" id="{0876146E-D639-3E1B-749F-B629E2DA645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03" name="Shape 53">
            <a:extLst>
              <a:ext uri="{FF2B5EF4-FFF2-40B4-BE49-F238E27FC236}">
                <a16:creationId xmlns:a16="http://schemas.microsoft.com/office/drawing/2014/main" id="{79854A54-F539-C22A-8E65-50424B1A610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04" name="Shape 54">
            <a:extLst>
              <a:ext uri="{FF2B5EF4-FFF2-40B4-BE49-F238E27FC236}">
                <a16:creationId xmlns:a16="http://schemas.microsoft.com/office/drawing/2014/main" id="{38B2501D-8D7E-E668-6867-E3C365946B1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05" name="Shape 55">
            <a:extLst>
              <a:ext uri="{FF2B5EF4-FFF2-40B4-BE49-F238E27FC236}">
                <a16:creationId xmlns:a16="http://schemas.microsoft.com/office/drawing/2014/main" id="{17FB8504-345B-5F62-B858-13B1A2A4F78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06" name="Shape 56">
            <a:extLst>
              <a:ext uri="{FF2B5EF4-FFF2-40B4-BE49-F238E27FC236}">
                <a16:creationId xmlns:a16="http://schemas.microsoft.com/office/drawing/2014/main" id="{DF7F6691-BF51-FB80-961D-854A28EEBA6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07" name="Shape 57">
            <a:extLst>
              <a:ext uri="{FF2B5EF4-FFF2-40B4-BE49-F238E27FC236}">
                <a16:creationId xmlns:a16="http://schemas.microsoft.com/office/drawing/2014/main" id="{2CCBDA2F-4F70-90C7-FB1A-9582BFFBC05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08" name="Shape 58">
            <a:extLst>
              <a:ext uri="{FF2B5EF4-FFF2-40B4-BE49-F238E27FC236}">
                <a16:creationId xmlns:a16="http://schemas.microsoft.com/office/drawing/2014/main" id="{67F10279-F760-9E8C-A7DB-E7FDB9A0E90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09" name="Shape 59">
            <a:extLst>
              <a:ext uri="{FF2B5EF4-FFF2-40B4-BE49-F238E27FC236}">
                <a16:creationId xmlns:a16="http://schemas.microsoft.com/office/drawing/2014/main" id="{FFA85421-7492-107C-4CC1-97C08317DA9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10" name="Shape 60">
            <a:extLst>
              <a:ext uri="{FF2B5EF4-FFF2-40B4-BE49-F238E27FC236}">
                <a16:creationId xmlns:a16="http://schemas.microsoft.com/office/drawing/2014/main" id="{5FDB8752-C023-F389-2F12-9A0BF3E08FC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11" name="Shape 61">
            <a:extLst>
              <a:ext uri="{FF2B5EF4-FFF2-40B4-BE49-F238E27FC236}">
                <a16:creationId xmlns:a16="http://schemas.microsoft.com/office/drawing/2014/main" id="{35963E9E-0AEA-90C1-50E8-AAC2F9CFF7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684</xdr:row>
      <xdr:rowOff>3962</xdr:rowOff>
    </xdr:from>
    <xdr:ext cx="33655" cy="33655"/>
    <xdr:grpSp>
      <xdr:nvGrpSpPr>
        <xdr:cNvPr id="5412" name="Group 62">
          <a:extLst>
            <a:ext uri="{FF2B5EF4-FFF2-40B4-BE49-F238E27FC236}">
              <a16:creationId xmlns:a16="http://schemas.microsoft.com/office/drawing/2014/main" id="{2397FD4A-2772-44A5-8389-14D72D281158}"/>
            </a:ext>
          </a:extLst>
        </xdr:cNvPr>
        <xdr:cNvGrpSpPr/>
      </xdr:nvGrpSpPr>
      <xdr:grpSpPr>
        <a:xfrm>
          <a:off x="4603072" y="126608388"/>
          <a:ext cx="33655" cy="33655"/>
          <a:chOff x="0" y="0"/>
          <a:chExt cx="33655" cy="33655"/>
        </a:xfrm>
      </xdr:grpSpPr>
      <xdr:sp macro="" textlink="">
        <xdr:nvSpPr>
          <xdr:cNvPr id="5413" name="Shape 63">
            <a:extLst>
              <a:ext uri="{FF2B5EF4-FFF2-40B4-BE49-F238E27FC236}">
                <a16:creationId xmlns:a16="http://schemas.microsoft.com/office/drawing/2014/main" id="{814AA4E2-3DB0-5A74-1754-F10B25C9C32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14" name="Shape 64">
            <a:extLst>
              <a:ext uri="{FF2B5EF4-FFF2-40B4-BE49-F238E27FC236}">
                <a16:creationId xmlns:a16="http://schemas.microsoft.com/office/drawing/2014/main" id="{11789EBA-ADAF-06A3-BC8C-3429F31E501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15" name="Shape 65">
            <a:extLst>
              <a:ext uri="{FF2B5EF4-FFF2-40B4-BE49-F238E27FC236}">
                <a16:creationId xmlns:a16="http://schemas.microsoft.com/office/drawing/2014/main" id="{798CA3BA-926D-35AA-454E-832FDBAF0FA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16" name="Shape 66">
            <a:extLst>
              <a:ext uri="{FF2B5EF4-FFF2-40B4-BE49-F238E27FC236}">
                <a16:creationId xmlns:a16="http://schemas.microsoft.com/office/drawing/2014/main" id="{DC469DF3-D052-477B-E36B-232ADDFB4E4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17" name="Shape 67">
            <a:extLst>
              <a:ext uri="{FF2B5EF4-FFF2-40B4-BE49-F238E27FC236}">
                <a16:creationId xmlns:a16="http://schemas.microsoft.com/office/drawing/2014/main" id="{C12FA5C0-2F26-6F73-1EB3-7EBBF53AEA6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18" name="Shape 68">
            <a:extLst>
              <a:ext uri="{FF2B5EF4-FFF2-40B4-BE49-F238E27FC236}">
                <a16:creationId xmlns:a16="http://schemas.microsoft.com/office/drawing/2014/main" id="{842CC985-3A53-6591-1C45-5514D8C762A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19" name="Shape 69">
            <a:extLst>
              <a:ext uri="{FF2B5EF4-FFF2-40B4-BE49-F238E27FC236}">
                <a16:creationId xmlns:a16="http://schemas.microsoft.com/office/drawing/2014/main" id="{3AC9DE37-BE41-055F-1A0A-051B298FBB3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20" name="Shape 70">
            <a:extLst>
              <a:ext uri="{FF2B5EF4-FFF2-40B4-BE49-F238E27FC236}">
                <a16:creationId xmlns:a16="http://schemas.microsoft.com/office/drawing/2014/main" id="{B8E9E8B0-0779-719C-1474-C3188976B9B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21" name="Shape 71">
            <a:extLst>
              <a:ext uri="{FF2B5EF4-FFF2-40B4-BE49-F238E27FC236}">
                <a16:creationId xmlns:a16="http://schemas.microsoft.com/office/drawing/2014/main" id="{D406C308-FBED-5496-58D1-0E19E63C3E4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22" name="Shape 72">
            <a:extLst>
              <a:ext uri="{FF2B5EF4-FFF2-40B4-BE49-F238E27FC236}">
                <a16:creationId xmlns:a16="http://schemas.microsoft.com/office/drawing/2014/main" id="{E5D9D335-23E5-93C6-4927-2EEEA3191B7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23" name="Shape 73">
            <a:extLst>
              <a:ext uri="{FF2B5EF4-FFF2-40B4-BE49-F238E27FC236}">
                <a16:creationId xmlns:a16="http://schemas.microsoft.com/office/drawing/2014/main" id="{57FA1AA6-E8D3-8FBA-68D3-12EEF5CF80C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24" name="Shape 74">
            <a:extLst>
              <a:ext uri="{FF2B5EF4-FFF2-40B4-BE49-F238E27FC236}">
                <a16:creationId xmlns:a16="http://schemas.microsoft.com/office/drawing/2014/main" id="{1B505D06-8409-0F73-A30F-346B333CCA9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25" name="Shape 75">
            <a:extLst>
              <a:ext uri="{FF2B5EF4-FFF2-40B4-BE49-F238E27FC236}">
                <a16:creationId xmlns:a16="http://schemas.microsoft.com/office/drawing/2014/main" id="{F9672D19-CE8C-69FC-771E-3FEFE4D2D1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26" name="Shape 76">
            <a:extLst>
              <a:ext uri="{FF2B5EF4-FFF2-40B4-BE49-F238E27FC236}">
                <a16:creationId xmlns:a16="http://schemas.microsoft.com/office/drawing/2014/main" id="{AE1278CF-C5ED-ABD8-3789-C63138BFEFD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695</xdr:row>
      <xdr:rowOff>2978</xdr:rowOff>
    </xdr:from>
    <xdr:ext cx="33655" cy="33655"/>
    <xdr:grpSp>
      <xdr:nvGrpSpPr>
        <xdr:cNvPr id="5427" name="Group 2">
          <a:extLst>
            <a:ext uri="{FF2B5EF4-FFF2-40B4-BE49-F238E27FC236}">
              <a16:creationId xmlns:a16="http://schemas.microsoft.com/office/drawing/2014/main" id="{0494D94D-78B3-4738-BA97-11446349B231}"/>
            </a:ext>
          </a:extLst>
        </xdr:cNvPr>
        <xdr:cNvGrpSpPr/>
      </xdr:nvGrpSpPr>
      <xdr:grpSpPr>
        <a:xfrm>
          <a:off x="4603072" y="128599847"/>
          <a:ext cx="33655" cy="33655"/>
          <a:chOff x="0" y="0"/>
          <a:chExt cx="33655" cy="33655"/>
        </a:xfrm>
      </xdr:grpSpPr>
      <xdr:sp macro="" textlink="">
        <xdr:nvSpPr>
          <xdr:cNvPr id="5428" name="Shape 3">
            <a:extLst>
              <a:ext uri="{FF2B5EF4-FFF2-40B4-BE49-F238E27FC236}">
                <a16:creationId xmlns:a16="http://schemas.microsoft.com/office/drawing/2014/main" id="{39EAA728-9A06-0022-16E9-2006A727591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29" name="Shape 4">
            <a:extLst>
              <a:ext uri="{FF2B5EF4-FFF2-40B4-BE49-F238E27FC236}">
                <a16:creationId xmlns:a16="http://schemas.microsoft.com/office/drawing/2014/main" id="{F85B0B4A-3678-7C49-432A-5FFAC569AA4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30" name="Shape 5">
            <a:extLst>
              <a:ext uri="{FF2B5EF4-FFF2-40B4-BE49-F238E27FC236}">
                <a16:creationId xmlns:a16="http://schemas.microsoft.com/office/drawing/2014/main" id="{060A0C67-9590-EA05-F038-4D7523C691E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31" name="Shape 6">
            <a:extLst>
              <a:ext uri="{FF2B5EF4-FFF2-40B4-BE49-F238E27FC236}">
                <a16:creationId xmlns:a16="http://schemas.microsoft.com/office/drawing/2014/main" id="{26F217CE-96E1-3009-20F2-15FCA7AC0AE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32" name="Shape 7">
            <a:extLst>
              <a:ext uri="{FF2B5EF4-FFF2-40B4-BE49-F238E27FC236}">
                <a16:creationId xmlns:a16="http://schemas.microsoft.com/office/drawing/2014/main" id="{5F44D390-2D3A-0C6C-2716-FCBB15F987E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33" name="Shape 8">
            <a:extLst>
              <a:ext uri="{FF2B5EF4-FFF2-40B4-BE49-F238E27FC236}">
                <a16:creationId xmlns:a16="http://schemas.microsoft.com/office/drawing/2014/main" id="{469378E7-2D70-3549-57A1-8A06D54FFCA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34" name="Shape 9">
            <a:extLst>
              <a:ext uri="{FF2B5EF4-FFF2-40B4-BE49-F238E27FC236}">
                <a16:creationId xmlns:a16="http://schemas.microsoft.com/office/drawing/2014/main" id="{88BDD88E-6710-CAC6-295C-0CA7911450D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35" name="Shape 10">
            <a:extLst>
              <a:ext uri="{FF2B5EF4-FFF2-40B4-BE49-F238E27FC236}">
                <a16:creationId xmlns:a16="http://schemas.microsoft.com/office/drawing/2014/main" id="{D58BDDCD-AFDD-0AB8-6F9B-AAD8DDC8688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36" name="Shape 11">
            <a:extLst>
              <a:ext uri="{FF2B5EF4-FFF2-40B4-BE49-F238E27FC236}">
                <a16:creationId xmlns:a16="http://schemas.microsoft.com/office/drawing/2014/main" id="{1D45387E-1707-1147-42DF-B87E4E4A80A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37" name="Shape 12">
            <a:extLst>
              <a:ext uri="{FF2B5EF4-FFF2-40B4-BE49-F238E27FC236}">
                <a16:creationId xmlns:a16="http://schemas.microsoft.com/office/drawing/2014/main" id="{61FDE663-18B6-0B99-DC90-5B617026A73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38" name="Shape 13">
            <a:extLst>
              <a:ext uri="{FF2B5EF4-FFF2-40B4-BE49-F238E27FC236}">
                <a16:creationId xmlns:a16="http://schemas.microsoft.com/office/drawing/2014/main" id="{AAAEE262-8A4A-EF64-6FB6-A8D2945E1E7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39" name="Shape 14">
            <a:extLst>
              <a:ext uri="{FF2B5EF4-FFF2-40B4-BE49-F238E27FC236}">
                <a16:creationId xmlns:a16="http://schemas.microsoft.com/office/drawing/2014/main" id="{8E3EC133-7947-BC20-B78E-3AA7B9B25FA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40" name="Shape 15">
            <a:extLst>
              <a:ext uri="{FF2B5EF4-FFF2-40B4-BE49-F238E27FC236}">
                <a16:creationId xmlns:a16="http://schemas.microsoft.com/office/drawing/2014/main" id="{2D9FF26E-2B88-14E2-403D-B9FA4CF73FF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41" name="Shape 16">
            <a:extLst>
              <a:ext uri="{FF2B5EF4-FFF2-40B4-BE49-F238E27FC236}">
                <a16:creationId xmlns:a16="http://schemas.microsoft.com/office/drawing/2014/main" id="{00C1851B-4D94-5262-0C9A-99E9A93732C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695</xdr:row>
      <xdr:rowOff>3246</xdr:rowOff>
    </xdr:from>
    <xdr:ext cx="33655" cy="33655"/>
    <xdr:grpSp>
      <xdr:nvGrpSpPr>
        <xdr:cNvPr id="5442" name="Group 17">
          <a:extLst>
            <a:ext uri="{FF2B5EF4-FFF2-40B4-BE49-F238E27FC236}">
              <a16:creationId xmlns:a16="http://schemas.microsoft.com/office/drawing/2014/main" id="{5BB01873-120E-4300-AB6F-0BB202260A1F}"/>
            </a:ext>
          </a:extLst>
        </xdr:cNvPr>
        <xdr:cNvGrpSpPr/>
      </xdr:nvGrpSpPr>
      <xdr:grpSpPr>
        <a:xfrm>
          <a:off x="4603072" y="128600115"/>
          <a:ext cx="33655" cy="33655"/>
          <a:chOff x="0" y="0"/>
          <a:chExt cx="33655" cy="33655"/>
        </a:xfrm>
      </xdr:grpSpPr>
      <xdr:sp macro="" textlink="">
        <xdr:nvSpPr>
          <xdr:cNvPr id="5443" name="Shape 18">
            <a:extLst>
              <a:ext uri="{FF2B5EF4-FFF2-40B4-BE49-F238E27FC236}">
                <a16:creationId xmlns:a16="http://schemas.microsoft.com/office/drawing/2014/main" id="{58588A91-F1D7-963F-391C-7C5F59F777D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44" name="Shape 19">
            <a:extLst>
              <a:ext uri="{FF2B5EF4-FFF2-40B4-BE49-F238E27FC236}">
                <a16:creationId xmlns:a16="http://schemas.microsoft.com/office/drawing/2014/main" id="{EBAA9ABA-9086-905A-067A-44262263F66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45" name="Shape 20">
            <a:extLst>
              <a:ext uri="{FF2B5EF4-FFF2-40B4-BE49-F238E27FC236}">
                <a16:creationId xmlns:a16="http://schemas.microsoft.com/office/drawing/2014/main" id="{63E46441-3498-9745-4890-6E6174C3F89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46" name="Shape 21">
            <a:extLst>
              <a:ext uri="{FF2B5EF4-FFF2-40B4-BE49-F238E27FC236}">
                <a16:creationId xmlns:a16="http://schemas.microsoft.com/office/drawing/2014/main" id="{6835129D-4825-CA6C-9116-B13275C2B27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47" name="Shape 22">
            <a:extLst>
              <a:ext uri="{FF2B5EF4-FFF2-40B4-BE49-F238E27FC236}">
                <a16:creationId xmlns:a16="http://schemas.microsoft.com/office/drawing/2014/main" id="{AFADAF09-6579-B7EC-4C98-682B676F418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48" name="Shape 23">
            <a:extLst>
              <a:ext uri="{FF2B5EF4-FFF2-40B4-BE49-F238E27FC236}">
                <a16:creationId xmlns:a16="http://schemas.microsoft.com/office/drawing/2014/main" id="{FAD56CC2-5734-F59F-8663-3E8EE75C1FE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49" name="Shape 24">
            <a:extLst>
              <a:ext uri="{FF2B5EF4-FFF2-40B4-BE49-F238E27FC236}">
                <a16:creationId xmlns:a16="http://schemas.microsoft.com/office/drawing/2014/main" id="{CE1796EB-9D90-581E-E233-DCA4CECE875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50" name="Shape 25">
            <a:extLst>
              <a:ext uri="{FF2B5EF4-FFF2-40B4-BE49-F238E27FC236}">
                <a16:creationId xmlns:a16="http://schemas.microsoft.com/office/drawing/2014/main" id="{B55D7D59-74C0-DA0B-BF22-1380AA01FF9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51" name="Shape 26">
            <a:extLst>
              <a:ext uri="{FF2B5EF4-FFF2-40B4-BE49-F238E27FC236}">
                <a16:creationId xmlns:a16="http://schemas.microsoft.com/office/drawing/2014/main" id="{C030E996-1A8C-EA9D-6481-9E98265EB68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52" name="Shape 27">
            <a:extLst>
              <a:ext uri="{FF2B5EF4-FFF2-40B4-BE49-F238E27FC236}">
                <a16:creationId xmlns:a16="http://schemas.microsoft.com/office/drawing/2014/main" id="{A2A11823-4EB8-40C5-3271-4561E5F7931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53" name="Shape 28">
            <a:extLst>
              <a:ext uri="{FF2B5EF4-FFF2-40B4-BE49-F238E27FC236}">
                <a16:creationId xmlns:a16="http://schemas.microsoft.com/office/drawing/2014/main" id="{9F61F958-E868-4D21-9B4C-E3C0F74B19E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54" name="Shape 29">
            <a:extLst>
              <a:ext uri="{FF2B5EF4-FFF2-40B4-BE49-F238E27FC236}">
                <a16:creationId xmlns:a16="http://schemas.microsoft.com/office/drawing/2014/main" id="{74BA03E3-3017-1F3C-2920-3750F39C807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55" name="Shape 30">
            <a:extLst>
              <a:ext uri="{FF2B5EF4-FFF2-40B4-BE49-F238E27FC236}">
                <a16:creationId xmlns:a16="http://schemas.microsoft.com/office/drawing/2014/main" id="{E0CDFF03-71B2-D77D-411C-76E7B2A14CC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56" name="Shape 31">
            <a:extLst>
              <a:ext uri="{FF2B5EF4-FFF2-40B4-BE49-F238E27FC236}">
                <a16:creationId xmlns:a16="http://schemas.microsoft.com/office/drawing/2014/main" id="{260D4BC9-165C-B179-86F5-24B1105B555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695</xdr:row>
      <xdr:rowOff>3703</xdr:rowOff>
    </xdr:from>
    <xdr:ext cx="33655" cy="33655"/>
    <xdr:grpSp>
      <xdr:nvGrpSpPr>
        <xdr:cNvPr id="5457" name="Group 32">
          <a:extLst>
            <a:ext uri="{FF2B5EF4-FFF2-40B4-BE49-F238E27FC236}">
              <a16:creationId xmlns:a16="http://schemas.microsoft.com/office/drawing/2014/main" id="{C3B26A9D-12A5-4A2A-A402-20A510F46E89}"/>
            </a:ext>
          </a:extLst>
        </xdr:cNvPr>
        <xdr:cNvGrpSpPr/>
      </xdr:nvGrpSpPr>
      <xdr:grpSpPr>
        <a:xfrm>
          <a:off x="4603072" y="128600572"/>
          <a:ext cx="33655" cy="33655"/>
          <a:chOff x="0" y="0"/>
          <a:chExt cx="33655" cy="33655"/>
        </a:xfrm>
      </xdr:grpSpPr>
      <xdr:sp macro="" textlink="">
        <xdr:nvSpPr>
          <xdr:cNvPr id="5458" name="Shape 33">
            <a:extLst>
              <a:ext uri="{FF2B5EF4-FFF2-40B4-BE49-F238E27FC236}">
                <a16:creationId xmlns:a16="http://schemas.microsoft.com/office/drawing/2014/main" id="{B445E24D-5FDB-E055-1656-F7D84A743FA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59" name="Shape 34">
            <a:extLst>
              <a:ext uri="{FF2B5EF4-FFF2-40B4-BE49-F238E27FC236}">
                <a16:creationId xmlns:a16="http://schemas.microsoft.com/office/drawing/2014/main" id="{856681BA-64C4-054C-0D3C-02F7EA8AC74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60" name="Shape 35">
            <a:extLst>
              <a:ext uri="{FF2B5EF4-FFF2-40B4-BE49-F238E27FC236}">
                <a16:creationId xmlns:a16="http://schemas.microsoft.com/office/drawing/2014/main" id="{612956CA-09F4-4106-547C-0C4EF3FF175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61" name="Shape 36">
            <a:extLst>
              <a:ext uri="{FF2B5EF4-FFF2-40B4-BE49-F238E27FC236}">
                <a16:creationId xmlns:a16="http://schemas.microsoft.com/office/drawing/2014/main" id="{9113FE7D-01DF-FF33-94B5-C679BEBC237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62" name="Shape 37">
            <a:extLst>
              <a:ext uri="{FF2B5EF4-FFF2-40B4-BE49-F238E27FC236}">
                <a16:creationId xmlns:a16="http://schemas.microsoft.com/office/drawing/2014/main" id="{19667A5F-50D3-490B-F88F-D612310CF65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63" name="Shape 38">
            <a:extLst>
              <a:ext uri="{FF2B5EF4-FFF2-40B4-BE49-F238E27FC236}">
                <a16:creationId xmlns:a16="http://schemas.microsoft.com/office/drawing/2014/main" id="{19D61ECC-5FD0-7441-81E7-B19A431DA3D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64" name="Shape 39">
            <a:extLst>
              <a:ext uri="{FF2B5EF4-FFF2-40B4-BE49-F238E27FC236}">
                <a16:creationId xmlns:a16="http://schemas.microsoft.com/office/drawing/2014/main" id="{533B1A04-C2EE-79D3-FABB-FB3D8FF07FD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65" name="Shape 40">
            <a:extLst>
              <a:ext uri="{FF2B5EF4-FFF2-40B4-BE49-F238E27FC236}">
                <a16:creationId xmlns:a16="http://schemas.microsoft.com/office/drawing/2014/main" id="{39EFE780-1A19-F37D-C1A2-5F737F12D54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66" name="Shape 41">
            <a:extLst>
              <a:ext uri="{FF2B5EF4-FFF2-40B4-BE49-F238E27FC236}">
                <a16:creationId xmlns:a16="http://schemas.microsoft.com/office/drawing/2014/main" id="{EC863E77-B29A-CFA9-4958-D7695DF2D66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67" name="Shape 42">
            <a:extLst>
              <a:ext uri="{FF2B5EF4-FFF2-40B4-BE49-F238E27FC236}">
                <a16:creationId xmlns:a16="http://schemas.microsoft.com/office/drawing/2014/main" id="{2DE54486-B6D6-AD4D-4FD1-08683CFD4CB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68" name="Shape 43">
            <a:extLst>
              <a:ext uri="{FF2B5EF4-FFF2-40B4-BE49-F238E27FC236}">
                <a16:creationId xmlns:a16="http://schemas.microsoft.com/office/drawing/2014/main" id="{D8A9DE94-CF45-7FBA-8180-FC6155609EF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69" name="Shape 44">
            <a:extLst>
              <a:ext uri="{FF2B5EF4-FFF2-40B4-BE49-F238E27FC236}">
                <a16:creationId xmlns:a16="http://schemas.microsoft.com/office/drawing/2014/main" id="{AECC12AA-7AD0-4853-6358-16614089629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70" name="Shape 45">
            <a:extLst>
              <a:ext uri="{FF2B5EF4-FFF2-40B4-BE49-F238E27FC236}">
                <a16:creationId xmlns:a16="http://schemas.microsoft.com/office/drawing/2014/main" id="{DCA40536-DB4A-120B-7C6C-D836E68DF4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71" name="Shape 46">
            <a:extLst>
              <a:ext uri="{FF2B5EF4-FFF2-40B4-BE49-F238E27FC236}">
                <a16:creationId xmlns:a16="http://schemas.microsoft.com/office/drawing/2014/main" id="{4C60C789-59FB-4465-C86A-190F5C87EE1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695</xdr:row>
      <xdr:rowOff>3409</xdr:rowOff>
    </xdr:from>
    <xdr:ext cx="33655" cy="33655"/>
    <xdr:grpSp>
      <xdr:nvGrpSpPr>
        <xdr:cNvPr id="5472" name="Group 47">
          <a:extLst>
            <a:ext uri="{FF2B5EF4-FFF2-40B4-BE49-F238E27FC236}">
              <a16:creationId xmlns:a16="http://schemas.microsoft.com/office/drawing/2014/main" id="{6D6813CB-AE72-43B3-A086-BBAD84BA2C7A}"/>
            </a:ext>
          </a:extLst>
        </xdr:cNvPr>
        <xdr:cNvGrpSpPr/>
      </xdr:nvGrpSpPr>
      <xdr:grpSpPr>
        <a:xfrm>
          <a:off x="4603072" y="128600278"/>
          <a:ext cx="33655" cy="33655"/>
          <a:chOff x="0" y="0"/>
          <a:chExt cx="33655" cy="33655"/>
        </a:xfrm>
      </xdr:grpSpPr>
      <xdr:sp macro="" textlink="">
        <xdr:nvSpPr>
          <xdr:cNvPr id="5473" name="Shape 48">
            <a:extLst>
              <a:ext uri="{FF2B5EF4-FFF2-40B4-BE49-F238E27FC236}">
                <a16:creationId xmlns:a16="http://schemas.microsoft.com/office/drawing/2014/main" id="{00148169-8D06-6A20-4EC5-AC06B2C3961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74" name="Shape 49">
            <a:extLst>
              <a:ext uri="{FF2B5EF4-FFF2-40B4-BE49-F238E27FC236}">
                <a16:creationId xmlns:a16="http://schemas.microsoft.com/office/drawing/2014/main" id="{AB9AA99A-A3DC-F6B9-03A1-01E7551FF02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75" name="Shape 50">
            <a:extLst>
              <a:ext uri="{FF2B5EF4-FFF2-40B4-BE49-F238E27FC236}">
                <a16:creationId xmlns:a16="http://schemas.microsoft.com/office/drawing/2014/main" id="{B0041D41-0975-9C46-47B7-A43EB225B19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76" name="Shape 51">
            <a:extLst>
              <a:ext uri="{FF2B5EF4-FFF2-40B4-BE49-F238E27FC236}">
                <a16:creationId xmlns:a16="http://schemas.microsoft.com/office/drawing/2014/main" id="{EC5A96BB-1CF4-8E4C-3DD2-9FDA76E88DF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77" name="Shape 52">
            <a:extLst>
              <a:ext uri="{FF2B5EF4-FFF2-40B4-BE49-F238E27FC236}">
                <a16:creationId xmlns:a16="http://schemas.microsoft.com/office/drawing/2014/main" id="{04353C26-0093-E8E7-BFA7-7329709A0B7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78" name="Shape 53">
            <a:extLst>
              <a:ext uri="{FF2B5EF4-FFF2-40B4-BE49-F238E27FC236}">
                <a16:creationId xmlns:a16="http://schemas.microsoft.com/office/drawing/2014/main" id="{C714FCC0-B48C-E756-7C99-877F4C46B43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79" name="Shape 54">
            <a:extLst>
              <a:ext uri="{FF2B5EF4-FFF2-40B4-BE49-F238E27FC236}">
                <a16:creationId xmlns:a16="http://schemas.microsoft.com/office/drawing/2014/main" id="{2BE5BCD9-2505-7B17-14AB-FD994363CB6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80" name="Shape 55">
            <a:extLst>
              <a:ext uri="{FF2B5EF4-FFF2-40B4-BE49-F238E27FC236}">
                <a16:creationId xmlns:a16="http://schemas.microsoft.com/office/drawing/2014/main" id="{59D099B1-28C1-DF2D-5B3E-60D9FF103E3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81" name="Shape 56">
            <a:extLst>
              <a:ext uri="{FF2B5EF4-FFF2-40B4-BE49-F238E27FC236}">
                <a16:creationId xmlns:a16="http://schemas.microsoft.com/office/drawing/2014/main" id="{23692F9F-5B7E-8386-97A8-E4FA09B10EC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82" name="Shape 57">
            <a:extLst>
              <a:ext uri="{FF2B5EF4-FFF2-40B4-BE49-F238E27FC236}">
                <a16:creationId xmlns:a16="http://schemas.microsoft.com/office/drawing/2014/main" id="{31199ECE-DA05-EE1E-60DF-094123A3057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83" name="Shape 58">
            <a:extLst>
              <a:ext uri="{FF2B5EF4-FFF2-40B4-BE49-F238E27FC236}">
                <a16:creationId xmlns:a16="http://schemas.microsoft.com/office/drawing/2014/main" id="{2C5E466F-82B6-A376-7311-9AF6C972C5E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84" name="Shape 59">
            <a:extLst>
              <a:ext uri="{FF2B5EF4-FFF2-40B4-BE49-F238E27FC236}">
                <a16:creationId xmlns:a16="http://schemas.microsoft.com/office/drawing/2014/main" id="{D4004780-23C9-CBEF-EB80-98B860241CE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85" name="Shape 60">
            <a:extLst>
              <a:ext uri="{FF2B5EF4-FFF2-40B4-BE49-F238E27FC236}">
                <a16:creationId xmlns:a16="http://schemas.microsoft.com/office/drawing/2014/main" id="{02C5E2AB-0B7D-8107-88E6-3F71D029D5D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486" name="Shape 61">
            <a:extLst>
              <a:ext uri="{FF2B5EF4-FFF2-40B4-BE49-F238E27FC236}">
                <a16:creationId xmlns:a16="http://schemas.microsoft.com/office/drawing/2014/main" id="{EB97BA2A-7066-E797-8882-66EC98F1E97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695</xdr:row>
      <xdr:rowOff>3962</xdr:rowOff>
    </xdr:from>
    <xdr:ext cx="33655" cy="33655"/>
    <xdr:grpSp>
      <xdr:nvGrpSpPr>
        <xdr:cNvPr id="5487" name="Group 62">
          <a:extLst>
            <a:ext uri="{FF2B5EF4-FFF2-40B4-BE49-F238E27FC236}">
              <a16:creationId xmlns:a16="http://schemas.microsoft.com/office/drawing/2014/main" id="{A31E3DE9-2BC9-4756-9939-5A04EFDA1BC5}"/>
            </a:ext>
          </a:extLst>
        </xdr:cNvPr>
        <xdr:cNvGrpSpPr/>
      </xdr:nvGrpSpPr>
      <xdr:grpSpPr>
        <a:xfrm>
          <a:off x="4603072" y="128600831"/>
          <a:ext cx="33655" cy="33655"/>
          <a:chOff x="0" y="0"/>
          <a:chExt cx="33655" cy="33655"/>
        </a:xfrm>
      </xdr:grpSpPr>
      <xdr:sp macro="" textlink="">
        <xdr:nvSpPr>
          <xdr:cNvPr id="5488" name="Shape 63">
            <a:extLst>
              <a:ext uri="{FF2B5EF4-FFF2-40B4-BE49-F238E27FC236}">
                <a16:creationId xmlns:a16="http://schemas.microsoft.com/office/drawing/2014/main" id="{B90936CF-B4BD-3BB1-EF2D-DBF3CFC450E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89" name="Shape 64">
            <a:extLst>
              <a:ext uri="{FF2B5EF4-FFF2-40B4-BE49-F238E27FC236}">
                <a16:creationId xmlns:a16="http://schemas.microsoft.com/office/drawing/2014/main" id="{02F09A24-E38A-D6CC-ABBC-336A928C3F8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90" name="Shape 65">
            <a:extLst>
              <a:ext uri="{FF2B5EF4-FFF2-40B4-BE49-F238E27FC236}">
                <a16:creationId xmlns:a16="http://schemas.microsoft.com/office/drawing/2014/main" id="{29C3B8D5-F5CA-FDF7-D66D-FDE6FBE4201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91" name="Shape 66">
            <a:extLst>
              <a:ext uri="{FF2B5EF4-FFF2-40B4-BE49-F238E27FC236}">
                <a16:creationId xmlns:a16="http://schemas.microsoft.com/office/drawing/2014/main" id="{0F443706-09AB-8C07-24D9-FB216944EA6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92" name="Shape 67">
            <a:extLst>
              <a:ext uri="{FF2B5EF4-FFF2-40B4-BE49-F238E27FC236}">
                <a16:creationId xmlns:a16="http://schemas.microsoft.com/office/drawing/2014/main" id="{088C1F3E-2579-C05B-D157-EEC85B79D1B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93" name="Shape 68">
            <a:extLst>
              <a:ext uri="{FF2B5EF4-FFF2-40B4-BE49-F238E27FC236}">
                <a16:creationId xmlns:a16="http://schemas.microsoft.com/office/drawing/2014/main" id="{11260377-B6E7-2073-0052-B95FD01DEF0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94" name="Shape 69">
            <a:extLst>
              <a:ext uri="{FF2B5EF4-FFF2-40B4-BE49-F238E27FC236}">
                <a16:creationId xmlns:a16="http://schemas.microsoft.com/office/drawing/2014/main" id="{7E5796CA-8A68-2F8C-5BAC-E2FDB17A4C4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95" name="Shape 70">
            <a:extLst>
              <a:ext uri="{FF2B5EF4-FFF2-40B4-BE49-F238E27FC236}">
                <a16:creationId xmlns:a16="http://schemas.microsoft.com/office/drawing/2014/main" id="{CC2634D5-3F91-D7F7-D570-5FE5344DF20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96" name="Shape 71">
            <a:extLst>
              <a:ext uri="{FF2B5EF4-FFF2-40B4-BE49-F238E27FC236}">
                <a16:creationId xmlns:a16="http://schemas.microsoft.com/office/drawing/2014/main" id="{1D0A9F60-7B88-D4FF-7F69-3E6F12698E7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97" name="Shape 72">
            <a:extLst>
              <a:ext uri="{FF2B5EF4-FFF2-40B4-BE49-F238E27FC236}">
                <a16:creationId xmlns:a16="http://schemas.microsoft.com/office/drawing/2014/main" id="{E5821760-AC09-1714-5559-C0698722B0D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498" name="Shape 73">
            <a:extLst>
              <a:ext uri="{FF2B5EF4-FFF2-40B4-BE49-F238E27FC236}">
                <a16:creationId xmlns:a16="http://schemas.microsoft.com/office/drawing/2014/main" id="{CCB5CE35-3EFA-708E-AC25-4F622D8A2B8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499" name="Shape 74">
            <a:extLst>
              <a:ext uri="{FF2B5EF4-FFF2-40B4-BE49-F238E27FC236}">
                <a16:creationId xmlns:a16="http://schemas.microsoft.com/office/drawing/2014/main" id="{B7871779-0FE8-9586-65AE-6F622B60BB0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00" name="Shape 75">
            <a:extLst>
              <a:ext uri="{FF2B5EF4-FFF2-40B4-BE49-F238E27FC236}">
                <a16:creationId xmlns:a16="http://schemas.microsoft.com/office/drawing/2014/main" id="{1424767D-AD32-867B-8B4D-4BCA6F43768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01" name="Shape 76">
            <a:extLst>
              <a:ext uri="{FF2B5EF4-FFF2-40B4-BE49-F238E27FC236}">
                <a16:creationId xmlns:a16="http://schemas.microsoft.com/office/drawing/2014/main" id="{611633D7-78C7-9B7D-7A41-70889103865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695</xdr:row>
      <xdr:rowOff>2978</xdr:rowOff>
    </xdr:from>
    <xdr:ext cx="33655" cy="33655"/>
    <xdr:grpSp>
      <xdr:nvGrpSpPr>
        <xdr:cNvPr id="5502" name="Group 2">
          <a:extLst>
            <a:ext uri="{FF2B5EF4-FFF2-40B4-BE49-F238E27FC236}">
              <a16:creationId xmlns:a16="http://schemas.microsoft.com/office/drawing/2014/main" id="{05C725C1-5502-4670-AEC3-BD2583E086EA}"/>
            </a:ext>
          </a:extLst>
        </xdr:cNvPr>
        <xdr:cNvGrpSpPr/>
      </xdr:nvGrpSpPr>
      <xdr:grpSpPr>
        <a:xfrm>
          <a:off x="4603072" y="128599847"/>
          <a:ext cx="33655" cy="33655"/>
          <a:chOff x="0" y="0"/>
          <a:chExt cx="33655" cy="33655"/>
        </a:xfrm>
      </xdr:grpSpPr>
      <xdr:sp macro="" textlink="">
        <xdr:nvSpPr>
          <xdr:cNvPr id="5503" name="Shape 3">
            <a:extLst>
              <a:ext uri="{FF2B5EF4-FFF2-40B4-BE49-F238E27FC236}">
                <a16:creationId xmlns:a16="http://schemas.microsoft.com/office/drawing/2014/main" id="{AD6A2C3E-6D28-6A76-819D-2F77AA3705A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04" name="Shape 4">
            <a:extLst>
              <a:ext uri="{FF2B5EF4-FFF2-40B4-BE49-F238E27FC236}">
                <a16:creationId xmlns:a16="http://schemas.microsoft.com/office/drawing/2014/main" id="{665D8D95-56EF-0052-CC5A-12DAC6406B7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05" name="Shape 5">
            <a:extLst>
              <a:ext uri="{FF2B5EF4-FFF2-40B4-BE49-F238E27FC236}">
                <a16:creationId xmlns:a16="http://schemas.microsoft.com/office/drawing/2014/main" id="{585C6B5C-FE44-FB22-F5C4-BFC5C4B0A35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06" name="Shape 6">
            <a:extLst>
              <a:ext uri="{FF2B5EF4-FFF2-40B4-BE49-F238E27FC236}">
                <a16:creationId xmlns:a16="http://schemas.microsoft.com/office/drawing/2014/main" id="{1D4CA01A-0D37-5DD2-DE1D-20D4DDAEB54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07" name="Shape 7">
            <a:extLst>
              <a:ext uri="{FF2B5EF4-FFF2-40B4-BE49-F238E27FC236}">
                <a16:creationId xmlns:a16="http://schemas.microsoft.com/office/drawing/2014/main" id="{453D78EC-4166-16F4-6CBD-0A3D3623032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08" name="Shape 8">
            <a:extLst>
              <a:ext uri="{FF2B5EF4-FFF2-40B4-BE49-F238E27FC236}">
                <a16:creationId xmlns:a16="http://schemas.microsoft.com/office/drawing/2014/main" id="{E4E9A346-5D5D-5BE4-A01B-0C93490AB19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09" name="Shape 9">
            <a:extLst>
              <a:ext uri="{FF2B5EF4-FFF2-40B4-BE49-F238E27FC236}">
                <a16:creationId xmlns:a16="http://schemas.microsoft.com/office/drawing/2014/main" id="{7D209B5D-5F75-4784-1A47-E38BC1D2DE3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10" name="Shape 10">
            <a:extLst>
              <a:ext uri="{FF2B5EF4-FFF2-40B4-BE49-F238E27FC236}">
                <a16:creationId xmlns:a16="http://schemas.microsoft.com/office/drawing/2014/main" id="{3D61B605-394F-B337-E2CD-71DF0266157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11" name="Shape 11">
            <a:extLst>
              <a:ext uri="{FF2B5EF4-FFF2-40B4-BE49-F238E27FC236}">
                <a16:creationId xmlns:a16="http://schemas.microsoft.com/office/drawing/2014/main" id="{49B2E641-15A5-B0B8-514F-835C7B27881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12" name="Shape 12">
            <a:extLst>
              <a:ext uri="{FF2B5EF4-FFF2-40B4-BE49-F238E27FC236}">
                <a16:creationId xmlns:a16="http://schemas.microsoft.com/office/drawing/2014/main" id="{4C6F7486-A9C1-53DA-97E7-952516A1F72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13" name="Shape 13">
            <a:extLst>
              <a:ext uri="{FF2B5EF4-FFF2-40B4-BE49-F238E27FC236}">
                <a16:creationId xmlns:a16="http://schemas.microsoft.com/office/drawing/2014/main" id="{18725538-C816-09E8-BC9F-1C1FF10CDAA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14" name="Shape 14">
            <a:extLst>
              <a:ext uri="{FF2B5EF4-FFF2-40B4-BE49-F238E27FC236}">
                <a16:creationId xmlns:a16="http://schemas.microsoft.com/office/drawing/2014/main" id="{13E0155B-2475-8E70-AB29-E2009175FA0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15" name="Shape 15">
            <a:extLst>
              <a:ext uri="{FF2B5EF4-FFF2-40B4-BE49-F238E27FC236}">
                <a16:creationId xmlns:a16="http://schemas.microsoft.com/office/drawing/2014/main" id="{7107EA40-02BA-C5DA-0D75-BA88585DAD2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16" name="Shape 16">
            <a:extLst>
              <a:ext uri="{FF2B5EF4-FFF2-40B4-BE49-F238E27FC236}">
                <a16:creationId xmlns:a16="http://schemas.microsoft.com/office/drawing/2014/main" id="{1F10FB4A-4A74-4806-D223-73992755BC4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695</xdr:row>
      <xdr:rowOff>3246</xdr:rowOff>
    </xdr:from>
    <xdr:ext cx="33655" cy="33655"/>
    <xdr:grpSp>
      <xdr:nvGrpSpPr>
        <xdr:cNvPr id="5517" name="Group 17">
          <a:extLst>
            <a:ext uri="{FF2B5EF4-FFF2-40B4-BE49-F238E27FC236}">
              <a16:creationId xmlns:a16="http://schemas.microsoft.com/office/drawing/2014/main" id="{F3CEFD88-731A-443B-B5BD-86D2642F145E}"/>
            </a:ext>
          </a:extLst>
        </xdr:cNvPr>
        <xdr:cNvGrpSpPr/>
      </xdr:nvGrpSpPr>
      <xdr:grpSpPr>
        <a:xfrm>
          <a:off x="4603072" y="128600115"/>
          <a:ext cx="33655" cy="33655"/>
          <a:chOff x="0" y="0"/>
          <a:chExt cx="33655" cy="33655"/>
        </a:xfrm>
      </xdr:grpSpPr>
      <xdr:sp macro="" textlink="">
        <xdr:nvSpPr>
          <xdr:cNvPr id="5518" name="Shape 18">
            <a:extLst>
              <a:ext uri="{FF2B5EF4-FFF2-40B4-BE49-F238E27FC236}">
                <a16:creationId xmlns:a16="http://schemas.microsoft.com/office/drawing/2014/main" id="{D54012AC-FFA8-5EA1-89B2-63082081F05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19" name="Shape 19">
            <a:extLst>
              <a:ext uri="{FF2B5EF4-FFF2-40B4-BE49-F238E27FC236}">
                <a16:creationId xmlns:a16="http://schemas.microsoft.com/office/drawing/2014/main" id="{0C3BA9E3-B4C4-B712-92C4-8E8E1110FB3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20" name="Shape 20">
            <a:extLst>
              <a:ext uri="{FF2B5EF4-FFF2-40B4-BE49-F238E27FC236}">
                <a16:creationId xmlns:a16="http://schemas.microsoft.com/office/drawing/2014/main" id="{34A705FD-9436-7896-1C6E-9049AD1A73D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21" name="Shape 21">
            <a:extLst>
              <a:ext uri="{FF2B5EF4-FFF2-40B4-BE49-F238E27FC236}">
                <a16:creationId xmlns:a16="http://schemas.microsoft.com/office/drawing/2014/main" id="{106288AE-8E5F-5BD1-E67F-ACF1CE5B356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22" name="Shape 22">
            <a:extLst>
              <a:ext uri="{FF2B5EF4-FFF2-40B4-BE49-F238E27FC236}">
                <a16:creationId xmlns:a16="http://schemas.microsoft.com/office/drawing/2014/main" id="{42DBBB7A-95C8-D02A-0F6D-A96164820E2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23" name="Shape 23">
            <a:extLst>
              <a:ext uri="{FF2B5EF4-FFF2-40B4-BE49-F238E27FC236}">
                <a16:creationId xmlns:a16="http://schemas.microsoft.com/office/drawing/2014/main" id="{08529D18-6D09-D4CB-25B8-4FFD60CEDAD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24" name="Shape 24">
            <a:extLst>
              <a:ext uri="{FF2B5EF4-FFF2-40B4-BE49-F238E27FC236}">
                <a16:creationId xmlns:a16="http://schemas.microsoft.com/office/drawing/2014/main" id="{D5DE6346-832A-47B2-5189-C307DA216FE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25" name="Shape 25">
            <a:extLst>
              <a:ext uri="{FF2B5EF4-FFF2-40B4-BE49-F238E27FC236}">
                <a16:creationId xmlns:a16="http://schemas.microsoft.com/office/drawing/2014/main" id="{E011059E-7EDD-AF41-140F-43BE420DDCD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26" name="Shape 26">
            <a:extLst>
              <a:ext uri="{FF2B5EF4-FFF2-40B4-BE49-F238E27FC236}">
                <a16:creationId xmlns:a16="http://schemas.microsoft.com/office/drawing/2014/main" id="{1016FC3D-09BD-3655-B164-CB38F678807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27" name="Shape 27">
            <a:extLst>
              <a:ext uri="{FF2B5EF4-FFF2-40B4-BE49-F238E27FC236}">
                <a16:creationId xmlns:a16="http://schemas.microsoft.com/office/drawing/2014/main" id="{DD6605AB-FB89-2B42-F4FB-10289AEDC70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28" name="Shape 28">
            <a:extLst>
              <a:ext uri="{FF2B5EF4-FFF2-40B4-BE49-F238E27FC236}">
                <a16:creationId xmlns:a16="http://schemas.microsoft.com/office/drawing/2014/main" id="{AD865B03-0F92-C77C-CD19-74E01BFF9D7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29" name="Shape 29">
            <a:extLst>
              <a:ext uri="{FF2B5EF4-FFF2-40B4-BE49-F238E27FC236}">
                <a16:creationId xmlns:a16="http://schemas.microsoft.com/office/drawing/2014/main" id="{FEF0EF64-870C-5341-18CF-9EB0850646F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30" name="Shape 30">
            <a:extLst>
              <a:ext uri="{FF2B5EF4-FFF2-40B4-BE49-F238E27FC236}">
                <a16:creationId xmlns:a16="http://schemas.microsoft.com/office/drawing/2014/main" id="{FB856D75-222A-B6F9-0273-0709E16EF9D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31" name="Shape 31">
            <a:extLst>
              <a:ext uri="{FF2B5EF4-FFF2-40B4-BE49-F238E27FC236}">
                <a16:creationId xmlns:a16="http://schemas.microsoft.com/office/drawing/2014/main" id="{374347AE-D584-FEA0-549E-07DE21BA9DB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695</xdr:row>
      <xdr:rowOff>3703</xdr:rowOff>
    </xdr:from>
    <xdr:ext cx="33655" cy="33655"/>
    <xdr:grpSp>
      <xdr:nvGrpSpPr>
        <xdr:cNvPr id="5532" name="Group 32">
          <a:extLst>
            <a:ext uri="{FF2B5EF4-FFF2-40B4-BE49-F238E27FC236}">
              <a16:creationId xmlns:a16="http://schemas.microsoft.com/office/drawing/2014/main" id="{3D0F2410-0419-4C20-8BB1-F11C83914EC2}"/>
            </a:ext>
          </a:extLst>
        </xdr:cNvPr>
        <xdr:cNvGrpSpPr/>
      </xdr:nvGrpSpPr>
      <xdr:grpSpPr>
        <a:xfrm>
          <a:off x="4603072" y="128600572"/>
          <a:ext cx="33655" cy="33655"/>
          <a:chOff x="0" y="0"/>
          <a:chExt cx="33655" cy="33655"/>
        </a:xfrm>
      </xdr:grpSpPr>
      <xdr:sp macro="" textlink="">
        <xdr:nvSpPr>
          <xdr:cNvPr id="5533" name="Shape 33">
            <a:extLst>
              <a:ext uri="{FF2B5EF4-FFF2-40B4-BE49-F238E27FC236}">
                <a16:creationId xmlns:a16="http://schemas.microsoft.com/office/drawing/2014/main" id="{52B0AD0E-F979-270D-6609-699EE05D0D3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34" name="Shape 34">
            <a:extLst>
              <a:ext uri="{FF2B5EF4-FFF2-40B4-BE49-F238E27FC236}">
                <a16:creationId xmlns:a16="http://schemas.microsoft.com/office/drawing/2014/main" id="{FB4E4282-A55F-67EB-A60A-C1852DEF5C5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35" name="Shape 35">
            <a:extLst>
              <a:ext uri="{FF2B5EF4-FFF2-40B4-BE49-F238E27FC236}">
                <a16:creationId xmlns:a16="http://schemas.microsoft.com/office/drawing/2014/main" id="{E46240F9-81D7-03A0-0191-EAE85FB96DC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36" name="Shape 36">
            <a:extLst>
              <a:ext uri="{FF2B5EF4-FFF2-40B4-BE49-F238E27FC236}">
                <a16:creationId xmlns:a16="http://schemas.microsoft.com/office/drawing/2014/main" id="{E76C7740-67D0-1323-2F92-DE9C98FF438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37" name="Shape 37">
            <a:extLst>
              <a:ext uri="{FF2B5EF4-FFF2-40B4-BE49-F238E27FC236}">
                <a16:creationId xmlns:a16="http://schemas.microsoft.com/office/drawing/2014/main" id="{25BF4872-712D-D2F3-965A-6377D038E47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38" name="Shape 38">
            <a:extLst>
              <a:ext uri="{FF2B5EF4-FFF2-40B4-BE49-F238E27FC236}">
                <a16:creationId xmlns:a16="http://schemas.microsoft.com/office/drawing/2014/main" id="{49D6C60B-DD5A-64FC-1E55-2A34468537E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39" name="Shape 39">
            <a:extLst>
              <a:ext uri="{FF2B5EF4-FFF2-40B4-BE49-F238E27FC236}">
                <a16:creationId xmlns:a16="http://schemas.microsoft.com/office/drawing/2014/main" id="{5C71E4D8-31C2-37A4-F47C-97FEB105E56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40" name="Shape 40">
            <a:extLst>
              <a:ext uri="{FF2B5EF4-FFF2-40B4-BE49-F238E27FC236}">
                <a16:creationId xmlns:a16="http://schemas.microsoft.com/office/drawing/2014/main" id="{FD8ACE78-1668-6D68-729B-3E6E1C75C1D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41" name="Shape 41">
            <a:extLst>
              <a:ext uri="{FF2B5EF4-FFF2-40B4-BE49-F238E27FC236}">
                <a16:creationId xmlns:a16="http://schemas.microsoft.com/office/drawing/2014/main" id="{CC2C7AE8-BE06-083A-4980-FA2C9FAD69D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42" name="Shape 42">
            <a:extLst>
              <a:ext uri="{FF2B5EF4-FFF2-40B4-BE49-F238E27FC236}">
                <a16:creationId xmlns:a16="http://schemas.microsoft.com/office/drawing/2014/main" id="{530B3560-1CB4-E9C8-2C48-898A41F6A64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43" name="Shape 43">
            <a:extLst>
              <a:ext uri="{FF2B5EF4-FFF2-40B4-BE49-F238E27FC236}">
                <a16:creationId xmlns:a16="http://schemas.microsoft.com/office/drawing/2014/main" id="{3C67800B-436C-518E-7C71-17B40500C82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44" name="Shape 44">
            <a:extLst>
              <a:ext uri="{FF2B5EF4-FFF2-40B4-BE49-F238E27FC236}">
                <a16:creationId xmlns:a16="http://schemas.microsoft.com/office/drawing/2014/main" id="{E03B9708-6996-3DC1-2960-B6BE2DB3B0E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45" name="Shape 45">
            <a:extLst>
              <a:ext uri="{FF2B5EF4-FFF2-40B4-BE49-F238E27FC236}">
                <a16:creationId xmlns:a16="http://schemas.microsoft.com/office/drawing/2014/main" id="{892926DB-DCED-309B-F3EC-821F50FBB4A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46" name="Shape 46">
            <a:extLst>
              <a:ext uri="{FF2B5EF4-FFF2-40B4-BE49-F238E27FC236}">
                <a16:creationId xmlns:a16="http://schemas.microsoft.com/office/drawing/2014/main" id="{5DBAB62D-8542-67F4-68B5-E995817F346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695</xdr:row>
      <xdr:rowOff>3409</xdr:rowOff>
    </xdr:from>
    <xdr:ext cx="33655" cy="33655"/>
    <xdr:grpSp>
      <xdr:nvGrpSpPr>
        <xdr:cNvPr id="5547" name="Group 47">
          <a:extLst>
            <a:ext uri="{FF2B5EF4-FFF2-40B4-BE49-F238E27FC236}">
              <a16:creationId xmlns:a16="http://schemas.microsoft.com/office/drawing/2014/main" id="{70DA1742-42D9-4E2E-A589-82E4976E9EF0}"/>
            </a:ext>
          </a:extLst>
        </xdr:cNvPr>
        <xdr:cNvGrpSpPr/>
      </xdr:nvGrpSpPr>
      <xdr:grpSpPr>
        <a:xfrm>
          <a:off x="4603072" y="128600278"/>
          <a:ext cx="33655" cy="33655"/>
          <a:chOff x="0" y="0"/>
          <a:chExt cx="33655" cy="33655"/>
        </a:xfrm>
      </xdr:grpSpPr>
      <xdr:sp macro="" textlink="">
        <xdr:nvSpPr>
          <xdr:cNvPr id="5548" name="Shape 48">
            <a:extLst>
              <a:ext uri="{FF2B5EF4-FFF2-40B4-BE49-F238E27FC236}">
                <a16:creationId xmlns:a16="http://schemas.microsoft.com/office/drawing/2014/main" id="{12E0D7C7-874C-9490-A144-50C38037B3D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49" name="Shape 49">
            <a:extLst>
              <a:ext uri="{FF2B5EF4-FFF2-40B4-BE49-F238E27FC236}">
                <a16:creationId xmlns:a16="http://schemas.microsoft.com/office/drawing/2014/main" id="{9D44A168-AE51-FE62-E446-5062DA720E5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50" name="Shape 50">
            <a:extLst>
              <a:ext uri="{FF2B5EF4-FFF2-40B4-BE49-F238E27FC236}">
                <a16:creationId xmlns:a16="http://schemas.microsoft.com/office/drawing/2014/main" id="{B555527E-19C2-7E23-1CD6-F515C43B208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51" name="Shape 51">
            <a:extLst>
              <a:ext uri="{FF2B5EF4-FFF2-40B4-BE49-F238E27FC236}">
                <a16:creationId xmlns:a16="http://schemas.microsoft.com/office/drawing/2014/main" id="{ED2464DE-F94F-0124-4E24-B56DCB7840A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52" name="Shape 52">
            <a:extLst>
              <a:ext uri="{FF2B5EF4-FFF2-40B4-BE49-F238E27FC236}">
                <a16:creationId xmlns:a16="http://schemas.microsoft.com/office/drawing/2014/main" id="{BBCD0FA1-2A83-9936-6DCC-7F9D5CEBD88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53" name="Shape 53">
            <a:extLst>
              <a:ext uri="{FF2B5EF4-FFF2-40B4-BE49-F238E27FC236}">
                <a16:creationId xmlns:a16="http://schemas.microsoft.com/office/drawing/2014/main" id="{815EFDFE-F70D-7428-58C7-D99FD017256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54" name="Shape 54">
            <a:extLst>
              <a:ext uri="{FF2B5EF4-FFF2-40B4-BE49-F238E27FC236}">
                <a16:creationId xmlns:a16="http://schemas.microsoft.com/office/drawing/2014/main" id="{FDDB9BB6-F6D8-FE53-8020-59A3EFF3E24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55" name="Shape 55">
            <a:extLst>
              <a:ext uri="{FF2B5EF4-FFF2-40B4-BE49-F238E27FC236}">
                <a16:creationId xmlns:a16="http://schemas.microsoft.com/office/drawing/2014/main" id="{C2250F90-6FE0-E395-D80B-C0295AD38BC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56" name="Shape 56">
            <a:extLst>
              <a:ext uri="{FF2B5EF4-FFF2-40B4-BE49-F238E27FC236}">
                <a16:creationId xmlns:a16="http://schemas.microsoft.com/office/drawing/2014/main" id="{D9AC62BD-2226-BA90-D152-83406AB5DAE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57" name="Shape 57">
            <a:extLst>
              <a:ext uri="{FF2B5EF4-FFF2-40B4-BE49-F238E27FC236}">
                <a16:creationId xmlns:a16="http://schemas.microsoft.com/office/drawing/2014/main" id="{62017A61-819E-1277-12A0-684689CB02A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58" name="Shape 58">
            <a:extLst>
              <a:ext uri="{FF2B5EF4-FFF2-40B4-BE49-F238E27FC236}">
                <a16:creationId xmlns:a16="http://schemas.microsoft.com/office/drawing/2014/main" id="{589389B4-FC72-47C5-51BD-01109AE7286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59" name="Shape 59">
            <a:extLst>
              <a:ext uri="{FF2B5EF4-FFF2-40B4-BE49-F238E27FC236}">
                <a16:creationId xmlns:a16="http://schemas.microsoft.com/office/drawing/2014/main" id="{933AB003-B573-33AD-18AF-B74990DA519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60" name="Shape 60">
            <a:extLst>
              <a:ext uri="{FF2B5EF4-FFF2-40B4-BE49-F238E27FC236}">
                <a16:creationId xmlns:a16="http://schemas.microsoft.com/office/drawing/2014/main" id="{7A980F1C-9385-207F-B272-0BC169307A9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61" name="Shape 61">
            <a:extLst>
              <a:ext uri="{FF2B5EF4-FFF2-40B4-BE49-F238E27FC236}">
                <a16:creationId xmlns:a16="http://schemas.microsoft.com/office/drawing/2014/main" id="{997B0FF1-8C5E-C50C-24B1-DB27022E4E3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695</xdr:row>
      <xdr:rowOff>3962</xdr:rowOff>
    </xdr:from>
    <xdr:ext cx="33655" cy="33655"/>
    <xdr:grpSp>
      <xdr:nvGrpSpPr>
        <xdr:cNvPr id="5562" name="Group 62">
          <a:extLst>
            <a:ext uri="{FF2B5EF4-FFF2-40B4-BE49-F238E27FC236}">
              <a16:creationId xmlns:a16="http://schemas.microsoft.com/office/drawing/2014/main" id="{D4DD29F9-3C00-418F-9783-06B78ACAC10A}"/>
            </a:ext>
          </a:extLst>
        </xdr:cNvPr>
        <xdr:cNvGrpSpPr/>
      </xdr:nvGrpSpPr>
      <xdr:grpSpPr>
        <a:xfrm>
          <a:off x="4603072" y="128600831"/>
          <a:ext cx="33655" cy="33655"/>
          <a:chOff x="0" y="0"/>
          <a:chExt cx="33655" cy="33655"/>
        </a:xfrm>
      </xdr:grpSpPr>
      <xdr:sp macro="" textlink="">
        <xdr:nvSpPr>
          <xdr:cNvPr id="5563" name="Shape 63">
            <a:extLst>
              <a:ext uri="{FF2B5EF4-FFF2-40B4-BE49-F238E27FC236}">
                <a16:creationId xmlns:a16="http://schemas.microsoft.com/office/drawing/2014/main" id="{85DDF624-0D41-0F5A-8228-86B2552DDDD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64" name="Shape 64">
            <a:extLst>
              <a:ext uri="{FF2B5EF4-FFF2-40B4-BE49-F238E27FC236}">
                <a16:creationId xmlns:a16="http://schemas.microsoft.com/office/drawing/2014/main" id="{F5BFD0CF-FBF9-DB96-D19E-B55D3816A08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65" name="Shape 65">
            <a:extLst>
              <a:ext uri="{FF2B5EF4-FFF2-40B4-BE49-F238E27FC236}">
                <a16:creationId xmlns:a16="http://schemas.microsoft.com/office/drawing/2014/main" id="{F833D7C7-A2AC-B984-F528-E5F725BE0E4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66" name="Shape 66">
            <a:extLst>
              <a:ext uri="{FF2B5EF4-FFF2-40B4-BE49-F238E27FC236}">
                <a16:creationId xmlns:a16="http://schemas.microsoft.com/office/drawing/2014/main" id="{011573E5-8A4B-FD4F-7A5F-A2232A17F81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67" name="Shape 67">
            <a:extLst>
              <a:ext uri="{FF2B5EF4-FFF2-40B4-BE49-F238E27FC236}">
                <a16:creationId xmlns:a16="http://schemas.microsoft.com/office/drawing/2014/main" id="{AE7784B1-08D6-F642-093E-E6C149DFCAB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68" name="Shape 68">
            <a:extLst>
              <a:ext uri="{FF2B5EF4-FFF2-40B4-BE49-F238E27FC236}">
                <a16:creationId xmlns:a16="http://schemas.microsoft.com/office/drawing/2014/main" id="{09009EC2-C2A3-BBDD-A77E-A953E69429D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69" name="Shape 69">
            <a:extLst>
              <a:ext uri="{FF2B5EF4-FFF2-40B4-BE49-F238E27FC236}">
                <a16:creationId xmlns:a16="http://schemas.microsoft.com/office/drawing/2014/main" id="{544AA246-CE0F-7116-3E9E-AF13B8712CC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70" name="Shape 70">
            <a:extLst>
              <a:ext uri="{FF2B5EF4-FFF2-40B4-BE49-F238E27FC236}">
                <a16:creationId xmlns:a16="http://schemas.microsoft.com/office/drawing/2014/main" id="{06075A90-8220-235A-386A-93673EB14FE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71" name="Shape 71">
            <a:extLst>
              <a:ext uri="{FF2B5EF4-FFF2-40B4-BE49-F238E27FC236}">
                <a16:creationId xmlns:a16="http://schemas.microsoft.com/office/drawing/2014/main" id="{51AC51E1-C018-45FF-9713-43E1A37419F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72" name="Shape 72">
            <a:extLst>
              <a:ext uri="{FF2B5EF4-FFF2-40B4-BE49-F238E27FC236}">
                <a16:creationId xmlns:a16="http://schemas.microsoft.com/office/drawing/2014/main" id="{2C884195-8236-CB31-C75D-37DD89F7C00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73" name="Shape 73">
            <a:extLst>
              <a:ext uri="{FF2B5EF4-FFF2-40B4-BE49-F238E27FC236}">
                <a16:creationId xmlns:a16="http://schemas.microsoft.com/office/drawing/2014/main" id="{1E675C0A-CC0B-922D-8D28-A4FB3C4C617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74" name="Shape 74">
            <a:extLst>
              <a:ext uri="{FF2B5EF4-FFF2-40B4-BE49-F238E27FC236}">
                <a16:creationId xmlns:a16="http://schemas.microsoft.com/office/drawing/2014/main" id="{EDB3E705-3233-B5B4-345A-910D62A42A7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75" name="Shape 75">
            <a:extLst>
              <a:ext uri="{FF2B5EF4-FFF2-40B4-BE49-F238E27FC236}">
                <a16:creationId xmlns:a16="http://schemas.microsoft.com/office/drawing/2014/main" id="{1892840D-8415-7015-DED9-0AE0D6D06D8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576" name="Shape 76">
            <a:extLst>
              <a:ext uri="{FF2B5EF4-FFF2-40B4-BE49-F238E27FC236}">
                <a16:creationId xmlns:a16="http://schemas.microsoft.com/office/drawing/2014/main" id="{97DC7433-C1D1-9255-A6A6-F2CE1C11D70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706</xdr:row>
      <xdr:rowOff>2978</xdr:rowOff>
    </xdr:from>
    <xdr:ext cx="33655" cy="33655"/>
    <xdr:grpSp>
      <xdr:nvGrpSpPr>
        <xdr:cNvPr id="5577" name="Group 2">
          <a:extLst>
            <a:ext uri="{FF2B5EF4-FFF2-40B4-BE49-F238E27FC236}">
              <a16:creationId xmlns:a16="http://schemas.microsoft.com/office/drawing/2014/main" id="{020BC956-CE5F-48C1-82BC-7689CE438A04}"/>
            </a:ext>
          </a:extLst>
        </xdr:cNvPr>
        <xdr:cNvGrpSpPr/>
      </xdr:nvGrpSpPr>
      <xdr:grpSpPr>
        <a:xfrm>
          <a:off x="4603072" y="130592289"/>
          <a:ext cx="33655" cy="33655"/>
          <a:chOff x="0" y="0"/>
          <a:chExt cx="33655" cy="33655"/>
        </a:xfrm>
      </xdr:grpSpPr>
      <xdr:sp macro="" textlink="">
        <xdr:nvSpPr>
          <xdr:cNvPr id="5578" name="Shape 3">
            <a:extLst>
              <a:ext uri="{FF2B5EF4-FFF2-40B4-BE49-F238E27FC236}">
                <a16:creationId xmlns:a16="http://schemas.microsoft.com/office/drawing/2014/main" id="{F3F6FF6C-8F39-3CD2-2BC5-07859C5ABB0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79" name="Shape 4">
            <a:extLst>
              <a:ext uri="{FF2B5EF4-FFF2-40B4-BE49-F238E27FC236}">
                <a16:creationId xmlns:a16="http://schemas.microsoft.com/office/drawing/2014/main" id="{2EDCAE69-6D3D-8A9A-B141-D8485D09253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80" name="Shape 5">
            <a:extLst>
              <a:ext uri="{FF2B5EF4-FFF2-40B4-BE49-F238E27FC236}">
                <a16:creationId xmlns:a16="http://schemas.microsoft.com/office/drawing/2014/main" id="{8770B19D-802D-44CC-D59C-F6407A48759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81" name="Shape 6">
            <a:extLst>
              <a:ext uri="{FF2B5EF4-FFF2-40B4-BE49-F238E27FC236}">
                <a16:creationId xmlns:a16="http://schemas.microsoft.com/office/drawing/2014/main" id="{DC42F41D-EC3C-0843-2D73-486D150CA4C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82" name="Shape 7">
            <a:extLst>
              <a:ext uri="{FF2B5EF4-FFF2-40B4-BE49-F238E27FC236}">
                <a16:creationId xmlns:a16="http://schemas.microsoft.com/office/drawing/2014/main" id="{65CE2E1A-3B06-B3F8-FC59-F2D92EC9BE1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83" name="Shape 8">
            <a:extLst>
              <a:ext uri="{FF2B5EF4-FFF2-40B4-BE49-F238E27FC236}">
                <a16:creationId xmlns:a16="http://schemas.microsoft.com/office/drawing/2014/main" id="{A3A16E25-2DF3-5FDF-2074-7A25DB903F5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84" name="Shape 9">
            <a:extLst>
              <a:ext uri="{FF2B5EF4-FFF2-40B4-BE49-F238E27FC236}">
                <a16:creationId xmlns:a16="http://schemas.microsoft.com/office/drawing/2014/main" id="{EF33A90F-4465-B9FD-3CFF-9C539D05A4F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85" name="Shape 10">
            <a:extLst>
              <a:ext uri="{FF2B5EF4-FFF2-40B4-BE49-F238E27FC236}">
                <a16:creationId xmlns:a16="http://schemas.microsoft.com/office/drawing/2014/main" id="{8FA364D4-F55A-20B4-777A-E8359A5EE6A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86" name="Shape 11">
            <a:extLst>
              <a:ext uri="{FF2B5EF4-FFF2-40B4-BE49-F238E27FC236}">
                <a16:creationId xmlns:a16="http://schemas.microsoft.com/office/drawing/2014/main" id="{E2464B7F-9968-7891-E940-958206BF710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87" name="Shape 12">
            <a:extLst>
              <a:ext uri="{FF2B5EF4-FFF2-40B4-BE49-F238E27FC236}">
                <a16:creationId xmlns:a16="http://schemas.microsoft.com/office/drawing/2014/main" id="{B42A8748-A11D-14A3-2EA4-E36C1915E1B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88" name="Shape 13">
            <a:extLst>
              <a:ext uri="{FF2B5EF4-FFF2-40B4-BE49-F238E27FC236}">
                <a16:creationId xmlns:a16="http://schemas.microsoft.com/office/drawing/2014/main" id="{8CCBADBC-FE44-F992-C5EF-B4DB63A12DF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89" name="Shape 14">
            <a:extLst>
              <a:ext uri="{FF2B5EF4-FFF2-40B4-BE49-F238E27FC236}">
                <a16:creationId xmlns:a16="http://schemas.microsoft.com/office/drawing/2014/main" id="{7A1FA5B4-1DA8-2D02-0A5C-AA8AE23108D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90" name="Shape 15">
            <a:extLst>
              <a:ext uri="{FF2B5EF4-FFF2-40B4-BE49-F238E27FC236}">
                <a16:creationId xmlns:a16="http://schemas.microsoft.com/office/drawing/2014/main" id="{F5136AE4-F856-A344-84A6-D244B8DE4F1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91" name="Shape 16">
            <a:extLst>
              <a:ext uri="{FF2B5EF4-FFF2-40B4-BE49-F238E27FC236}">
                <a16:creationId xmlns:a16="http://schemas.microsoft.com/office/drawing/2014/main" id="{7CE88DDC-A2B7-7805-B66E-7EF23359E0C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706</xdr:row>
      <xdr:rowOff>3246</xdr:rowOff>
    </xdr:from>
    <xdr:ext cx="33655" cy="33655"/>
    <xdr:grpSp>
      <xdr:nvGrpSpPr>
        <xdr:cNvPr id="5592" name="Group 17">
          <a:extLst>
            <a:ext uri="{FF2B5EF4-FFF2-40B4-BE49-F238E27FC236}">
              <a16:creationId xmlns:a16="http://schemas.microsoft.com/office/drawing/2014/main" id="{C6CC2DF8-196C-4046-A631-38608A346F1C}"/>
            </a:ext>
          </a:extLst>
        </xdr:cNvPr>
        <xdr:cNvGrpSpPr/>
      </xdr:nvGrpSpPr>
      <xdr:grpSpPr>
        <a:xfrm>
          <a:off x="4603072" y="130592557"/>
          <a:ext cx="33655" cy="33655"/>
          <a:chOff x="0" y="0"/>
          <a:chExt cx="33655" cy="33655"/>
        </a:xfrm>
      </xdr:grpSpPr>
      <xdr:sp macro="" textlink="">
        <xdr:nvSpPr>
          <xdr:cNvPr id="5593" name="Shape 18">
            <a:extLst>
              <a:ext uri="{FF2B5EF4-FFF2-40B4-BE49-F238E27FC236}">
                <a16:creationId xmlns:a16="http://schemas.microsoft.com/office/drawing/2014/main" id="{EBDD0E1D-5D99-09FA-0469-EB94695BCE0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94" name="Shape 19">
            <a:extLst>
              <a:ext uri="{FF2B5EF4-FFF2-40B4-BE49-F238E27FC236}">
                <a16:creationId xmlns:a16="http://schemas.microsoft.com/office/drawing/2014/main" id="{A25E9E1B-94EE-7554-37EF-9C6866C892A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95" name="Shape 20">
            <a:extLst>
              <a:ext uri="{FF2B5EF4-FFF2-40B4-BE49-F238E27FC236}">
                <a16:creationId xmlns:a16="http://schemas.microsoft.com/office/drawing/2014/main" id="{C3716F4A-24B9-6498-7C2B-DAF31B4221D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96" name="Shape 21">
            <a:extLst>
              <a:ext uri="{FF2B5EF4-FFF2-40B4-BE49-F238E27FC236}">
                <a16:creationId xmlns:a16="http://schemas.microsoft.com/office/drawing/2014/main" id="{78FAC9C1-DB79-1AB4-4FC9-846429B8743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97" name="Shape 22">
            <a:extLst>
              <a:ext uri="{FF2B5EF4-FFF2-40B4-BE49-F238E27FC236}">
                <a16:creationId xmlns:a16="http://schemas.microsoft.com/office/drawing/2014/main" id="{31EC51BB-1317-AA64-E931-261797C4E5A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598" name="Shape 23">
            <a:extLst>
              <a:ext uri="{FF2B5EF4-FFF2-40B4-BE49-F238E27FC236}">
                <a16:creationId xmlns:a16="http://schemas.microsoft.com/office/drawing/2014/main" id="{5B0E9314-DD5B-55B8-5F57-190D63061FB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599" name="Shape 24">
            <a:extLst>
              <a:ext uri="{FF2B5EF4-FFF2-40B4-BE49-F238E27FC236}">
                <a16:creationId xmlns:a16="http://schemas.microsoft.com/office/drawing/2014/main" id="{813C5DD2-A0FD-6C16-EDF3-E41D50754EA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00" name="Shape 25">
            <a:extLst>
              <a:ext uri="{FF2B5EF4-FFF2-40B4-BE49-F238E27FC236}">
                <a16:creationId xmlns:a16="http://schemas.microsoft.com/office/drawing/2014/main" id="{198B16BC-0411-4299-4DD0-FCB7499F7A6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01" name="Shape 26">
            <a:extLst>
              <a:ext uri="{FF2B5EF4-FFF2-40B4-BE49-F238E27FC236}">
                <a16:creationId xmlns:a16="http://schemas.microsoft.com/office/drawing/2014/main" id="{8EFA6169-62B0-109A-3685-73591B00E93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02" name="Shape 27">
            <a:extLst>
              <a:ext uri="{FF2B5EF4-FFF2-40B4-BE49-F238E27FC236}">
                <a16:creationId xmlns:a16="http://schemas.microsoft.com/office/drawing/2014/main" id="{2855AA8E-3352-4470-AAFC-A9574F12DD0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03" name="Shape 28">
            <a:extLst>
              <a:ext uri="{FF2B5EF4-FFF2-40B4-BE49-F238E27FC236}">
                <a16:creationId xmlns:a16="http://schemas.microsoft.com/office/drawing/2014/main" id="{3123CBAD-991D-6027-606B-C25C18B8718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04" name="Shape 29">
            <a:extLst>
              <a:ext uri="{FF2B5EF4-FFF2-40B4-BE49-F238E27FC236}">
                <a16:creationId xmlns:a16="http://schemas.microsoft.com/office/drawing/2014/main" id="{33AA0041-5CB1-A340-7A59-BB6D350E9B3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05" name="Shape 30">
            <a:extLst>
              <a:ext uri="{FF2B5EF4-FFF2-40B4-BE49-F238E27FC236}">
                <a16:creationId xmlns:a16="http://schemas.microsoft.com/office/drawing/2014/main" id="{0815A37B-84B4-11B6-8AE0-2462842D96C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06" name="Shape 31">
            <a:extLst>
              <a:ext uri="{FF2B5EF4-FFF2-40B4-BE49-F238E27FC236}">
                <a16:creationId xmlns:a16="http://schemas.microsoft.com/office/drawing/2014/main" id="{55144E49-74E2-0972-2792-A6BA886112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706</xdr:row>
      <xdr:rowOff>3703</xdr:rowOff>
    </xdr:from>
    <xdr:ext cx="33655" cy="33655"/>
    <xdr:grpSp>
      <xdr:nvGrpSpPr>
        <xdr:cNvPr id="5607" name="Group 32">
          <a:extLst>
            <a:ext uri="{FF2B5EF4-FFF2-40B4-BE49-F238E27FC236}">
              <a16:creationId xmlns:a16="http://schemas.microsoft.com/office/drawing/2014/main" id="{CDA83336-6937-4326-8DDD-1B0B95210145}"/>
            </a:ext>
          </a:extLst>
        </xdr:cNvPr>
        <xdr:cNvGrpSpPr/>
      </xdr:nvGrpSpPr>
      <xdr:grpSpPr>
        <a:xfrm>
          <a:off x="4603072" y="130593014"/>
          <a:ext cx="33655" cy="33655"/>
          <a:chOff x="0" y="0"/>
          <a:chExt cx="33655" cy="33655"/>
        </a:xfrm>
      </xdr:grpSpPr>
      <xdr:sp macro="" textlink="">
        <xdr:nvSpPr>
          <xdr:cNvPr id="5608" name="Shape 33">
            <a:extLst>
              <a:ext uri="{FF2B5EF4-FFF2-40B4-BE49-F238E27FC236}">
                <a16:creationId xmlns:a16="http://schemas.microsoft.com/office/drawing/2014/main" id="{C7D3FD82-552E-2CA6-6DEA-0F51CB508CB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09" name="Shape 34">
            <a:extLst>
              <a:ext uri="{FF2B5EF4-FFF2-40B4-BE49-F238E27FC236}">
                <a16:creationId xmlns:a16="http://schemas.microsoft.com/office/drawing/2014/main" id="{A08BA54B-5D73-B103-6B0B-86D21345C51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10" name="Shape 35">
            <a:extLst>
              <a:ext uri="{FF2B5EF4-FFF2-40B4-BE49-F238E27FC236}">
                <a16:creationId xmlns:a16="http://schemas.microsoft.com/office/drawing/2014/main" id="{42C37EB9-F28D-4055-DD06-FDE7DD9F027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11" name="Shape 36">
            <a:extLst>
              <a:ext uri="{FF2B5EF4-FFF2-40B4-BE49-F238E27FC236}">
                <a16:creationId xmlns:a16="http://schemas.microsoft.com/office/drawing/2014/main" id="{8D7BFA33-52A1-8C71-AA88-DD60A389BAA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12" name="Shape 37">
            <a:extLst>
              <a:ext uri="{FF2B5EF4-FFF2-40B4-BE49-F238E27FC236}">
                <a16:creationId xmlns:a16="http://schemas.microsoft.com/office/drawing/2014/main" id="{40E08504-66F9-D9D5-F580-19BB331785F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13" name="Shape 38">
            <a:extLst>
              <a:ext uri="{FF2B5EF4-FFF2-40B4-BE49-F238E27FC236}">
                <a16:creationId xmlns:a16="http://schemas.microsoft.com/office/drawing/2014/main" id="{59D01EF4-C9B3-FD93-E297-E9CFAB44B77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14" name="Shape 39">
            <a:extLst>
              <a:ext uri="{FF2B5EF4-FFF2-40B4-BE49-F238E27FC236}">
                <a16:creationId xmlns:a16="http://schemas.microsoft.com/office/drawing/2014/main" id="{4A7574C3-26D3-30BC-E6FF-51E9894355C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15" name="Shape 40">
            <a:extLst>
              <a:ext uri="{FF2B5EF4-FFF2-40B4-BE49-F238E27FC236}">
                <a16:creationId xmlns:a16="http://schemas.microsoft.com/office/drawing/2014/main" id="{B9194E09-8E8C-D3D5-E564-36B21FA6D22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16" name="Shape 41">
            <a:extLst>
              <a:ext uri="{FF2B5EF4-FFF2-40B4-BE49-F238E27FC236}">
                <a16:creationId xmlns:a16="http://schemas.microsoft.com/office/drawing/2014/main" id="{4824AD6C-E5F8-C065-8B41-6603D15A035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17" name="Shape 42">
            <a:extLst>
              <a:ext uri="{FF2B5EF4-FFF2-40B4-BE49-F238E27FC236}">
                <a16:creationId xmlns:a16="http://schemas.microsoft.com/office/drawing/2014/main" id="{DC2211ED-88F7-69FF-1986-78C98E841B5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18" name="Shape 43">
            <a:extLst>
              <a:ext uri="{FF2B5EF4-FFF2-40B4-BE49-F238E27FC236}">
                <a16:creationId xmlns:a16="http://schemas.microsoft.com/office/drawing/2014/main" id="{5BBEA794-A311-E881-9D4A-7B14A2BAF32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19" name="Shape 44">
            <a:extLst>
              <a:ext uri="{FF2B5EF4-FFF2-40B4-BE49-F238E27FC236}">
                <a16:creationId xmlns:a16="http://schemas.microsoft.com/office/drawing/2014/main" id="{12FD40FA-B432-D66C-B13C-F2AA1528201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20" name="Shape 45">
            <a:extLst>
              <a:ext uri="{FF2B5EF4-FFF2-40B4-BE49-F238E27FC236}">
                <a16:creationId xmlns:a16="http://schemas.microsoft.com/office/drawing/2014/main" id="{DC4E5C6C-AEA1-643D-700D-2528A5FC944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21" name="Shape 46">
            <a:extLst>
              <a:ext uri="{FF2B5EF4-FFF2-40B4-BE49-F238E27FC236}">
                <a16:creationId xmlns:a16="http://schemas.microsoft.com/office/drawing/2014/main" id="{B9215DFF-473D-D769-D3CB-83DD02F1693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706</xdr:row>
      <xdr:rowOff>3409</xdr:rowOff>
    </xdr:from>
    <xdr:ext cx="33655" cy="33655"/>
    <xdr:grpSp>
      <xdr:nvGrpSpPr>
        <xdr:cNvPr id="5622" name="Group 47">
          <a:extLst>
            <a:ext uri="{FF2B5EF4-FFF2-40B4-BE49-F238E27FC236}">
              <a16:creationId xmlns:a16="http://schemas.microsoft.com/office/drawing/2014/main" id="{3E8DC28B-0D91-48BD-BB7C-FA29950BFC3E}"/>
            </a:ext>
          </a:extLst>
        </xdr:cNvPr>
        <xdr:cNvGrpSpPr/>
      </xdr:nvGrpSpPr>
      <xdr:grpSpPr>
        <a:xfrm>
          <a:off x="4603072" y="130592720"/>
          <a:ext cx="33655" cy="33655"/>
          <a:chOff x="0" y="0"/>
          <a:chExt cx="33655" cy="33655"/>
        </a:xfrm>
      </xdr:grpSpPr>
      <xdr:sp macro="" textlink="">
        <xdr:nvSpPr>
          <xdr:cNvPr id="5623" name="Shape 48">
            <a:extLst>
              <a:ext uri="{FF2B5EF4-FFF2-40B4-BE49-F238E27FC236}">
                <a16:creationId xmlns:a16="http://schemas.microsoft.com/office/drawing/2014/main" id="{652FDD2C-BC17-6BAC-EF9C-1E14BE4BE14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24" name="Shape 49">
            <a:extLst>
              <a:ext uri="{FF2B5EF4-FFF2-40B4-BE49-F238E27FC236}">
                <a16:creationId xmlns:a16="http://schemas.microsoft.com/office/drawing/2014/main" id="{EDB144A4-ECA7-0B82-687C-FF8E02B6D32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25" name="Shape 50">
            <a:extLst>
              <a:ext uri="{FF2B5EF4-FFF2-40B4-BE49-F238E27FC236}">
                <a16:creationId xmlns:a16="http://schemas.microsoft.com/office/drawing/2014/main" id="{99A2DFAC-A928-8A98-3F75-47845849C2F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26" name="Shape 51">
            <a:extLst>
              <a:ext uri="{FF2B5EF4-FFF2-40B4-BE49-F238E27FC236}">
                <a16:creationId xmlns:a16="http://schemas.microsoft.com/office/drawing/2014/main" id="{D1ACDCFE-E048-A4D4-FE8E-BC9EF7249F0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27" name="Shape 52">
            <a:extLst>
              <a:ext uri="{FF2B5EF4-FFF2-40B4-BE49-F238E27FC236}">
                <a16:creationId xmlns:a16="http://schemas.microsoft.com/office/drawing/2014/main" id="{9DA4B1B8-56F8-E2F1-E9D9-767BA4B1074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28" name="Shape 53">
            <a:extLst>
              <a:ext uri="{FF2B5EF4-FFF2-40B4-BE49-F238E27FC236}">
                <a16:creationId xmlns:a16="http://schemas.microsoft.com/office/drawing/2014/main" id="{1AF2034C-6D63-6C33-7BF7-00E72D7EF5A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29" name="Shape 54">
            <a:extLst>
              <a:ext uri="{FF2B5EF4-FFF2-40B4-BE49-F238E27FC236}">
                <a16:creationId xmlns:a16="http://schemas.microsoft.com/office/drawing/2014/main" id="{4416461F-BE49-897A-20AD-A472A31D7FB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30" name="Shape 55">
            <a:extLst>
              <a:ext uri="{FF2B5EF4-FFF2-40B4-BE49-F238E27FC236}">
                <a16:creationId xmlns:a16="http://schemas.microsoft.com/office/drawing/2014/main" id="{684032F5-1729-E108-28C5-F2F916AB16D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31" name="Shape 56">
            <a:extLst>
              <a:ext uri="{FF2B5EF4-FFF2-40B4-BE49-F238E27FC236}">
                <a16:creationId xmlns:a16="http://schemas.microsoft.com/office/drawing/2014/main" id="{423B3AAB-7BCF-C46E-DCC5-F49EFFD20EB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32" name="Shape 57">
            <a:extLst>
              <a:ext uri="{FF2B5EF4-FFF2-40B4-BE49-F238E27FC236}">
                <a16:creationId xmlns:a16="http://schemas.microsoft.com/office/drawing/2014/main" id="{56F686E7-7F0A-BC0D-A254-BC896C02780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33" name="Shape 58">
            <a:extLst>
              <a:ext uri="{FF2B5EF4-FFF2-40B4-BE49-F238E27FC236}">
                <a16:creationId xmlns:a16="http://schemas.microsoft.com/office/drawing/2014/main" id="{F6A817E7-EE9A-1584-5834-A5E8E2F6EF2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34" name="Shape 59">
            <a:extLst>
              <a:ext uri="{FF2B5EF4-FFF2-40B4-BE49-F238E27FC236}">
                <a16:creationId xmlns:a16="http://schemas.microsoft.com/office/drawing/2014/main" id="{F96BE7B6-8E8C-F281-15A3-92BBE1AE424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35" name="Shape 60">
            <a:extLst>
              <a:ext uri="{FF2B5EF4-FFF2-40B4-BE49-F238E27FC236}">
                <a16:creationId xmlns:a16="http://schemas.microsoft.com/office/drawing/2014/main" id="{A93F8774-C5F4-57E8-6678-2BA0DD1579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36" name="Shape 61">
            <a:extLst>
              <a:ext uri="{FF2B5EF4-FFF2-40B4-BE49-F238E27FC236}">
                <a16:creationId xmlns:a16="http://schemas.microsoft.com/office/drawing/2014/main" id="{21EA9CDA-05E4-5126-5067-B78F12D855E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706</xdr:row>
      <xdr:rowOff>3962</xdr:rowOff>
    </xdr:from>
    <xdr:ext cx="33655" cy="33655"/>
    <xdr:grpSp>
      <xdr:nvGrpSpPr>
        <xdr:cNvPr id="5637" name="Group 62">
          <a:extLst>
            <a:ext uri="{FF2B5EF4-FFF2-40B4-BE49-F238E27FC236}">
              <a16:creationId xmlns:a16="http://schemas.microsoft.com/office/drawing/2014/main" id="{80CD44A8-F14D-495F-A248-16E36112EC21}"/>
            </a:ext>
          </a:extLst>
        </xdr:cNvPr>
        <xdr:cNvGrpSpPr/>
      </xdr:nvGrpSpPr>
      <xdr:grpSpPr>
        <a:xfrm>
          <a:off x="4603072" y="130593273"/>
          <a:ext cx="33655" cy="33655"/>
          <a:chOff x="0" y="0"/>
          <a:chExt cx="33655" cy="33655"/>
        </a:xfrm>
      </xdr:grpSpPr>
      <xdr:sp macro="" textlink="">
        <xdr:nvSpPr>
          <xdr:cNvPr id="5638" name="Shape 63">
            <a:extLst>
              <a:ext uri="{FF2B5EF4-FFF2-40B4-BE49-F238E27FC236}">
                <a16:creationId xmlns:a16="http://schemas.microsoft.com/office/drawing/2014/main" id="{073995F0-2979-7EBC-B3F2-BC536DB9F50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39" name="Shape 64">
            <a:extLst>
              <a:ext uri="{FF2B5EF4-FFF2-40B4-BE49-F238E27FC236}">
                <a16:creationId xmlns:a16="http://schemas.microsoft.com/office/drawing/2014/main" id="{F89CDE3E-4BF8-A417-ABB7-687BFD8F237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640" name="Shape 65">
            <a:extLst>
              <a:ext uri="{FF2B5EF4-FFF2-40B4-BE49-F238E27FC236}">
                <a16:creationId xmlns:a16="http://schemas.microsoft.com/office/drawing/2014/main" id="{CF095AC1-F407-6A21-4D6D-30D360AC89E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41" name="Shape 66">
            <a:extLst>
              <a:ext uri="{FF2B5EF4-FFF2-40B4-BE49-F238E27FC236}">
                <a16:creationId xmlns:a16="http://schemas.microsoft.com/office/drawing/2014/main" id="{DBEE901A-B1BF-6856-7630-26C4E2ADE34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642" name="Shape 67">
            <a:extLst>
              <a:ext uri="{FF2B5EF4-FFF2-40B4-BE49-F238E27FC236}">
                <a16:creationId xmlns:a16="http://schemas.microsoft.com/office/drawing/2014/main" id="{E516FF84-ED14-D128-B71B-0CB917964AD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43" name="Shape 68">
            <a:extLst>
              <a:ext uri="{FF2B5EF4-FFF2-40B4-BE49-F238E27FC236}">
                <a16:creationId xmlns:a16="http://schemas.microsoft.com/office/drawing/2014/main" id="{DFD86DDC-BAA6-AC99-1FBC-640EB25FABD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644" name="Shape 69">
            <a:extLst>
              <a:ext uri="{FF2B5EF4-FFF2-40B4-BE49-F238E27FC236}">
                <a16:creationId xmlns:a16="http://schemas.microsoft.com/office/drawing/2014/main" id="{DC7B6537-083C-3A96-7A7D-40BD658F49B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45" name="Shape 70">
            <a:extLst>
              <a:ext uri="{FF2B5EF4-FFF2-40B4-BE49-F238E27FC236}">
                <a16:creationId xmlns:a16="http://schemas.microsoft.com/office/drawing/2014/main" id="{B5A67500-B551-AA4E-BD7A-511336775EB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646" name="Shape 71">
            <a:extLst>
              <a:ext uri="{FF2B5EF4-FFF2-40B4-BE49-F238E27FC236}">
                <a16:creationId xmlns:a16="http://schemas.microsoft.com/office/drawing/2014/main" id="{84F696A2-03FD-DB84-6263-AD28045A6BC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47" name="Shape 72">
            <a:extLst>
              <a:ext uri="{FF2B5EF4-FFF2-40B4-BE49-F238E27FC236}">
                <a16:creationId xmlns:a16="http://schemas.microsoft.com/office/drawing/2014/main" id="{E8A2B212-AF03-8660-5307-8C98C6DD80C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648" name="Shape 73">
            <a:extLst>
              <a:ext uri="{FF2B5EF4-FFF2-40B4-BE49-F238E27FC236}">
                <a16:creationId xmlns:a16="http://schemas.microsoft.com/office/drawing/2014/main" id="{D51EA501-F15E-8304-95A0-EBECEC65F28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49" name="Shape 74">
            <a:extLst>
              <a:ext uri="{FF2B5EF4-FFF2-40B4-BE49-F238E27FC236}">
                <a16:creationId xmlns:a16="http://schemas.microsoft.com/office/drawing/2014/main" id="{85875F52-E830-801F-6171-91D2A1EB1A5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650" name="Shape 75">
            <a:extLst>
              <a:ext uri="{FF2B5EF4-FFF2-40B4-BE49-F238E27FC236}">
                <a16:creationId xmlns:a16="http://schemas.microsoft.com/office/drawing/2014/main" id="{62BA4ABC-3E37-519C-7C9E-E5CC7FD1357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651" name="Shape 76">
            <a:extLst>
              <a:ext uri="{FF2B5EF4-FFF2-40B4-BE49-F238E27FC236}">
                <a16:creationId xmlns:a16="http://schemas.microsoft.com/office/drawing/2014/main" id="{D25E50CB-F082-06BE-9538-BF8DF633D6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706</xdr:row>
      <xdr:rowOff>2978</xdr:rowOff>
    </xdr:from>
    <xdr:ext cx="33655" cy="33655"/>
    <xdr:grpSp>
      <xdr:nvGrpSpPr>
        <xdr:cNvPr id="5652" name="Group 2">
          <a:extLst>
            <a:ext uri="{FF2B5EF4-FFF2-40B4-BE49-F238E27FC236}">
              <a16:creationId xmlns:a16="http://schemas.microsoft.com/office/drawing/2014/main" id="{AF9175D2-1F0E-4ED5-B698-8AD4695F7F94}"/>
            </a:ext>
          </a:extLst>
        </xdr:cNvPr>
        <xdr:cNvGrpSpPr/>
      </xdr:nvGrpSpPr>
      <xdr:grpSpPr>
        <a:xfrm>
          <a:off x="4603072" y="130592289"/>
          <a:ext cx="33655" cy="33655"/>
          <a:chOff x="0" y="0"/>
          <a:chExt cx="33655" cy="33655"/>
        </a:xfrm>
      </xdr:grpSpPr>
      <xdr:sp macro="" textlink="">
        <xdr:nvSpPr>
          <xdr:cNvPr id="5653" name="Shape 3">
            <a:extLst>
              <a:ext uri="{FF2B5EF4-FFF2-40B4-BE49-F238E27FC236}">
                <a16:creationId xmlns:a16="http://schemas.microsoft.com/office/drawing/2014/main" id="{D592896C-2278-E3C4-D56F-952BE3D9F9B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54" name="Shape 4">
            <a:extLst>
              <a:ext uri="{FF2B5EF4-FFF2-40B4-BE49-F238E27FC236}">
                <a16:creationId xmlns:a16="http://schemas.microsoft.com/office/drawing/2014/main" id="{4B0DB086-C5A5-6A85-59BD-1381A437134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55" name="Shape 5">
            <a:extLst>
              <a:ext uri="{FF2B5EF4-FFF2-40B4-BE49-F238E27FC236}">
                <a16:creationId xmlns:a16="http://schemas.microsoft.com/office/drawing/2014/main" id="{D29F8D1B-9BC1-BF27-87EC-40B26FFE9CB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56" name="Shape 6">
            <a:extLst>
              <a:ext uri="{FF2B5EF4-FFF2-40B4-BE49-F238E27FC236}">
                <a16:creationId xmlns:a16="http://schemas.microsoft.com/office/drawing/2014/main" id="{62943074-C7D1-194E-D48A-16F56F0EC85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57" name="Shape 7">
            <a:extLst>
              <a:ext uri="{FF2B5EF4-FFF2-40B4-BE49-F238E27FC236}">
                <a16:creationId xmlns:a16="http://schemas.microsoft.com/office/drawing/2014/main" id="{CA52A2B8-3626-04EE-A7A9-96C7534B718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58" name="Shape 8">
            <a:extLst>
              <a:ext uri="{FF2B5EF4-FFF2-40B4-BE49-F238E27FC236}">
                <a16:creationId xmlns:a16="http://schemas.microsoft.com/office/drawing/2014/main" id="{79668869-6EEA-D65F-CDCE-61CF65D05E6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59" name="Shape 9">
            <a:extLst>
              <a:ext uri="{FF2B5EF4-FFF2-40B4-BE49-F238E27FC236}">
                <a16:creationId xmlns:a16="http://schemas.microsoft.com/office/drawing/2014/main" id="{0ADD10E0-92E8-F94E-1E8E-56410487188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60" name="Shape 10">
            <a:extLst>
              <a:ext uri="{FF2B5EF4-FFF2-40B4-BE49-F238E27FC236}">
                <a16:creationId xmlns:a16="http://schemas.microsoft.com/office/drawing/2014/main" id="{F64EE93D-A9F0-FE7F-7189-19499A5F2C7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61" name="Shape 11">
            <a:extLst>
              <a:ext uri="{FF2B5EF4-FFF2-40B4-BE49-F238E27FC236}">
                <a16:creationId xmlns:a16="http://schemas.microsoft.com/office/drawing/2014/main" id="{14A56C0F-57C9-3103-8E90-8289DBD6408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62" name="Shape 12">
            <a:extLst>
              <a:ext uri="{FF2B5EF4-FFF2-40B4-BE49-F238E27FC236}">
                <a16:creationId xmlns:a16="http://schemas.microsoft.com/office/drawing/2014/main" id="{E7240585-FA1A-4932-30FD-282C7230B49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63" name="Shape 13">
            <a:extLst>
              <a:ext uri="{FF2B5EF4-FFF2-40B4-BE49-F238E27FC236}">
                <a16:creationId xmlns:a16="http://schemas.microsoft.com/office/drawing/2014/main" id="{56241986-A521-0AAA-62D6-08A3CBFD7CF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64" name="Shape 14">
            <a:extLst>
              <a:ext uri="{FF2B5EF4-FFF2-40B4-BE49-F238E27FC236}">
                <a16:creationId xmlns:a16="http://schemas.microsoft.com/office/drawing/2014/main" id="{88C35EC3-8C91-F2D7-C9D4-25A0E958F9A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65" name="Shape 15">
            <a:extLst>
              <a:ext uri="{FF2B5EF4-FFF2-40B4-BE49-F238E27FC236}">
                <a16:creationId xmlns:a16="http://schemas.microsoft.com/office/drawing/2014/main" id="{A8A7AF16-219E-AD05-C4E6-FC896453682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66" name="Shape 16">
            <a:extLst>
              <a:ext uri="{FF2B5EF4-FFF2-40B4-BE49-F238E27FC236}">
                <a16:creationId xmlns:a16="http://schemas.microsoft.com/office/drawing/2014/main" id="{97C0BE72-7084-2719-1BB3-60397597190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706</xdr:row>
      <xdr:rowOff>3246</xdr:rowOff>
    </xdr:from>
    <xdr:ext cx="33655" cy="33655"/>
    <xdr:grpSp>
      <xdr:nvGrpSpPr>
        <xdr:cNvPr id="5667" name="Group 17">
          <a:extLst>
            <a:ext uri="{FF2B5EF4-FFF2-40B4-BE49-F238E27FC236}">
              <a16:creationId xmlns:a16="http://schemas.microsoft.com/office/drawing/2014/main" id="{65E3C17F-029A-42D3-B467-A15643133C5E}"/>
            </a:ext>
          </a:extLst>
        </xdr:cNvPr>
        <xdr:cNvGrpSpPr/>
      </xdr:nvGrpSpPr>
      <xdr:grpSpPr>
        <a:xfrm>
          <a:off x="4603072" y="130592557"/>
          <a:ext cx="33655" cy="33655"/>
          <a:chOff x="0" y="0"/>
          <a:chExt cx="33655" cy="33655"/>
        </a:xfrm>
      </xdr:grpSpPr>
      <xdr:sp macro="" textlink="">
        <xdr:nvSpPr>
          <xdr:cNvPr id="5668" name="Shape 18">
            <a:extLst>
              <a:ext uri="{FF2B5EF4-FFF2-40B4-BE49-F238E27FC236}">
                <a16:creationId xmlns:a16="http://schemas.microsoft.com/office/drawing/2014/main" id="{B0F41CC4-765C-053D-3971-34404C6DEE3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69" name="Shape 19">
            <a:extLst>
              <a:ext uri="{FF2B5EF4-FFF2-40B4-BE49-F238E27FC236}">
                <a16:creationId xmlns:a16="http://schemas.microsoft.com/office/drawing/2014/main" id="{6663AA40-60D3-FFF4-3154-5E923DC05D8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70" name="Shape 20">
            <a:extLst>
              <a:ext uri="{FF2B5EF4-FFF2-40B4-BE49-F238E27FC236}">
                <a16:creationId xmlns:a16="http://schemas.microsoft.com/office/drawing/2014/main" id="{885975E5-C77D-142B-F4C4-9C4054923A5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71" name="Shape 21">
            <a:extLst>
              <a:ext uri="{FF2B5EF4-FFF2-40B4-BE49-F238E27FC236}">
                <a16:creationId xmlns:a16="http://schemas.microsoft.com/office/drawing/2014/main" id="{3F5FD18A-0876-819E-3365-2B13AA8A10D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72" name="Shape 22">
            <a:extLst>
              <a:ext uri="{FF2B5EF4-FFF2-40B4-BE49-F238E27FC236}">
                <a16:creationId xmlns:a16="http://schemas.microsoft.com/office/drawing/2014/main" id="{9C2D809F-560A-F740-B94B-7F6C86419FA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73" name="Shape 23">
            <a:extLst>
              <a:ext uri="{FF2B5EF4-FFF2-40B4-BE49-F238E27FC236}">
                <a16:creationId xmlns:a16="http://schemas.microsoft.com/office/drawing/2014/main" id="{B9E75C9F-CA8A-12B0-AA70-572767A6D23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74" name="Shape 24">
            <a:extLst>
              <a:ext uri="{FF2B5EF4-FFF2-40B4-BE49-F238E27FC236}">
                <a16:creationId xmlns:a16="http://schemas.microsoft.com/office/drawing/2014/main" id="{81A6C0D7-A8C4-839E-41D5-1DC3E0061B4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75" name="Shape 25">
            <a:extLst>
              <a:ext uri="{FF2B5EF4-FFF2-40B4-BE49-F238E27FC236}">
                <a16:creationId xmlns:a16="http://schemas.microsoft.com/office/drawing/2014/main" id="{965F1AD8-4C12-4FC6-9355-8874C8EDDD1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76" name="Shape 26">
            <a:extLst>
              <a:ext uri="{FF2B5EF4-FFF2-40B4-BE49-F238E27FC236}">
                <a16:creationId xmlns:a16="http://schemas.microsoft.com/office/drawing/2014/main" id="{ED1C6107-1A48-87D3-6494-C2E722656AA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77" name="Shape 27">
            <a:extLst>
              <a:ext uri="{FF2B5EF4-FFF2-40B4-BE49-F238E27FC236}">
                <a16:creationId xmlns:a16="http://schemas.microsoft.com/office/drawing/2014/main" id="{1C43E43F-A72E-8F63-2F59-4FB757011C2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78" name="Shape 28">
            <a:extLst>
              <a:ext uri="{FF2B5EF4-FFF2-40B4-BE49-F238E27FC236}">
                <a16:creationId xmlns:a16="http://schemas.microsoft.com/office/drawing/2014/main" id="{3583427C-5748-FAAC-359D-B6A3363CDB5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79" name="Shape 29">
            <a:extLst>
              <a:ext uri="{FF2B5EF4-FFF2-40B4-BE49-F238E27FC236}">
                <a16:creationId xmlns:a16="http://schemas.microsoft.com/office/drawing/2014/main" id="{10F135EB-637C-9884-D7C3-1CAE50B5C0C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80" name="Shape 30">
            <a:extLst>
              <a:ext uri="{FF2B5EF4-FFF2-40B4-BE49-F238E27FC236}">
                <a16:creationId xmlns:a16="http://schemas.microsoft.com/office/drawing/2014/main" id="{D25FACC3-C9C3-F4AF-C006-ACF6A579336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81" name="Shape 31">
            <a:extLst>
              <a:ext uri="{FF2B5EF4-FFF2-40B4-BE49-F238E27FC236}">
                <a16:creationId xmlns:a16="http://schemas.microsoft.com/office/drawing/2014/main" id="{2BC4433E-7327-D261-419E-87DFDDAF1CC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706</xdr:row>
      <xdr:rowOff>3703</xdr:rowOff>
    </xdr:from>
    <xdr:ext cx="33655" cy="33655"/>
    <xdr:grpSp>
      <xdr:nvGrpSpPr>
        <xdr:cNvPr id="5682" name="Group 32">
          <a:extLst>
            <a:ext uri="{FF2B5EF4-FFF2-40B4-BE49-F238E27FC236}">
              <a16:creationId xmlns:a16="http://schemas.microsoft.com/office/drawing/2014/main" id="{F12EF2A6-F7C4-4DF6-8713-1FFEF37F935F}"/>
            </a:ext>
          </a:extLst>
        </xdr:cNvPr>
        <xdr:cNvGrpSpPr/>
      </xdr:nvGrpSpPr>
      <xdr:grpSpPr>
        <a:xfrm>
          <a:off x="4603072" y="130593014"/>
          <a:ext cx="33655" cy="33655"/>
          <a:chOff x="0" y="0"/>
          <a:chExt cx="33655" cy="33655"/>
        </a:xfrm>
      </xdr:grpSpPr>
      <xdr:sp macro="" textlink="">
        <xdr:nvSpPr>
          <xdr:cNvPr id="5683" name="Shape 33">
            <a:extLst>
              <a:ext uri="{FF2B5EF4-FFF2-40B4-BE49-F238E27FC236}">
                <a16:creationId xmlns:a16="http://schemas.microsoft.com/office/drawing/2014/main" id="{0AD36A4A-9991-A930-D4A8-A87819AD0E1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84" name="Shape 34">
            <a:extLst>
              <a:ext uri="{FF2B5EF4-FFF2-40B4-BE49-F238E27FC236}">
                <a16:creationId xmlns:a16="http://schemas.microsoft.com/office/drawing/2014/main" id="{D5406B2F-E125-CA53-E09B-51790D871F8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85" name="Shape 35">
            <a:extLst>
              <a:ext uri="{FF2B5EF4-FFF2-40B4-BE49-F238E27FC236}">
                <a16:creationId xmlns:a16="http://schemas.microsoft.com/office/drawing/2014/main" id="{98307E71-0114-9324-B908-3E17CD3BD1C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86" name="Shape 36">
            <a:extLst>
              <a:ext uri="{FF2B5EF4-FFF2-40B4-BE49-F238E27FC236}">
                <a16:creationId xmlns:a16="http://schemas.microsoft.com/office/drawing/2014/main" id="{8B45926D-037F-02C6-8D2A-615A821F46F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87" name="Shape 37">
            <a:extLst>
              <a:ext uri="{FF2B5EF4-FFF2-40B4-BE49-F238E27FC236}">
                <a16:creationId xmlns:a16="http://schemas.microsoft.com/office/drawing/2014/main" id="{FF0FA67D-EC7D-C5A4-94C0-E743628F465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88" name="Shape 38">
            <a:extLst>
              <a:ext uri="{FF2B5EF4-FFF2-40B4-BE49-F238E27FC236}">
                <a16:creationId xmlns:a16="http://schemas.microsoft.com/office/drawing/2014/main" id="{F00E0C2E-D6CB-7AE4-A805-0EB754584BA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89" name="Shape 39">
            <a:extLst>
              <a:ext uri="{FF2B5EF4-FFF2-40B4-BE49-F238E27FC236}">
                <a16:creationId xmlns:a16="http://schemas.microsoft.com/office/drawing/2014/main" id="{083817D7-7794-D37F-8E75-23355A4F62B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90" name="Shape 40">
            <a:extLst>
              <a:ext uri="{FF2B5EF4-FFF2-40B4-BE49-F238E27FC236}">
                <a16:creationId xmlns:a16="http://schemas.microsoft.com/office/drawing/2014/main" id="{6D86DE55-0D64-ADA5-895D-02082A8F2E8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91" name="Shape 41">
            <a:extLst>
              <a:ext uri="{FF2B5EF4-FFF2-40B4-BE49-F238E27FC236}">
                <a16:creationId xmlns:a16="http://schemas.microsoft.com/office/drawing/2014/main" id="{0AF8F85B-BEAC-9D7A-2018-BC88EE92313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92" name="Shape 42">
            <a:extLst>
              <a:ext uri="{FF2B5EF4-FFF2-40B4-BE49-F238E27FC236}">
                <a16:creationId xmlns:a16="http://schemas.microsoft.com/office/drawing/2014/main" id="{3CC84F77-1114-7C9A-FE3A-1CCA3E455EC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93" name="Shape 43">
            <a:extLst>
              <a:ext uri="{FF2B5EF4-FFF2-40B4-BE49-F238E27FC236}">
                <a16:creationId xmlns:a16="http://schemas.microsoft.com/office/drawing/2014/main" id="{740CB0AC-7B9F-67D0-A01E-A44A4E3FC4E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94" name="Shape 44">
            <a:extLst>
              <a:ext uri="{FF2B5EF4-FFF2-40B4-BE49-F238E27FC236}">
                <a16:creationId xmlns:a16="http://schemas.microsoft.com/office/drawing/2014/main" id="{C284AE99-91B9-3C82-B0E1-CB96A7B9D7F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95" name="Shape 45">
            <a:extLst>
              <a:ext uri="{FF2B5EF4-FFF2-40B4-BE49-F238E27FC236}">
                <a16:creationId xmlns:a16="http://schemas.microsoft.com/office/drawing/2014/main" id="{C40916A1-BBB5-F87E-52A1-A939D27C08D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696" name="Shape 46">
            <a:extLst>
              <a:ext uri="{FF2B5EF4-FFF2-40B4-BE49-F238E27FC236}">
                <a16:creationId xmlns:a16="http://schemas.microsoft.com/office/drawing/2014/main" id="{B40A59A3-E1FE-D17C-5C0B-0D3D326BF26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706</xdr:row>
      <xdr:rowOff>3409</xdr:rowOff>
    </xdr:from>
    <xdr:ext cx="33655" cy="33655"/>
    <xdr:grpSp>
      <xdr:nvGrpSpPr>
        <xdr:cNvPr id="5697" name="Group 47">
          <a:extLst>
            <a:ext uri="{FF2B5EF4-FFF2-40B4-BE49-F238E27FC236}">
              <a16:creationId xmlns:a16="http://schemas.microsoft.com/office/drawing/2014/main" id="{9C6140B3-5740-438C-AF48-1FD4646B0D64}"/>
            </a:ext>
          </a:extLst>
        </xdr:cNvPr>
        <xdr:cNvGrpSpPr/>
      </xdr:nvGrpSpPr>
      <xdr:grpSpPr>
        <a:xfrm>
          <a:off x="4603072" y="130592720"/>
          <a:ext cx="33655" cy="33655"/>
          <a:chOff x="0" y="0"/>
          <a:chExt cx="33655" cy="33655"/>
        </a:xfrm>
      </xdr:grpSpPr>
      <xdr:sp macro="" textlink="">
        <xdr:nvSpPr>
          <xdr:cNvPr id="5698" name="Shape 48">
            <a:extLst>
              <a:ext uri="{FF2B5EF4-FFF2-40B4-BE49-F238E27FC236}">
                <a16:creationId xmlns:a16="http://schemas.microsoft.com/office/drawing/2014/main" id="{1DBD6A1B-F9A3-BB4B-EBF5-D15C27516F3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699" name="Shape 49">
            <a:extLst>
              <a:ext uri="{FF2B5EF4-FFF2-40B4-BE49-F238E27FC236}">
                <a16:creationId xmlns:a16="http://schemas.microsoft.com/office/drawing/2014/main" id="{01C3276F-018D-15BC-2D71-0BFE18E4BBF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00" name="Shape 50">
            <a:extLst>
              <a:ext uri="{FF2B5EF4-FFF2-40B4-BE49-F238E27FC236}">
                <a16:creationId xmlns:a16="http://schemas.microsoft.com/office/drawing/2014/main" id="{BFA3D2BC-FB08-E241-D3D2-D34CB1B0279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01" name="Shape 51">
            <a:extLst>
              <a:ext uri="{FF2B5EF4-FFF2-40B4-BE49-F238E27FC236}">
                <a16:creationId xmlns:a16="http://schemas.microsoft.com/office/drawing/2014/main" id="{55E8187B-79F5-AA68-C3B1-F4D92399A5B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02" name="Shape 52">
            <a:extLst>
              <a:ext uri="{FF2B5EF4-FFF2-40B4-BE49-F238E27FC236}">
                <a16:creationId xmlns:a16="http://schemas.microsoft.com/office/drawing/2014/main" id="{38193F76-2B6D-95EF-7A2D-9204E639CCE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03" name="Shape 53">
            <a:extLst>
              <a:ext uri="{FF2B5EF4-FFF2-40B4-BE49-F238E27FC236}">
                <a16:creationId xmlns:a16="http://schemas.microsoft.com/office/drawing/2014/main" id="{692B211B-B6F3-CC79-B8E8-3D33CAB9855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04" name="Shape 54">
            <a:extLst>
              <a:ext uri="{FF2B5EF4-FFF2-40B4-BE49-F238E27FC236}">
                <a16:creationId xmlns:a16="http://schemas.microsoft.com/office/drawing/2014/main" id="{ADE06DDE-4581-1E18-A4C3-94275279417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05" name="Shape 55">
            <a:extLst>
              <a:ext uri="{FF2B5EF4-FFF2-40B4-BE49-F238E27FC236}">
                <a16:creationId xmlns:a16="http://schemas.microsoft.com/office/drawing/2014/main" id="{0A3FD745-65F1-4BC5-99C6-4B190EBC389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06" name="Shape 56">
            <a:extLst>
              <a:ext uri="{FF2B5EF4-FFF2-40B4-BE49-F238E27FC236}">
                <a16:creationId xmlns:a16="http://schemas.microsoft.com/office/drawing/2014/main" id="{1EB90F6A-74C7-CED6-8E48-BED0E07D0F3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07" name="Shape 57">
            <a:extLst>
              <a:ext uri="{FF2B5EF4-FFF2-40B4-BE49-F238E27FC236}">
                <a16:creationId xmlns:a16="http://schemas.microsoft.com/office/drawing/2014/main" id="{BBE5BE92-67A7-0F5B-0137-119EAB4C230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08" name="Shape 58">
            <a:extLst>
              <a:ext uri="{FF2B5EF4-FFF2-40B4-BE49-F238E27FC236}">
                <a16:creationId xmlns:a16="http://schemas.microsoft.com/office/drawing/2014/main" id="{6FF08501-26FA-8B3A-E057-86661692A96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09" name="Shape 59">
            <a:extLst>
              <a:ext uri="{FF2B5EF4-FFF2-40B4-BE49-F238E27FC236}">
                <a16:creationId xmlns:a16="http://schemas.microsoft.com/office/drawing/2014/main" id="{6E396A40-B475-1EA2-541B-B70886BA4E4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10" name="Shape 60">
            <a:extLst>
              <a:ext uri="{FF2B5EF4-FFF2-40B4-BE49-F238E27FC236}">
                <a16:creationId xmlns:a16="http://schemas.microsoft.com/office/drawing/2014/main" id="{847A1FFB-55AF-89BC-C1E2-3440A22041C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11" name="Shape 61">
            <a:extLst>
              <a:ext uri="{FF2B5EF4-FFF2-40B4-BE49-F238E27FC236}">
                <a16:creationId xmlns:a16="http://schemas.microsoft.com/office/drawing/2014/main" id="{2E3B03DE-C89B-875E-3E98-B5A5E7B820B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706</xdr:row>
      <xdr:rowOff>3962</xdr:rowOff>
    </xdr:from>
    <xdr:ext cx="33655" cy="33655"/>
    <xdr:grpSp>
      <xdr:nvGrpSpPr>
        <xdr:cNvPr id="5712" name="Group 62">
          <a:extLst>
            <a:ext uri="{FF2B5EF4-FFF2-40B4-BE49-F238E27FC236}">
              <a16:creationId xmlns:a16="http://schemas.microsoft.com/office/drawing/2014/main" id="{F5CD369C-5467-46D1-B126-05814A295151}"/>
            </a:ext>
          </a:extLst>
        </xdr:cNvPr>
        <xdr:cNvGrpSpPr/>
      </xdr:nvGrpSpPr>
      <xdr:grpSpPr>
        <a:xfrm>
          <a:off x="4603072" y="130593273"/>
          <a:ext cx="33655" cy="33655"/>
          <a:chOff x="0" y="0"/>
          <a:chExt cx="33655" cy="33655"/>
        </a:xfrm>
      </xdr:grpSpPr>
      <xdr:sp macro="" textlink="">
        <xdr:nvSpPr>
          <xdr:cNvPr id="5713" name="Shape 63">
            <a:extLst>
              <a:ext uri="{FF2B5EF4-FFF2-40B4-BE49-F238E27FC236}">
                <a16:creationId xmlns:a16="http://schemas.microsoft.com/office/drawing/2014/main" id="{C7DE4E1B-9C3C-18CA-FD7C-518354110C0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14" name="Shape 64">
            <a:extLst>
              <a:ext uri="{FF2B5EF4-FFF2-40B4-BE49-F238E27FC236}">
                <a16:creationId xmlns:a16="http://schemas.microsoft.com/office/drawing/2014/main" id="{A936CB5B-1893-2B68-4020-068BCF894B1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15" name="Shape 65">
            <a:extLst>
              <a:ext uri="{FF2B5EF4-FFF2-40B4-BE49-F238E27FC236}">
                <a16:creationId xmlns:a16="http://schemas.microsoft.com/office/drawing/2014/main" id="{114F9A14-6204-6CFA-C763-BD0721C4B6A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16" name="Shape 66">
            <a:extLst>
              <a:ext uri="{FF2B5EF4-FFF2-40B4-BE49-F238E27FC236}">
                <a16:creationId xmlns:a16="http://schemas.microsoft.com/office/drawing/2014/main" id="{490B29E8-2A03-4423-1803-24A1BAFB1C4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17" name="Shape 67">
            <a:extLst>
              <a:ext uri="{FF2B5EF4-FFF2-40B4-BE49-F238E27FC236}">
                <a16:creationId xmlns:a16="http://schemas.microsoft.com/office/drawing/2014/main" id="{33A5C9F5-3421-6EFD-1740-869B382ED15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18" name="Shape 68">
            <a:extLst>
              <a:ext uri="{FF2B5EF4-FFF2-40B4-BE49-F238E27FC236}">
                <a16:creationId xmlns:a16="http://schemas.microsoft.com/office/drawing/2014/main" id="{19C63B93-E3B7-0743-048D-0F8421ED6F5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19" name="Shape 69">
            <a:extLst>
              <a:ext uri="{FF2B5EF4-FFF2-40B4-BE49-F238E27FC236}">
                <a16:creationId xmlns:a16="http://schemas.microsoft.com/office/drawing/2014/main" id="{149FE873-1494-0DAD-0845-E7FF5D38ADD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20" name="Shape 70">
            <a:extLst>
              <a:ext uri="{FF2B5EF4-FFF2-40B4-BE49-F238E27FC236}">
                <a16:creationId xmlns:a16="http://schemas.microsoft.com/office/drawing/2014/main" id="{ED85AFAC-12F2-A8C1-9164-FA56A8A5F37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21" name="Shape 71">
            <a:extLst>
              <a:ext uri="{FF2B5EF4-FFF2-40B4-BE49-F238E27FC236}">
                <a16:creationId xmlns:a16="http://schemas.microsoft.com/office/drawing/2014/main" id="{B769D909-9DA6-6EFB-60EE-DD4DD2EF08A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22" name="Shape 72">
            <a:extLst>
              <a:ext uri="{FF2B5EF4-FFF2-40B4-BE49-F238E27FC236}">
                <a16:creationId xmlns:a16="http://schemas.microsoft.com/office/drawing/2014/main" id="{B84526FC-8F8D-B0B4-4013-2228B3FAFE6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23" name="Shape 73">
            <a:extLst>
              <a:ext uri="{FF2B5EF4-FFF2-40B4-BE49-F238E27FC236}">
                <a16:creationId xmlns:a16="http://schemas.microsoft.com/office/drawing/2014/main" id="{E1D75D2C-A679-2A32-91BC-6DCE9153500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24" name="Shape 74">
            <a:extLst>
              <a:ext uri="{FF2B5EF4-FFF2-40B4-BE49-F238E27FC236}">
                <a16:creationId xmlns:a16="http://schemas.microsoft.com/office/drawing/2014/main" id="{5792BFB3-B634-9B68-6A74-0D6B8B142C7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25" name="Shape 75">
            <a:extLst>
              <a:ext uri="{FF2B5EF4-FFF2-40B4-BE49-F238E27FC236}">
                <a16:creationId xmlns:a16="http://schemas.microsoft.com/office/drawing/2014/main" id="{CC70A3F1-7D6B-7CB7-FC4A-98018F4CBA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26" name="Shape 76">
            <a:extLst>
              <a:ext uri="{FF2B5EF4-FFF2-40B4-BE49-F238E27FC236}">
                <a16:creationId xmlns:a16="http://schemas.microsoft.com/office/drawing/2014/main" id="{7F7D15DA-B54C-FA79-5A24-580247A40BC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719</xdr:row>
      <xdr:rowOff>2978</xdr:rowOff>
    </xdr:from>
    <xdr:ext cx="33655" cy="33655"/>
    <xdr:grpSp>
      <xdr:nvGrpSpPr>
        <xdr:cNvPr id="5727" name="Group 2">
          <a:extLst>
            <a:ext uri="{FF2B5EF4-FFF2-40B4-BE49-F238E27FC236}">
              <a16:creationId xmlns:a16="http://schemas.microsoft.com/office/drawing/2014/main" id="{8CE57B9F-AB1D-4E7C-806B-15F09077E805}"/>
            </a:ext>
          </a:extLst>
        </xdr:cNvPr>
        <xdr:cNvGrpSpPr/>
      </xdr:nvGrpSpPr>
      <xdr:grpSpPr>
        <a:xfrm>
          <a:off x="4603072" y="132922011"/>
          <a:ext cx="33655" cy="33655"/>
          <a:chOff x="0" y="0"/>
          <a:chExt cx="33655" cy="33655"/>
        </a:xfrm>
      </xdr:grpSpPr>
      <xdr:sp macro="" textlink="">
        <xdr:nvSpPr>
          <xdr:cNvPr id="5728" name="Shape 3">
            <a:extLst>
              <a:ext uri="{FF2B5EF4-FFF2-40B4-BE49-F238E27FC236}">
                <a16:creationId xmlns:a16="http://schemas.microsoft.com/office/drawing/2014/main" id="{1FA1F48A-72C2-9ECE-37BF-379BE1D7D18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29" name="Shape 4">
            <a:extLst>
              <a:ext uri="{FF2B5EF4-FFF2-40B4-BE49-F238E27FC236}">
                <a16:creationId xmlns:a16="http://schemas.microsoft.com/office/drawing/2014/main" id="{8510FCC6-4F36-1BCF-0D40-6585160A3D0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30" name="Shape 5">
            <a:extLst>
              <a:ext uri="{FF2B5EF4-FFF2-40B4-BE49-F238E27FC236}">
                <a16:creationId xmlns:a16="http://schemas.microsoft.com/office/drawing/2014/main" id="{ADA654DE-BEC0-3CF5-B38A-10B1F70D3BA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31" name="Shape 6">
            <a:extLst>
              <a:ext uri="{FF2B5EF4-FFF2-40B4-BE49-F238E27FC236}">
                <a16:creationId xmlns:a16="http://schemas.microsoft.com/office/drawing/2014/main" id="{464A3E3C-BF66-065D-B3E3-8E0E6C1143E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32" name="Shape 7">
            <a:extLst>
              <a:ext uri="{FF2B5EF4-FFF2-40B4-BE49-F238E27FC236}">
                <a16:creationId xmlns:a16="http://schemas.microsoft.com/office/drawing/2014/main" id="{9EF03034-F3E2-3C75-A838-CFA2E5B8A3D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33" name="Shape 8">
            <a:extLst>
              <a:ext uri="{FF2B5EF4-FFF2-40B4-BE49-F238E27FC236}">
                <a16:creationId xmlns:a16="http://schemas.microsoft.com/office/drawing/2014/main" id="{B7B961B2-809C-0A3B-22B6-CDF6759D2BF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34" name="Shape 9">
            <a:extLst>
              <a:ext uri="{FF2B5EF4-FFF2-40B4-BE49-F238E27FC236}">
                <a16:creationId xmlns:a16="http://schemas.microsoft.com/office/drawing/2014/main" id="{7E4F3F6B-DFA0-D30E-6E50-B1BD24798F3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35" name="Shape 10">
            <a:extLst>
              <a:ext uri="{FF2B5EF4-FFF2-40B4-BE49-F238E27FC236}">
                <a16:creationId xmlns:a16="http://schemas.microsoft.com/office/drawing/2014/main" id="{A55154B7-85F4-247D-3391-6846B2F519C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36" name="Shape 11">
            <a:extLst>
              <a:ext uri="{FF2B5EF4-FFF2-40B4-BE49-F238E27FC236}">
                <a16:creationId xmlns:a16="http://schemas.microsoft.com/office/drawing/2014/main" id="{85EB87FF-B1C8-8CBD-11C7-6766B62F375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37" name="Shape 12">
            <a:extLst>
              <a:ext uri="{FF2B5EF4-FFF2-40B4-BE49-F238E27FC236}">
                <a16:creationId xmlns:a16="http://schemas.microsoft.com/office/drawing/2014/main" id="{BD0E3EB2-11B5-658E-3FB3-21C22E1852F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38" name="Shape 13">
            <a:extLst>
              <a:ext uri="{FF2B5EF4-FFF2-40B4-BE49-F238E27FC236}">
                <a16:creationId xmlns:a16="http://schemas.microsoft.com/office/drawing/2014/main" id="{7A4F5D80-CE9D-2505-21C7-540763C4FC1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39" name="Shape 14">
            <a:extLst>
              <a:ext uri="{FF2B5EF4-FFF2-40B4-BE49-F238E27FC236}">
                <a16:creationId xmlns:a16="http://schemas.microsoft.com/office/drawing/2014/main" id="{3F6BC842-5109-A2A4-5795-4E67AD543A3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40" name="Shape 15">
            <a:extLst>
              <a:ext uri="{FF2B5EF4-FFF2-40B4-BE49-F238E27FC236}">
                <a16:creationId xmlns:a16="http://schemas.microsoft.com/office/drawing/2014/main" id="{930EA641-D9D6-A87D-3725-B98749F483A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41" name="Shape 16">
            <a:extLst>
              <a:ext uri="{FF2B5EF4-FFF2-40B4-BE49-F238E27FC236}">
                <a16:creationId xmlns:a16="http://schemas.microsoft.com/office/drawing/2014/main" id="{91C0667A-F9A2-BF57-3D75-13AEF42334D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719</xdr:row>
      <xdr:rowOff>3246</xdr:rowOff>
    </xdr:from>
    <xdr:ext cx="33655" cy="33655"/>
    <xdr:grpSp>
      <xdr:nvGrpSpPr>
        <xdr:cNvPr id="5742" name="Group 17">
          <a:extLst>
            <a:ext uri="{FF2B5EF4-FFF2-40B4-BE49-F238E27FC236}">
              <a16:creationId xmlns:a16="http://schemas.microsoft.com/office/drawing/2014/main" id="{09143026-89DD-4101-A43F-A501C9BCFC1D}"/>
            </a:ext>
          </a:extLst>
        </xdr:cNvPr>
        <xdr:cNvGrpSpPr/>
      </xdr:nvGrpSpPr>
      <xdr:grpSpPr>
        <a:xfrm>
          <a:off x="4603072" y="132922279"/>
          <a:ext cx="33655" cy="33655"/>
          <a:chOff x="0" y="0"/>
          <a:chExt cx="33655" cy="33655"/>
        </a:xfrm>
      </xdr:grpSpPr>
      <xdr:sp macro="" textlink="">
        <xdr:nvSpPr>
          <xdr:cNvPr id="5743" name="Shape 18">
            <a:extLst>
              <a:ext uri="{FF2B5EF4-FFF2-40B4-BE49-F238E27FC236}">
                <a16:creationId xmlns:a16="http://schemas.microsoft.com/office/drawing/2014/main" id="{6D3FD5D0-CF92-1F73-CD1D-C6D523E3D93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44" name="Shape 19">
            <a:extLst>
              <a:ext uri="{FF2B5EF4-FFF2-40B4-BE49-F238E27FC236}">
                <a16:creationId xmlns:a16="http://schemas.microsoft.com/office/drawing/2014/main" id="{AFD74E41-DA80-FBB4-B22E-1C9BA047031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45" name="Shape 20">
            <a:extLst>
              <a:ext uri="{FF2B5EF4-FFF2-40B4-BE49-F238E27FC236}">
                <a16:creationId xmlns:a16="http://schemas.microsoft.com/office/drawing/2014/main" id="{C0E59E33-2BF7-58B7-64A9-E3F61EC3BB0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46" name="Shape 21">
            <a:extLst>
              <a:ext uri="{FF2B5EF4-FFF2-40B4-BE49-F238E27FC236}">
                <a16:creationId xmlns:a16="http://schemas.microsoft.com/office/drawing/2014/main" id="{B6C0AA5F-736E-775A-F040-BA3EFE072E8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47" name="Shape 22">
            <a:extLst>
              <a:ext uri="{FF2B5EF4-FFF2-40B4-BE49-F238E27FC236}">
                <a16:creationId xmlns:a16="http://schemas.microsoft.com/office/drawing/2014/main" id="{97C667E1-0D5A-2BF7-B88D-1CB47B41FF0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48" name="Shape 23">
            <a:extLst>
              <a:ext uri="{FF2B5EF4-FFF2-40B4-BE49-F238E27FC236}">
                <a16:creationId xmlns:a16="http://schemas.microsoft.com/office/drawing/2014/main" id="{4F94D317-04DD-211B-E7E5-6EB707AB388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49" name="Shape 24">
            <a:extLst>
              <a:ext uri="{FF2B5EF4-FFF2-40B4-BE49-F238E27FC236}">
                <a16:creationId xmlns:a16="http://schemas.microsoft.com/office/drawing/2014/main" id="{9E793576-F73F-CE4A-F389-1CBED4F39AF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50" name="Shape 25">
            <a:extLst>
              <a:ext uri="{FF2B5EF4-FFF2-40B4-BE49-F238E27FC236}">
                <a16:creationId xmlns:a16="http://schemas.microsoft.com/office/drawing/2014/main" id="{A238EC67-39A7-D9CF-237D-3AFA766580A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51" name="Shape 26">
            <a:extLst>
              <a:ext uri="{FF2B5EF4-FFF2-40B4-BE49-F238E27FC236}">
                <a16:creationId xmlns:a16="http://schemas.microsoft.com/office/drawing/2014/main" id="{3132CD0A-4013-D481-F7A7-3F4791DDDE2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52" name="Shape 27">
            <a:extLst>
              <a:ext uri="{FF2B5EF4-FFF2-40B4-BE49-F238E27FC236}">
                <a16:creationId xmlns:a16="http://schemas.microsoft.com/office/drawing/2014/main" id="{55CA0176-A1C9-A4C4-8FBD-5AC006C4450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53" name="Shape 28">
            <a:extLst>
              <a:ext uri="{FF2B5EF4-FFF2-40B4-BE49-F238E27FC236}">
                <a16:creationId xmlns:a16="http://schemas.microsoft.com/office/drawing/2014/main" id="{A502EF1D-F4EE-6950-DCF2-4B53DDD6A7E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54" name="Shape 29">
            <a:extLst>
              <a:ext uri="{FF2B5EF4-FFF2-40B4-BE49-F238E27FC236}">
                <a16:creationId xmlns:a16="http://schemas.microsoft.com/office/drawing/2014/main" id="{CEBA76DE-53C5-114B-8484-5D4ECE8D957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55" name="Shape 30">
            <a:extLst>
              <a:ext uri="{FF2B5EF4-FFF2-40B4-BE49-F238E27FC236}">
                <a16:creationId xmlns:a16="http://schemas.microsoft.com/office/drawing/2014/main" id="{4CA05E8D-ABB4-89D1-9FB2-1C177DBAC51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56" name="Shape 31">
            <a:extLst>
              <a:ext uri="{FF2B5EF4-FFF2-40B4-BE49-F238E27FC236}">
                <a16:creationId xmlns:a16="http://schemas.microsoft.com/office/drawing/2014/main" id="{B05A98E4-DCB0-F39C-320E-D9531B6E8B0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719</xdr:row>
      <xdr:rowOff>3703</xdr:rowOff>
    </xdr:from>
    <xdr:ext cx="33655" cy="33655"/>
    <xdr:grpSp>
      <xdr:nvGrpSpPr>
        <xdr:cNvPr id="5757" name="Group 32">
          <a:extLst>
            <a:ext uri="{FF2B5EF4-FFF2-40B4-BE49-F238E27FC236}">
              <a16:creationId xmlns:a16="http://schemas.microsoft.com/office/drawing/2014/main" id="{83D9E522-4659-44F6-8F1D-1A5B16611115}"/>
            </a:ext>
          </a:extLst>
        </xdr:cNvPr>
        <xdr:cNvGrpSpPr/>
      </xdr:nvGrpSpPr>
      <xdr:grpSpPr>
        <a:xfrm>
          <a:off x="4603072" y="132922736"/>
          <a:ext cx="33655" cy="33655"/>
          <a:chOff x="0" y="0"/>
          <a:chExt cx="33655" cy="33655"/>
        </a:xfrm>
      </xdr:grpSpPr>
      <xdr:sp macro="" textlink="">
        <xdr:nvSpPr>
          <xdr:cNvPr id="5758" name="Shape 33">
            <a:extLst>
              <a:ext uri="{FF2B5EF4-FFF2-40B4-BE49-F238E27FC236}">
                <a16:creationId xmlns:a16="http://schemas.microsoft.com/office/drawing/2014/main" id="{8AB98C8F-7A75-9AE7-3D38-84E8EDD886B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59" name="Shape 34">
            <a:extLst>
              <a:ext uri="{FF2B5EF4-FFF2-40B4-BE49-F238E27FC236}">
                <a16:creationId xmlns:a16="http://schemas.microsoft.com/office/drawing/2014/main" id="{1327DBFE-25C2-DBA3-0BBD-1D4AD611C69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60" name="Shape 35">
            <a:extLst>
              <a:ext uri="{FF2B5EF4-FFF2-40B4-BE49-F238E27FC236}">
                <a16:creationId xmlns:a16="http://schemas.microsoft.com/office/drawing/2014/main" id="{EE4F0945-621D-8324-B6E4-C337C00BCF6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61" name="Shape 36">
            <a:extLst>
              <a:ext uri="{FF2B5EF4-FFF2-40B4-BE49-F238E27FC236}">
                <a16:creationId xmlns:a16="http://schemas.microsoft.com/office/drawing/2014/main" id="{DC34CE6D-5A0A-F6B0-64D7-6F4DDB40CE0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62" name="Shape 37">
            <a:extLst>
              <a:ext uri="{FF2B5EF4-FFF2-40B4-BE49-F238E27FC236}">
                <a16:creationId xmlns:a16="http://schemas.microsoft.com/office/drawing/2014/main" id="{4AF3DE21-1DA0-ED2B-F6D0-868E45772B9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63" name="Shape 38">
            <a:extLst>
              <a:ext uri="{FF2B5EF4-FFF2-40B4-BE49-F238E27FC236}">
                <a16:creationId xmlns:a16="http://schemas.microsoft.com/office/drawing/2014/main" id="{30B9F86E-7ADD-47A7-21E6-0F82A1A5313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64" name="Shape 39">
            <a:extLst>
              <a:ext uri="{FF2B5EF4-FFF2-40B4-BE49-F238E27FC236}">
                <a16:creationId xmlns:a16="http://schemas.microsoft.com/office/drawing/2014/main" id="{875D29DC-FBF5-AE36-AE6B-89A9C274F31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65" name="Shape 40">
            <a:extLst>
              <a:ext uri="{FF2B5EF4-FFF2-40B4-BE49-F238E27FC236}">
                <a16:creationId xmlns:a16="http://schemas.microsoft.com/office/drawing/2014/main" id="{080D6863-3B7D-8E85-4002-64434D5DB16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66" name="Shape 41">
            <a:extLst>
              <a:ext uri="{FF2B5EF4-FFF2-40B4-BE49-F238E27FC236}">
                <a16:creationId xmlns:a16="http://schemas.microsoft.com/office/drawing/2014/main" id="{93C15F16-1B7E-5EDB-5A42-505248E1B3C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67" name="Shape 42">
            <a:extLst>
              <a:ext uri="{FF2B5EF4-FFF2-40B4-BE49-F238E27FC236}">
                <a16:creationId xmlns:a16="http://schemas.microsoft.com/office/drawing/2014/main" id="{CD74C411-C91B-DB83-D4EB-5979250CC82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68" name="Shape 43">
            <a:extLst>
              <a:ext uri="{FF2B5EF4-FFF2-40B4-BE49-F238E27FC236}">
                <a16:creationId xmlns:a16="http://schemas.microsoft.com/office/drawing/2014/main" id="{5231DC60-7C08-1E74-4CC8-0A02FC67C11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69" name="Shape 44">
            <a:extLst>
              <a:ext uri="{FF2B5EF4-FFF2-40B4-BE49-F238E27FC236}">
                <a16:creationId xmlns:a16="http://schemas.microsoft.com/office/drawing/2014/main" id="{CD3E285A-7E9E-9AF2-B56B-765005CC6C6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70" name="Shape 45">
            <a:extLst>
              <a:ext uri="{FF2B5EF4-FFF2-40B4-BE49-F238E27FC236}">
                <a16:creationId xmlns:a16="http://schemas.microsoft.com/office/drawing/2014/main" id="{52CCE7C8-B3D3-FF29-7C8C-01077F3F2EF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71" name="Shape 46">
            <a:extLst>
              <a:ext uri="{FF2B5EF4-FFF2-40B4-BE49-F238E27FC236}">
                <a16:creationId xmlns:a16="http://schemas.microsoft.com/office/drawing/2014/main" id="{EA3CD5C9-B56D-5944-AE5F-44060717CD3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719</xdr:row>
      <xdr:rowOff>3409</xdr:rowOff>
    </xdr:from>
    <xdr:ext cx="33655" cy="33655"/>
    <xdr:grpSp>
      <xdr:nvGrpSpPr>
        <xdr:cNvPr id="5772" name="Group 47">
          <a:extLst>
            <a:ext uri="{FF2B5EF4-FFF2-40B4-BE49-F238E27FC236}">
              <a16:creationId xmlns:a16="http://schemas.microsoft.com/office/drawing/2014/main" id="{73102B62-91F9-4F5E-BF2B-19EFA890CBD1}"/>
            </a:ext>
          </a:extLst>
        </xdr:cNvPr>
        <xdr:cNvGrpSpPr/>
      </xdr:nvGrpSpPr>
      <xdr:grpSpPr>
        <a:xfrm>
          <a:off x="4603072" y="132922442"/>
          <a:ext cx="33655" cy="33655"/>
          <a:chOff x="0" y="0"/>
          <a:chExt cx="33655" cy="33655"/>
        </a:xfrm>
      </xdr:grpSpPr>
      <xdr:sp macro="" textlink="">
        <xdr:nvSpPr>
          <xdr:cNvPr id="5773" name="Shape 48">
            <a:extLst>
              <a:ext uri="{FF2B5EF4-FFF2-40B4-BE49-F238E27FC236}">
                <a16:creationId xmlns:a16="http://schemas.microsoft.com/office/drawing/2014/main" id="{035B6751-AB61-A93E-3904-EDD972D9B38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74" name="Shape 49">
            <a:extLst>
              <a:ext uri="{FF2B5EF4-FFF2-40B4-BE49-F238E27FC236}">
                <a16:creationId xmlns:a16="http://schemas.microsoft.com/office/drawing/2014/main" id="{6B802DFA-AD08-2335-F78A-568F9AB46B6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75" name="Shape 50">
            <a:extLst>
              <a:ext uri="{FF2B5EF4-FFF2-40B4-BE49-F238E27FC236}">
                <a16:creationId xmlns:a16="http://schemas.microsoft.com/office/drawing/2014/main" id="{9EE954E5-8C26-26DA-414D-FDA74B077A5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76" name="Shape 51">
            <a:extLst>
              <a:ext uri="{FF2B5EF4-FFF2-40B4-BE49-F238E27FC236}">
                <a16:creationId xmlns:a16="http://schemas.microsoft.com/office/drawing/2014/main" id="{CD22BCED-C65C-336B-D9FF-AB48F784A94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77" name="Shape 52">
            <a:extLst>
              <a:ext uri="{FF2B5EF4-FFF2-40B4-BE49-F238E27FC236}">
                <a16:creationId xmlns:a16="http://schemas.microsoft.com/office/drawing/2014/main" id="{22539EF0-DA4B-2967-3FF1-B6D7F385594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78" name="Shape 53">
            <a:extLst>
              <a:ext uri="{FF2B5EF4-FFF2-40B4-BE49-F238E27FC236}">
                <a16:creationId xmlns:a16="http://schemas.microsoft.com/office/drawing/2014/main" id="{E6162115-A30B-BE96-9C14-A62E462B8F8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79" name="Shape 54">
            <a:extLst>
              <a:ext uri="{FF2B5EF4-FFF2-40B4-BE49-F238E27FC236}">
                <a16:creationId xmlns:a16="http://schemas.microsoft.com/office/drawing/2014/main" id="{CA4FF6BB-52FE-BBA3-24F3-CCA6DDFCBB2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80" name="Shape 55">
            <a:extLst>
              <a:ext uri="{FF2B5EF4-FFF2-40B4-BE49-F238E27FC236}">
                <a16:creationId xmlns:a16="http://schemas.microsoft.com/office/drawing/2014/main" id="{3CD32137-AE20-8409-EC9C-DB90AF9A744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81" name="Shape 56">
            <a:extLst>
              <a:ext uri="{FF2B5EF4-FFF2-40B4-BE49-F238E27FC236}">
                <a16:creationId xmlns:a16="http://schemas.microsoft.com/office/drawing/2014/main" id="{03FE804F-129A-8C84-FABB-F90346F209E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82" name="Shape 57">
            <a:extLst>
              <a:ext uri="{FF2B5EF4-FFF2-40B4-BE49-F238E27FC236}">
                <a16:creationId xmlns:a16="http://schemas.microsoft.com/office/drawing/2014/main" id="{85EE9E4C-BDB2-34F5-A524-A98705599B9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83" name="Shape 58">
            <a:extLst>
              <a:ext uri="{FF2B5EF4-FFF2-40B4-BE49-F238E27FC236}">
                <a16:creationId xmlns:a16="http://schemas.microsoft.com/office/drawing/2014/main" id="{E4AD18B8-F4A9-1DAC-2C27-2EA73031D35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84" name="Shape 59">
            <a:extLst>
              <a:ext uri="{FF2B5EF4-FFF2-40B4-BE49-F238E27FC236}">
                <a16:creationId xmlns:a16="http://schemas.microsoft.com/office/drawing/2014/main" id="{F8FB0652-F90C-D72F-6217-0BDC95103DE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85" name="Shape 60">
            <a:extLst>
              <a:ext uri="{FF2B5EF4-FFF2-40B4-BE49-F238E27FC236}">
                <a16:creationId xmlns:a16="http://schemas.microsoft.com/office/drawing/2014/main" id="{CA7A633D-B36E-B870-2F79-ABE42992C6C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786" name="Shape 61">
            <a:extLst>
              <a:ext uri="{FF2B5EF4-FFF2-40B4-BE49-F238E27FC236}">
                <a16:creationId xmlns:a16="http://schemas.microsoft.com/office/drawing/2014/main" id="{2971927A-FC49-06C2-3731-4FEF20544C2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719</xdr:row>
      <xdr:rowOff>3962</xdr:rowOff>
    </xdr:from>
    <xdr:ext cx="33655" cy="33655"/>
    <xdr:grpSp>
      <xdr:nvGrpSpPr>
        <xdr:cNvPr id="5787" name="Group 62">
          <a:extLst>
            <a:ext uri="{FF2B5EF4-FFF2-40B4-BE49-F238E27FC236}">
              <a16:creationId xmlns:a16="http://schemas.microsoft.com/office/drawing/2014/main" id="{0E2E70CA-6962-4E3F-9D2E-ABD4182913E8}"/>
            </a:ext>
          </a:extLst>
        </xdr:cNvPr>
        <xdr:cNvGrpSpPr/>
      </xdr:nvGrpSpPr>
      <xdr:grpSpPr>
        <a:xfrm>
          <a:off x="4603072" y="132922995"/>
          <a:ext cx="33655" cy="33655"/>
          <a:chOff x="0" y="0"/>
          <a:chExt cx="33655" cy="33655"/>
        </a:xfrm>
      </xdr:grpSpPr>
      <xdr:sp macro="" textlink="">
        <xdr:nvSpPr>
          <xdr:cNvPr id="5788" name="Shape 63">
            <a:extLst>
              <a:ext uri="{FF2B5EF4-FFF2-40B4-BE49-F238E27FC236}">
                <a16:creationId xmlns:a16="http://schemas.microsoft.com/office/drawing/2014/main" id="{4467D4CA-8695-7E0B-71E6-18474BDEAE7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89" name="Shape 64">
            <a:extLst>
              <a:ext uri="{FF2B5EF4-FFF2-40B4-BE49-F238E27FC236}">
                <a16:creationId xmlns:a16="http://schemas.microsoft.com/office/drawing/2014/main" id="{4CD1C662-7BCB-E215-A5C7-B6D654ABFC8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90" name="Shape 65">
            <a:extLst>
              <a:ext uri="{FF2B5EF4-FFF2-40B4-BE49-F238E27FC236}">
                <a16:creationId xmlns:a16="http://schemas.microsoft.com/office/drawing/2014/main" id="{027D1752-2C76-73DF-E37A-3F94C6388BD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91" name="Shape 66">
            <a:extLst>
              <a:ext uri="{FF2B5EF4-FFF2-40B4-BE49-F238E27FC236}">
                <a16:creationId xmlns:a16="http://schemas.microsoft.com/office/drawing/2014/main" id="{DDA0EE72-E4A9-8267-9F2A-F03A6252248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92" name="Shape 67">
            <a:extLst>
              <a:ext uri="{FF2B5EF4-FFF2-40B4-BE49-F238E27FC236}">
                <a16:creationId xmlns:a16="http://schemas.microsoft.com/office/drawing/2014/main" id="{65A35C8A-82D9-EA2B-E404-8491A3F0CBF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93" name="Shape 68">
            <a:extLst>
              <a:ext uri="{FF2B5EF4-FFF2-40B4-BE49-F238E27FC236}">
                <a16:creationId xmlns:a16="http://schemas.microsoft.com/office/drawing/2014/main" id="{F990269B-B175-D875-9349-412E40B2D72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94" name="Shape 69">
            <a:extLst>
              <a:ext uri="{FF2B5EF4-FFF2-40B4-BE49-F238E27FC236}">
                <a16:creationId xmlns:a16="http://schemas.microsoft.com/office/drawing/2014/main" id="{7FD01964-5BA5-6BDD-30C5-AE29E47595C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95" name="Shape 70">
            <a:extLst>
              <a:ext uri="{FF2B5EF4-FFF2-40B4-BE49-F238E27FC236}">
                <a16:creationId xmlns:a16="http://schemas.microsoft.com/office/drawing/2014/main" id="{84DD99C7-0BA2-E9CE-D130-EB86FE636AA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96" name="Shape 71">
            <a:extLst>
              <a:ext uri="{FF2B5EF4-FFF2-40B4-BE49-F238E27FC236}">
                <a16:creationId xmlns:a16="http://schemas.microsoft.com/office/drawing/2014/main" id="{A41E5FA6-184E-2E2D-C504-A6EAECC44D3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97" name="Shape 72">
            <a:extLst>
              <a:ext uri="{FF2B5EF4-FFF2-40B4-BE49-F238E27FC236}">
                <a16:creationId xmlns:a16="http://schemas.microsoft.com/office/drawing/2014/main" id="{C0EAF5FF-636B-C376-B803-85B29997A18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798" name="Shape 73">
            <a:extLst>
              <a:ext uri="{FF2B5EF4-FFF2-40B4-BE49-F238E27FC236}">
                <a16:creationId xmlns:a16="http://schemas.microsoft.com/office/drawing/2014/main" id="{BC21FFB6-581D-58AF-9953-7ABB5835AFD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799" name="Shape 74">
            <a:extLst>
              <a:ext uri="{FF2B5EF4-FFF2-40B4-BE49-F238E27FC236}">
                <a16:creationId xmlns:a16="http://schemas.microsoft.com/office/drawing/2014/main" id="{AAB5561A-3A08-2212-0129-088E8B1357C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00" name="Shape 75">
            <a:extLst>
              <a:ext uri="{FF2B5EF4-FFF2-40B4-BE49-F238E27FC236}">
                <a16:creationId xmlns:a16="http://schemas.microsoft.com/office/drawing/2014/main" id="{9B2EEA2C-2289-8BD2-15A6-D0FFB99EA53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01" name="Shape 76">
            <a:extLst>
              <a:ext uri="{FF2B5EF4-FFF2-40B4-BE49-F238E27FC236}">
                <a16:creationId xmlns:a16="http://schemas.microsoft.com/office/drawing/2014/main" id="{DB4A7CD5-6632-EE8E-8991-1B433629887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719</xdr:row>
      <xdr:rowOff>2978</xdr:rowOff>
    </xdr:from>
    <xdr:ext cx="33655" cy="33655"/>
    <xdr:grpSp>
      <xdr:nvGrpSpPr>
        <xdr:cNvPr id="5802" name="Group 2">
          <a:extLst>
            <a:ext uri="{FF2B5EF4-FFF2-40B4-BE49-F238E27FC236}">
              <a16:creationId xmlns:a16="http://schemas.microsoft.com/office/drawing/2014/main" id="{7303218C-B465-4452-BB66-75855CF356C6}"/>
            </a:ext>
          </a:extLst>
        </xdr:cNvPr>
        <xdr:cNvGrpSpPr/>
      </xdr:nvGrpSpPr>
      <xdr:grpSpPr>
        <a:xfrm>
          <a:off x="4603072" y="132922011"/>
          <a:ext cx="33655" cy="33655"/>
          <a:chOff x="0" y="0"/>
          <a:chExt cx="33655" cy="33655"/>
        </a:xfrm>
      </xdr:grpSpPr>
      <xdr:sp macro="" textlink="">
        <xdr:nvSpPr>
          <xdr:cNvPr id="5803" name="Shape 3">
            <a:extLst>
              <a:ext uri="{FF2B5EF4-FFF2-40B4-BE49-F238E27FC236}">
                <a16:creationId xmlns:a16="http://schemas.microsoft.com/office/drawing/2014/main" id="{BA524163-6721-36C8-8723-105026A6EAA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04" name="Shape 4">
            <a:extLst>
              <a:ext uri="{FF2B5EF4-FFF2-40B4-BE49-F238E27FC236}">
                <a16:creationId xmlns:a16="http://schemas.microsoft.com/office/drawing/2014/main" id="{D3841CC4-5D5B-6C40-B2D5-3F41CF29E74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05" name="Shape 5">
            <a:extLst>
              <a:ext uri="{FF2B5EF4-FFF2-40B4-BE49-F238E27FC236}">
                <a16:creationId xmlns:a16="http://schemas.microsoft.com/office/drawing/2014/main" id="{B4EEF78B-C118-7835-F7C1-2284E70AFED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06" name="Shape 6">
            <a:extLst>
              <a:ext uri="{FF2B5EF4-FFF2-40B4-BE49-F238E27FC236}">
                <a16:creationId xmlns:a16="http://schemas.microsoft.com/office/drawing/2014/main" id="{047761BD-5DB4-8871-F0EE-BB339BC9764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07" name="Shape 7">
            <a:extLst>
              <a:ext uri="{FF2B5EF4-FFF2-40B4-BE49-F238E27FC236}">
                <a16:creationId xmlns:a16="http://schemas.microsoft.com/office/drawing/2014/main" id="{A3EA30B1-6420-0657-6AB7-E0AE22D8C87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08" name="Shape 8">
            <a:extLst>
              <a:ext uri="{FF2B5EF4-FFF2-40B4-BE49-F238E27FC236}">
                <a16:creationId xmlns:a16="http://schemas.microsoft.com/office/drawing/2014/main" id="{ABE9F22C-E450-9812-CAF2-E084B052EFF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09" name="Shape 9">
            <a:extLst>
              <a:ext uri="{FF2B5EF4-FFF2-40B4-BE49-F238E27FC236}">
                <a16:creationId xmlns:a16="http://schemas.microsoft.com/office/drawing/2014/main" id="{2CBD8DC6-85D3-E42D-B216-838C265A7EE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10" name="Shape 10">
            <a:extLst>
              <a:ext uri="{FF2B5EF4-FFF2-40B4-BE49-F238E27FC236}">
                <a16:creationId xmlns:a16="http://schemas.microsoft.com/office/drawing/2014/main" id="{F7D605CE-1BF0-98B1-9750-28E8AB34741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11" name="Shape 11">
            <a:extLst>
              <a:ext uri="{FF2B5EF4-FFF2-40B4-BE49-F238E27FC236}">
                <a16:creationId xmlns:a16="http://schemas.microsoft.com/office/drawing/2014/main" id="{67E8E7F0-CBEF-D306-E102-9DAF259E7A6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12" name="Shape 12">
            <a:extLst>
              <a:ext uri="{FF2B5EF4-FFF2-40B4-BE49-F238E27FC236}">
                <a16:creationId xmlns:a16="http://schemas.microsoft.com/office/drawing/2014/main" id="{38EAD1AE-42BB-2480-464F-EAE9E91F879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13" name="Shape 13">
            <a:extLst>
              <a:ext uri="{FF2B5EF4-FFF2-40B4-BE49-F238E27FC236}">
                <a16:creationId xmlns:a16="http://schemas.microsoft.com/office/drawing/2014/main" id="{7CC57B39-C97D-86F3-BA93-6B0CC9B91CF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14" name="Shape 14">
            <a:extLst>
              <a:ext uri="{FF2B5EF4-FFF2-40B4-BE49-F238E27FC236}">
                <a16:creationId xmlns:a16="http://schemas.microsoft.com/office/drawing/2014/main" id="{7238ADCC-CE93-83BB-C887-150EFA5CBDC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15" name="Shape 15">
            <a:extLst>
              <a:ext uri="{FF2B5EF4-FFF2-40B4-BE49-F238E27FC236}">
                <a16:creationId xmlns:a16="http://schemas.microsoft.com/office/drawing/2014/main" id="{06E0EF3E-6EF2-3EB6-2F70-CF2E9ACB4B7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16" name="Shape 16">
            <a:extLst>
              <a:ext uri="{FF2B5EF4-FFF2-40B4-BE49-F238E27FC236}">
                <a16:creationId xmlns:a16="http://schemas.microsoft.com/office/drawing/2014/main" id="{847CAC73-F15A-6BA1-F50E-CCDBD6ED9D9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719</xdr:row>
      <xdr:rowOff>3246</xdr:rowOff>
    </xdr:from>
    <xdr:ext cx="33655" cy="33655"/>
    <xdr:grpSp>
      <xdr:nvGrpSpPr>
        <xdr:cNvPr id="5817" name="Group 17">
          <a:extLst>
            <a:ext uri="{FF2B5EF4-FFF2-40B4-BE49-F238E27FC236}">
              <a16:creationId xmlns:a16="http://schemas.microsoft.com/office/drawing/2014/main" id="{5ABEFD0A-156A-45AE-BE68-83D5A03F4DA7}"/>
            </a:ext>
          </a:extLst>
        </xdr:cNvPr>
        <xdr:cNvGrpSpPr/>
      </xdr:nvGrpSpPr>
      <xdr:grpSpPr>
        <a:xfrm>
          <a:off x="4603072" y="132922279"/>
          <a:ext cx="33655" cy="33655"/>
          <a:chOff x="0" y="0"/>
          <a:chExt cx="33655" cy="33655"/>
        </a:xfrm>
      </xdr:grpSpPr>
      <xdr:sp macro="" textlink="">
        <xdr:nvSpPr>
          <xdr:cNvPr id="5818" name="Shape 18">
            <a:extLst>
              <a:ext uri="{FF2B5EF4-FFF2-40B4-BE49-F238E27FC236}">
                <a16:creationId xmlns:a16="http://schemas.microsoft.com/office/drawing/2014/main" id="{4A355C0E-2368-B21E-267E-18EEB17DF9E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19" name="Shape 19">
            <a:extLst>
              <a:ext uri="{FF2B5EF4-FFF2-40B4-BE49-F238E27FC236}">
                <a16:creationId xmlns:a16="http://schemas.microsoft.com/office/drawing/2014/main" id="{7FA6B82A-E44F-0385-B30B-7AF23ABB585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20" name="Shape 20">
            <a:extLst>
              <a:ext uri="{FF2B5EF4-FFF2-40B4-BE49-F238E27FC236}">
                <a16:creationId xmlns:a16="http://schemas.microsoft.com/office/drawing/2014/main" id="{E3932B18-AE97-5E7F-2CA9-AD00432B4CD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21" name="Shape 21">
            <a:extLst>
              <a:ext uri="{FF2B5EF4-FFF2-40B4-BE49-F238E27FC236}">
                <a16:creationId xmlns:a16="http://schemas.microsoft.com/office/drawing/2014/main" id="{9ECFBADC-A755-CF0D-438B-0DD7387BFD4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22" name="Shape 22">
            <a:extLst>
              <a:ext uri="{FF2B5EF4-FFF2-40B4-BE49-F238E27FC236}">
                <a16:creationId xmlns:a16="http://schemas.microsoft.com/office/drawing/2014/main" id="{4FF46078-5B11-022B-C12F-6FA1B053615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23" name="Shape 23">
            <a:extLst>
              <a:ext uri="{FF2B5EF4-FFF2-40B4-BE49-F238E27FC236}">
                <a16:creationId xmlns:a16="http://schemas.microsoft.com/office/drawing/2014/main" id="{F29685F2-85BB-BB51-8250-5B2C3E9D83B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24" name="Shape 24">
            <a:extLst>
              <a:ext uri="{FF2B5EF4-FFF2-40B4-BE49-F238E27FC236}">
                <a16:creationId xmlns:a16="http://schemas.microsoft.com/office/drawing/2014/main" id="{A95A50E3-7FCA-B372-5977-3A8ABFE1DB1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25" name="Shape 25">
            <a:extLst>
              <a:ext uri="{FF2B5EF4-FFF2-40B4-BE49-F238E27FC236}">
                <a16:creationId xmlns:a16="http://schemas.microsoft.com/office/drawing/2014/main" id="{9F4BAEF2-1363-8A63-9528-710791F3749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26" name="Shape 26">
            <a:extLst>
              <a:ext uri="{FF2B5EF4-FFF2-40B4-BE49-F238E27FC236}">
                <a16:creationId xmlns:a16="http://schemas.microsoft.com/office/drawing/2014/main" id="{812FF090-96CC-D396-DD52-4BF27160D29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27" name="Shape 27">
            <a:extLst>
              <a:ext uri="{FF2B5EF4-FFF2-40B4-BE49-F238E27FC236}">
                <a16:creationId xmlns:a16="http://schemas.microsoft.com/office/drawing/2014/main" id="{AC348D98-A2ED-86A0-7200-4F2FF70B61F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28" name="Shape 28">
            <a:extLst>
              <a:ext uri="{FF2B5EF4-FFF2-40B4-BE49-F238E27FC236}">
                <a16:creationId xmlns:a16="http://schemas.microsoft.com/office/drawing/2014/main" id="{B86490EE-F992-1DFD-E0E9-F261D05AAEC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29" name="Shape 29">
            <a:extLst>
              <a:ext uri="{FF2B5EF4-FFF2-40B4-BE49-F238E27FC236}">
                <a16:creationId xmlns:a16="http://schemas.microsoft.com/office/drawing/2014/main" id="{727A1CF8-164C-4581-3C3F-50EB4D0BC90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30" name="Shape 30">
            <a:extLst>
              <a:ext uri="{FF2B5EF4-FFF2-40B4-BE49-F238E27FC236}">
                <a16:creationId xmlns:a16="http://schemas.microsoft.com/office/drawing/2014/main" id="{82DE7F77-FCF0-567C-0D0D-53F881170E3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31" name="Shape 31">
            <a:extLst>
              <a:ext uri="{FF2B5EF4-FFF2-40B4-BE49-F238E27FC236}">
                <a16:creationId xmlns:a16="http://schemas.microsoft.com/office/drawing/2014/main" id="{D3A3A911-86CB-D1CA-AAD7-F2EEA5A6A03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719</xdr:row>
      <xdr:rowOff>3703</xdr:rowOff>
    </xdr:from>
    <xdr:ext cx="33655" cy="33655"/>
    <xdr:grpSp>
      <xdr:nvGrpSpPr>
        <xdr:cNvPr id="5832" name="Group 32">
          <a:extLst>
            <a:ext uri="{FF2B5EF4-FFF2-40B4-BE49-F238E27FC236}">
              <a16:creationId xmlns:a16="http://schemas.microsoft.com/office/drawing/2014/main" id="{0F2F2D26-DF3D-467D-845D-6E92EA9BC8EF}"/>
            </a:ext>
          </a:extLst>
        </xdr:cNvPr>
        <xdr:cNvGrpSpPr/>
      </xdr:nvGrpSpPr>
      <xdr:grpSpPr>
        <a:xfrm>
          <a:off x="4603072" y="132922736"/>
          <a:ext cx="33655" cy="33655"/>
          <a:chOff x="0" y="0"/>
          <a:chExt cx="33655" cy="33655"/>
        </a:xfrm>
      </xdr:grpSpPr>
      <xdr:sp macro="" textlink="">
        <xdr:nvSpPr>
          <xdr:cNvPr id="5833" name="Shape 33">
            <a:extLst>
              <a:ext uri="{FF2B5EF4-FFF2-40B4-BE49-F238E27FC236}">
                <a16:creationId xmlns:a16="http://schemas.microsoft.com/office/drawing/2014/main" id="{A03EDD9E-D8D2-F36D-5D91-410E4BEAA0C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34" name="Shape 34">
            <a:extLst>
              <a:ext uri="{FF2B5EF4-FFF2-40B4-BE49-F238E27FC236}">
                <a16:creationId xmlns:a16="http://schemas.microsoft.com/office/drawing/2014/main" id="{56523E49-F8DD-0453-2F08-B971CA35BB4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35" name="Shape 35">
            <a:extLst>
              <a:ext uri="{FF2B5EF4-FFF2-40B4-BE49-F238E27FC236}">
                <a16:creationId xmlns:a16="http://schemas.microsoft.com/office/drawing/2014/main" id="{EC837AB2-6164-D63A-1E65-98238868E2E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36" name="Shape 36">
            <a:extLst>
              <a:ext uri="{FF2B5EF4-FFF2-40B4-BE49-F238E27FC236}">
                <a16:creationId xmlns:a16="http://schemas.microsoft.com/office/drawing/2014/main" id="{7433EBE6-C292-5B49-FCDC-B3C0B7EAD59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37" name="Shape 37">
            <a:extLst>
              <a:ext uri="{FF2B5EF4-FFF2-40B4-BE49-F238E27FC236}">
                <a16:creationId xmlns:a16="http://schemas.microsoft.com/office/drawing/2014/main" id="{7B41D387-9554-C250-1ABC-4D79DDAE777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38" name="Shape 38">
            <a:extLst>
              <a:ext uri="{FF2B5EF4-FFF2-40B4-BE49-F238E27FC236}">
                <a16:creationId xmlns:a16="http://schemas.microsoft.com/office/drawing/2014/main" id="{CD546FF4-2CE0-EC72-8120-BCBFB37A4D1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39" name="Shape 39">
            <a:extLst>
              <a:ext uri="{FF2B5EF4-FFF2-40B4-BE49-F238E27FC236}">
                <a16:creationId xmlns:a16="http://schemas.microsoft.com/office/drawing/2014/main" id="{16D12E61-A9D8-0EF1-5AFC-5B730D60872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40" name="Shape 40">
            <a:extLst>
              <a:ext uri="{FF2B5EF4-FFF2-40B4-BE49-F238E27FC236}">
                <a16:creationId xmlns:a16="http://schemas.microsoft.com/office/drawing/2014/main" id="{80A313D5-53AD-934E-774C-32247B0F096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41" name="Shape 41">
            <a:extLst>
              <a:ext uri="{FF2B5EF4-FFF2-40B4-BE49-F238E27FC236}">
                <a16:creationId xmlns:a16="http://schemas.microsoft.com/office/drawing/2014/main" id="{30C85B68-9B63-935B-0FD5-6F523715206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42" name="Shape 42">
            <a:extLst>
              <a:ext uri="{FF2B5EF4-FFF2-40B4-BE49-F238E27FC236}">
                <a16:creationId xmlns:a16="http://schemas.microsoft.com/office/drawing/2014/main" id="{EBB85E01-59F5-6736-F34B-72275B02C98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43" name="Shape 43">
            <a:extLst>
              <a:ext uri="{FF2B5EF4-FFF2-40B4-BE49-F238E27FC236}">
                <a16:creationId xmlns:a16="http://schemas.microsoft.com/office/drawing/2014/main" id="{167E7FD5-D1A8-4A56-C180-0A113272BAD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44" name="Shape 44">
            <a:extLst>
              <a:ext uri="{FF2B5EF4-FFF2-40B4-BE49-F238E27FC236}">
                <a16:creationId xmlns:a16="http://schemas.microsoft.com/office/drawing/2014/main" id="{8ECE35B0-3A27-4C56-6FB2-34C0784CC9E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45" name="Shape 45">
            <a:extLst>
              <a:ext uri="{FF2B5EF4-FFF2-40B4-BE49-F238E27FC236}">
                <a16:creationId xmlns:a16="http://schemas.microsoft.com/office/drawing/2014/main" id="{8F022886-2CDF-B38C-388D-7B3A1980A41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46" name="Shape 46">
            <a:extLst>
              <a:ext uri="{FF2B5EF4-FFF2-40B4-BE49-F238E27FC236}">
                <a16:creationId xmlns:a16="http://schemas.microsoft.com/office/drawing/2014/main" id="{44D2D6BD-903F-D8DC-8EE3-4C60735356A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719</xdr:row>
      <xdr:rowOff>3409</xdr:rowOff>
    </xdr:from>
    <xdr:ext cx="33655" cy="33655"/>
    <xdr:grpSp>
      <xdr:nvGrpSpPr>
        <xdr:cNvPr id="5847" name="Group 47">
          <a:extLst>
            <a:ext uri="{FF2B5EF4-FFF2-40B4-BE49-F238E27FC236}">
              <a16:creationId xmlns:a16="http://schemas.microsoft.com/office/drawing/2014/main" id="{EF256BEF-224B-4CC8-9A52-56912C27805F}"/>
            </a:ext>
          </a:extLst>
        </xdr:cNvPr>
        <xdr:cNvGrpSpPr/>
      </xdr:nvGrpSpPr>
      <xdr:grpSpPr>
        <a:xfrm>
          <a:off x="4603072" y="132922442"/>
          <a:ext cx="33655" cy="33655"/>
          <a:chOff x="0" y="0"/>
          <a:chExt cx="33655" cy="33655"/>
        </a:xfrm>
      </xdr:grpSpPr>
      <xdr:sp macro="" textlink="">
        <xdr:nvSpPr>
          <xdr:cNvPr id="5848" name="Shape 48">
            <a:extLst>
              <a:ext uri="{FF2B5EF4-FFF2-40B4-BE49-F238E27FC236}">
                <a16:creationId xmlns:a16="http://schemas.microsoft.com/office/drawing/2014/main" id="{F5389CB6-BA7B-B3B5-8524-7E8B2B5EB14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49" name="Shape 49">
            <a:extLst>
              <a:ext uri="{FF2B5EF4-FFF2-40B4-BE49-F238E27FC236}">
                <a16:creationId xmlns:a16="http://schemas.microsoft.com/office/drawing/2014/main" id="{AC8890ED-1D08-AB43-F9AE-82B9E857242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50" name="Shape 50">
            <a:extLst>
              <a:ext uri="{FF2B5EF4-FFF2-40B4-BE49-F238E27FC236}">
                <a16:creationId xmlns:a16="http://schemas.microsoft.com/office/drawing/2014/main" id="{141635F5-5675-89E8-F674-B26E7A1C36F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51" name="Shape 51">
            <a:extLst>
              <a:ext uri="{FF2B5EF4-FFF2-40B4-BE49-F238E27FC236}">
                <a16:creationId xmlns:a16="http://schemas.microsoft.com/office/drawing/2014/main" id="{9B152DC4-EE30-375C-D9ED-9F2DA13AF82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52" name="Shape 52">
            <a:extLst>
              <a:ext uri="{FF2B5EF4-FFF2-40B4-BE49-F238E27FC236}">
                <a16:creationId xmlns:a16="http://schemas.microsoft.com/office/drawing/2014/main" id="{E601477D-59D7-121A-7F3A-D01409AC849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53" name="Shape 53">
            <a:extLst>
              <a:ext uri="{FF2B5EF4-FFF2-40B4-BE49-F238E27FC236}">
                <a16:creationId xmlns:a16="http://schemas.microsoft.com/office/drawing/2014/main" id="{2F1CCCB2-86BA-0C51-7B32-2B5D562F054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54" name="Shape 54">
            <a:extLst>
              <a:ext uri="{FF2B5EF4-FFF2-40B4-BE49-F238E27FC236}">
                <a16:creationId xmlns:a16="http://schemas.microsoft.com/office/drawing/2014/main" id="{C38F8F87-BFF4-602B-C820-4212C77196F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55" name="Shape 55">
            <a:extLst>
              <a:ext uri="{FF2B5EF4-FFF2-40B4-BE49-F238E27FC236}">
                <a16:creationId xmlns:a16="http://schemas.microsoft.com/office/drawing/2014/main" id="{C9BEADC5-3798-4C52-4823-80AB7FE54E2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56" name="Shape 56">
            <a:extLst>
              <a:ext uri="{FF2B5EF4-FFF2-40B4-BE49-F238E27FC236}">
                <a16:creationId xmlns:a16="http://schemas.microsoft.com/office/drawing/2014/main" id="{9A676C03-158A-9BCA-AB18-BD583336E14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57" name="Shape 57">
            <a:extLst>
              <a:ext uri="{FF2B5EF4-FFF2-40B4-BE49-F238E27FC236}">
                <a16:creationId xmlns:a16="http://schemas.microsoft.com/office/drawing/2014/main" id="{2A7D6D67-9552-A6BE-80BB-6FDF3CAA947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58" name="Shape 58">
            <a:extLst>
              <a:ext uri="{FF2B5EF4-FFF2-40B4-BE49-F238E27FC236}">
                <a16:creationId xmlns:a16="http://schemas.microsoft.com/office/drawing/2014/main" id="{F1D235A6-F0EF-2D54-59C7-DD299DABAEC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59" name="Shape 59">
            <a:extLst>
              <a:ext uri="{FF2B5EF4-FFF2-40B4-BE49-F238E27FC236}">
                <a16:creationId xmlns:a16="http://schemas.microsoft.com/office/drawing/2014/main" id="{AE627DBB-ED82-4C88-CD76-9252EFB7E3A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60" name="Shape 60">
            <a:extLst>
              <a:ext uri="{FF2B5EF4-FFF2-40B4-BE49-F238E27FC236}">
                <a16:creationId xmlns:a16="http://schemas.microsoft.com/office/drawing/2014/main" id="{A94F38BB-ED29-1625-A82B-354842FCC7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61" name="Shape 61">
            <a:extLst>
              <a:ext uri="{FF2B5EF4-FFF2-40B4-BE49-F238E27FC236}">
                <a16:creationId xmlns:a16="http://schemas.microsoft.com/office/drawing/2014/main" id="{21737652-D887-3B18-4832-C43B578A91B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719</xdr:row>
      <xdr:rowOff>3962</xdr:rowOff>
    </xdr:from>
    <xdr:ext cx="33655" cy="33655"/>
    <xdr:grpSp>
      <xdr:nvGrpSpPr>
        <xdr:cNvPr id="5862" name="Group 62">
          <a:extLst>
            <a:ext uri="{FF2B5EF4-FFF2-40B4-BE49-F238E27FC236}">
              <a16:creationId xmlns:a16="http://schemas.microsoft.com/office/drawing/2014/main" id="{F22E1645-8E94-4CF3-9577-2C0AC4D3B3D3}"/>
            </a:ext>
          </a:extLst>
        </xdr:cNvPr>
        <xdr:cNvGrpSpPr/>
      </xdr:nvGrpSpPr>
      <xdr:grpSpPr>
        <a:xfrm>
          <a:off x="4603072" y="132922995"/>
          <a:ext cx="33655" cy="33655"/>
          <a:chOff x="0" y="0"/>
          <a:chExt cx="33655" cy="33655"/>
        </a:xfrm>
      </xdr:grpSpPr>
      <xdr:sp macro="" textlink="">
        <xdr:nvSpPr>
          <xdr:cNvPr id="5863" name="Shape 63">
            <a:extLst>
              <a:ext uri="{FF2B5EF4-FFF2-40B4-BE49-F238E27FC236}">
                <a16:creationId xmlns:a16="http://schemas.microsoft.com/office/drawing/2014/main" id="{8DAADC27-1F0C-8E68-2687-349FA0F248B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64" name="Shape 64">
            <a:extLst>
              <a:ext uri="{FF2B5EF4-FFF2-40B4-BE49-F238E27FC236}">
                <a16:creationId xmlns:a16="http://schemas.microsoft.com/office/drawing/2014/main" id="{06BFAD5B-9CE2-8E92-B453-55DDA6289DF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65" name="Shape 65">
            <a:extLst>
              <a:ext uri="{FF2B5EF4-FFF2-40B4-BE49-F238E27FC236}">
                <a16:creationId xmlns:a16="http://schemas.microsoft.com/office/drawing/2014/main" id="{BDBA4ACD-9252-1485-0FC9-C821D06E2C4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66" name="Shape 66">
            <a:extLst>
              <a:ext uri="{FF2B5EF4-FFF2-40B4-BE49-F238E27FC236}">
                <a16:creationId xmlns:a16="http://schemas.microsoft.com/office/drawing/2014/main" id="{951E2CC6-107D-C41E-B997-144B0DFD871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67" name="Shape 67">
            <a:extLst>
              <a:ext uri="{FF2B5EF4-FFF2-40B4-BE49-F238E27FC236}">
                <a16:creationId xmlns:a16="http://schemas.microsoft.com/office/drawing/2014/main" id="{83F10DA7-F5CC-AB0E-5D8F-B0D977D0F77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68" name="Shape 68">
            <a:extLst>
              <a:ext uri="{FF2B5EF4-FFF2-40B4-BE49-F238E27FC236}">
                <a16:creationId xmlns:a16="http://schemas.microsoft.com/office/drawing/2014/main" id="{05F35A19-515B-FCD1-54F5-781F9F940EC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69" name="Shape 69">
            <a:extLst>
              <a:ext uri="{FF2B5EF4-FFF2-40B4-BE49-F238E27FC236}">
                <a16:creationId xmlns:a16="http://schemas.microsoft.com/office/drawing/2014/main" id="{0F1293BD-4885-4F10-FE66-56856A60828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70" name="Shape 70">
            <a:extLst>
              <a:ext uri="{FF2B5EF4-FFF2-40B4-BE49-F238E27FC236}">
                <a16:creationId xmlns:a16="http://schemas.microsoft.com/office/drawing/2014/main" id="{EF5396AD-1A5C-CB0C-E218-65D82CE0DA9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71" name="Shape 71">
            <a:extLst>
              <a:ext uri="{FF2B5EF4-FFF2-40B4-BE49-F238E27FC236}">
                <a16:creationId xmlns:a16="http://schemas.microsoft.com/office/drawing/2014/main" id="{FA4306C5-0FCD-884D-0C92-F8C36250066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72" name="Shape 72">
            <a:extLst>
              <a:ext uri="{FF2B5EF4-FFF2-40B4-BE49-F238E27FC236}">
                <a16:creationId xmlns:a16="http://schemas.microsoft.com/office/drawing/2014/main" id="{93D98DCD-A8E6-AEDA-B75D-679DF7A3BAA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73" name="Shape 73">
            <a:extLst>
              <a:ext uri="{FF2B5EF4-FFF2-40B4-BE49-F238E27FC236}">
                <a16:creationId xmlns:a16="http://schemas.microsoft.com/office/drawing/2014/main" id="{80F7ADF1-38A3-E317-2D1E-7BEF8DCA041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74" name="Shape 74">
            <a:extLst>
              <a:ext uri="{FF2B5EF4-FFF2-40B4-BE49-F238E27FC236}">
                <a16:creationId xmlns:a16="http://schemas.microsoft.com/office/drawing/2014/main" id="{108D23DE-EC89-F6F1-915E-7DE51560F2A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75" name="Shape 75">
            <a:extLst>
              <a:ext uri="{FF2B5EF4-FFF2-40B4-BE49-F238E27FC236}">
                <a16:creationId xmlns:a16="http://schemas.microsoft.com/office/drawing/2014/main" id="{4A0F8696-0973-D264-1038-B05E1E1D10C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876" name="Shape 76">
            <a:extLst>
              <a:ext uri="{FF2B5EF4-FFF2-40B4-BE49-F238E27FC236}">
                <a16:creationId xmlns:a16="http://schemas.microsoft.com/office/drawing/2014/main" id="{A3A9F429-0BDC-B22E-C77F-26EB9F87703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730</xdr:row>
      <xdr:rowOff>2978</xdr:rowOff>
    </xdr:from>
    <xdr:ext cx="33655" cy="33655"/>
    <xdr:grpSp>
      <xdr:nvGrpSpPr>
        <xdr:cNvPr id="5877" name="Group 2">
          <a:extLst>
            <a:ext uri="{FF2B5EF4-FFF2-40B4-BE49-F238E27FC236}">
              <a16:creationId xmlns:a16="http://schemas.microsoft.com/office/drawing/2014/main" id="{57D5D995-A946-406D-8E7A-A616B208D917}"/>
            </a:ext>
          </a:extLst>
        </xdr:cNvPr>
        <xdr:cNvGrpSpPr/>
      </xdr:nvGrpSpPr>
      <xdr:grpSpPr>
        <a:xfrm>
          <a:off x="4603072" y="134914453"/>
          <a:ext cx="33655" cy="33655"/>
          <a:chOff x="0" y="0"/>
          <a:chExt cx="33655" cy="33655"/>
        </a:xfrm>
      </xdr:grpSpPr>
      <xdr:sp macro="" textlink="">
        <xdr:nvSpPr>
          <xdr:cNvPr id="5878" name="Shape 3">
            <a:extLst>
              <a:ext uri="{FF2B5EF4-FFF2-40B4-BE49-F238E27FC236}">
                <a16:creationId xmlns:a16="http://schemas.microsoft.com/office/drawing/2014/main" id="{A9EB80DF-2D23-97D8-617D-40301669A2F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79" name="Shape 4">
            <a:extLst>
              <a:ext uri="{FF2B5EF4-FFF2-40B4-BE49-F238E27FC236}">
                <a16:creationId xmlns:a16="http://schemas.microsoft.com/office/drawing/2014/main" id="{215DEB80-BA0C-61CA-817C-95210E639E4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80" name="Shape 5">
            <a:extLst>
              <a:ext uri="{FF2B5EF4-FFF2-40B4-BE49-F238E27FC236}">
                <a16:creationId xmlns:a16="http://schemas.microsoft.com/office/drawing/2014/main" id="{42B9806A-F90B-F450-EE9B-8F711DABE2E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81" name="Shape 6">
            <a:extLst>
              <a:ext uri="{FF2B5EF4-FFF2-40B4-BE49-F238E27FC236}">
                <a16:creationId xmlns:a16="http://schemas.microsoft.com/office/drawing/2014/main" id="{FB3E811B-5190-0F33-2D4E-DB0A9FD9C30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82" name="Shape 7">
            <a:extLst>
              <a:ext uri="{FF2B5EF4-FFF2-40B4-BE49-F238E27FC236}">
                <a16:creationId xmlns:a16="http://schemas.microsoft.com/office/drawing/2014/main" id="{8DB35320-E30C-3F2B-511B-48F31F1772B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83" name="Shape 8">
            <a:extLst>
              <a:ext uri="{FF2B5EF4-FFF2-40B4-BE49-F238E27FC236}">
                <a16:creationId xmlns:a16="http://schemas.microsoft.com/office/drawing/2014/main" id="{41786D7F-1727-4ED5-CF9C-A17719D146F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84" name="Shape 9">
            <a:extLst>
              <a:ext uri="{FF2B5EF4-FFF2-40B4-BE49-F238E27FC236}">
                <a16:creationId xmlns:a16="http://schemas.microsoft.com/office/drawing/2014/main" id="{746F0108-B285-CC71-1014-156142117C7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85" name="Shape 10">
            <a:extLst>
              <a:ext uri="{FF2B5EF4-FFF2-40B4-BE49-F238E27FC236}">
                <a16:creationId xmlns:a16="http://schemas.microsoft.com/office/drawing/2014/main" id="{BFFA623F-9E04-88A6-0E05-B60D9F8D440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86" name="Shape 11">
            <a:extLst>
              <a:ext uri="{FF2B5EF4-FFF2-40B4-BE49-F238E27FC236}">
                <a16:creationId xmlns:a16="http://schemas.microsoft.com/office/drawing/2014/main" id="{B706508F-57A6-C979-328B-9E3D4DE487E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87" name="Shape 12">
            <a:extLst>
              <a:ext uri="{FF2B5EF4-FFF2-40B4-BE49-F238E27FC236}">
                <a16:creationId xmlns:a16="http://schemas.microsoft.com/office/drawing/2014/main" id="{9CA6D94C-3D4E-1E38-4F0D-EEC196392FF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88" name="Shape 13">
            <a:extLst>
              <a:ext uri="{FF2B5EF4-FFF2-40B4-BE49-F238E27FC236}">
                <a16:creationId xmlns:a16="http://schemas.microsoft.com/office/drawing/2014/main" id="{81F3BDA9-21F6-B9C4-622C-03906A9484A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89" name="Shape 14">
            <a:extLst>
              <a:ext uri="{FF2B5EF4-FFF2-40B4-BE49-F238E27FC236}">
                <a16:creationId xmlns:a16="http://schemas.microsoft.com/office/drawing/2014/main" id="{2CBC94C3-954E-3BE3-5D33-0B189DF5910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90" name="Shape 15">
            <a:extLst>
              <a:ext uri="{FF2B5EF4-FFF2-40B4-BE49-F238E27FC236}">
                <a16:creationId xmlns:a16="http://schemas.microsoft.com/office/drawing/2014/main" id="{7FE7A5FC-2ACA-03D9-18A5-02CDF52D669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91" name="Shape 16">
            <a:extLst>
              <a:ext uri="{FF2B5EF4-FFF2-40B4-BE49-F238E27FC236}">
                <a16:creationId xmlns:a16="http://schemas.microsoft.com/office/drawing/2014/main" id="{9821F834-15CF-E9A1-1F85-D662B49164D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730</xdr:row>
      <xdr:rowOff>3246</xdr:rowOff>
    </xdr:from>
    <xdr:ext cx="33655" cy="33655"/>
    <xdr:grpSp>
      <xdr:nvGrpSpPr>
        <xdr:cNvPr id="5892" name="Group 17">
          <a:extLst>
            <a:ext uri="{FF2B5EF4-FFF2-40B4-BE49-F238E27FC236}">
              <a16:creationId xmlns:a16="http://schemas.microsoft.com/office/drawing/2014/main" id="{CF809820-482F-40A0-AC3C-D718892BF4CC}"/>
            </a:ext>
          </a:extLst>
        </xdr:cNvPr>
        <xdr:cNvGrpSpPr/>
      </xdr:nvGrpSpPr>
      <xdr:grpSpPr>
        <a:xfrm>
          <a:off x="4603072" y="134914721"/>
          <a:ext cx="33655" cy="33655"/>
          <a:chOff x="0" y="0"/>
          <a:chExt cx="33655" cy="33655"/>
        </a:xfrm>
      </xdr:grpSpPr>
      <xdr:sp macro="" textlink="">
        <xdr:nvSpPr>
          <xdr:cNvPr id="5893" name="Shape 18">
            <a:extLst>
              <a:ext uri="{FF2B5EF4-FFF2-40B4-BE49-F238E27FC236}">
                <a16:creationId xmlns:a16="http://schemas.microsoft.com/office/drawing/2014/main" id="{CBD48BA3-77EE-6CBC-51CD-9ECFBDD90BD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94" name="Shape 19">
            <a:extLst>
              <a:ext uri="{FF2B5EF4-FFF2-40B4-BE49-F238E27FC236}">
                <a16:creationId xmlns:a16="http://schemas.microsoft.com/office/drawing/2014/main" id="{E0B777B1-F979-1B9C-300E-2BE05D04878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95" name="Shape 20">
            <a:extLst>
              <a:ext uri="{FF2B5EF4-FFF2-40B4-BE49-F238E27FC236}">
                <a16:creationId xmlns:a16="http://schemas.microsoft.com/office/drawing/2014/main" id="{9492BA16-2A13-4634-EE00-73F91327BCA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96" name="Shape 21">
            <a:extLst>
              <a:ext uri="{FF2B5EF4-FFF2-40B4-BE49-F238E27FC236}">
                <a16:creationId xmlns:a16="http://schemas.microsoft.com/office/drawing/2014/main" id="{915CB4B3-E2E9-5731-0A84-2CA301CD1C4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97" name="Shape 22">
            <a:extLst>
              <a:ext uri="{FF2B5EF4-FFF2-40B4-BE49-F238E27FC236}">
                <a16:creationId xmlns:a16="http://schemas.microsoft.com/office/drawing/2014/main" id="{8176A356-77C9-60D7-8247-9F548997A5B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898" name="Shape 23">
            <a:extLst>
              <a:ext uri="{FF2B5EF4-FFF2-40B4-BE49-F238E27FC236}">
                <a16:creationId xmlns:a16="http://schemas.microsoft.com/office/drawing/2014/main" id="{51F46E9E-C6A7-2CB8-48C3-2608D3C423D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899" name="Shape 24">
            <a:extLst>
              <a:ext uri="{FF2B5EF4-FFF2-40B4-BE49-F238E27FC236}">
                <a16:creationId xmlns:a16="http://schemas.microsoft.com/office/drawing/2014/main" id="{683CBAF7-39FB-8ACA-B248-7D0DCB1FB36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00" name="Shape 25">
            <a:extLst>
              <a:ext uri="{FF2B5EF4-FFF2-40B4-BE49-F238E27FC236}">
                <a16:creationId xmlns:a16="http://schemas.microsoft.com/office/drawing/2014/main" id="{3153AE64-B570-3DB2-794A-9FC3A35C09A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01" name="Shape 26">
            <a:extLst>
              <a:ext uri="{FF2B5EF4-FFF2-40B4-BE49-F238E27FC236}">
                <a16:creationId xmlns:a16="http://schemas.microsoft.com/office/drawing/2014/main" id="{06F8A73F-1D85-63E2-4DE6-05C8AA541F6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02" name="Shape 27">
            <a:extLst>
              <a:ext uri="{FF2B5EF4-FFF2-40B4-BE49-F238E27FC236}">
                <a16:creationId xmlns:a16="http://schemas.microsoft.com/office/drawing/2014/main" id="{A2D59A1A-FD27-4275-7F5E-FF62D27412B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03" name="Shape 28">
            <a:extLst>
              <a:ext uri="{FF2B5EF4-FFF2-40B4-BE49-F238E27FC236}">
                <a16:creationId xmlns:a16="http://schemas.microsoft.com/office/drawing/2014/main" id="{A36045EA-8CEA-6E76-595D-46FC539421A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04" name="Shape 29">
            <a:extLst>
              <a:ext uri="{FF2B5EF4-FFF2-40B4-BE49-F238E27FC236}">
                <a16:creationId xmlns:a16="http://schemas.microsoft.com/office/drawing/2014/main" id="{1E485A81-DB8A-DED6-0A89-55B40CE4339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05" name="Shape 30">
            <a:extLst>
              <a:ext uri="{FF2B5EF4-FFF2-40B4-BE49-F238E27FC236}">
                <a16:creationId xmlns:a16="http://schemas.microsoft.com/office/drawing/2014/main" id="{EC73C9D3-B587-881B-BD43-0DF62053A8D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06" name="Shape 31">
            <a:extLst>
              <a:ext uri="{FF2B5EF4-FFF2-40B4-BE49-F238E27FC236}">
                <a16:creationId xmlns:a16="http://schemas.microsoft.com/office/drawing/2014/main" id="{00E5622D-AA33-3316-2048-43EFCB4FEE1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730</xdr:row>
      <xdr:rowOff>3703</xdr:rowOff>
    </xdr:from>
    <xdr:ext cx="33655" cy="33655"/>
    <xdr:grpSp>
      <xdr:nvGrpSpPr>
        <xdr:cNvPr id="5907" name="Group 32">
          <a:extLst>
            <a:ext uri="{FF2B5EF4-FFF2-40B4-BE49-F238E27FC236}">
              <a16:creationId xmlns:a16="http://schemas.microsoft.com/office/drawing/2014/main" id="{FA24F998-7698-4095-BBBF-03A87F2ADD63}"/>
            </a:ext>
          </a:extLst>
        </xdr:cNvPr>
        <xdr:cNvGrpSpPr/>
      </xdr:nvGrpSpPr>
      <xdr:grpSpPr>
        <a:xfrm>
          <a:off x="4603072" y="134915178"/>
          <a:ext cx="33655" cy="33655"/>
          <a:chOff x="0" y="0"/>
          <a:chExt cx="33655" cy="33655"/>
        </a:xfrm>
      </xdr:grpSpPr>
      <xdr:sp macro="" textlink="">
        <xdr:nvSpPr>
          <xdr:cNvPr id="5908" name="Shape 33">
            <a:extLst>
              <a:ext uri="{FF2B5EF4-FFF2-40B4-BE49-F238E27FC236}">
                <a16:creationId xmlns:a16="http://schemas.microsoft.com/office/drawing/2014/main" id="{30A5CB18-A595-7DC6-585E-7AF687297A5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09" name="Shape 34">
            <a:extLst>
              <a:ext uri="{FF2B5EF4-FFF2-40B4-BE49-F238E27FC236}">
                <a16:creationId xmlns:a16="http://schemas.microsoft.com/office/drawing/2014/main" id="{F04DEE9C-CA0B-17F5-34A6-C9B2CCD62D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10" name="Shape 35">
            <a:extLst>
              <a:ext uri="{FF2B5EF4-FFF2-40B4-BE49-F238E27FC236}">
                <a16:creationId xmlns:a16="http://schemas.microsoft.com/office/drawing/2014/main" id="{3AA08262-354E-14E2-E47E-925CF5E5ED0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11" name="Shape 36">
            <a:extLst>
              <a:ext uri="{FF2B5EF4-FFF2-40B4-BE49-F238E27FC236}">
                <a16:creationId xmlns:a16="http://schemas.microsoft.com/office/drawing/2014/main" id="{BE9B7231-7379-6AA1-645E-C50AB952A5E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12" name="Shape 37">
            <a:extLst>
              <a:ext uri="{FF2B5EF4-FFF2-40B4-BE49-F238E27FC236}">
                <a16:creationId xmlns:a16="http://schemas.microsoft.com/office/drawing/2014/main" id="{B8B1D562-49A5-C9D9-0EF6-2752E285294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13" name="Shape 38">
            <a:extLst>
              <a:ext uri="{FF2B5EF4-FFF2-40B4-BE49-F238E27FC236}">
                <a16:creationId xmlns:a16="http://schemas.microsoft.com/office/drawing/2014/main" id="{7371148C-4D5B-3811-1268-037869E51F3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14" name="Shape 39">
            <a:extLst>
              <a:ext uri="{FF2B5EF4-FFF2-40B4-BE49-F238E27FC236}">
                <a16:creationId xmlns:a16="http://schemas.microsoft.com/office/drawing/2014/main" id="{150BDA49-062E-C3B3-4E45-44482AFDDB7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15" name="Shape 40">
            <a:extLst>
              <a:ext uri="{FF2B5EF4-FFF2-40B4-BE49-F238E27FC236}">
                <a16:creationId xmlns:a16="http://schemas.microsoft.com/office/drawing/2014/main" id="{7C99D943-6CB0-10C2-2231-12AE992D2D6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16" name="Shape 41">
            <a:extLst>
              <a:ext uri="{FF2B5EF4-FFF2-40B4-BE49-F238E27FC236}">
                <a16:creationId xmlns:a16="http://schemas.microsoft.com/office/drawing/2014/main" id="{3AD2D099-D03E-0B90-5991-581043B2C90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17" name="Shape 42">
            <a:extLst>
              <a:ext uri="{FF2B5EF4-FFF2-40B4-BE49-F238E27FC236}">
                <a16:creationId xmlns:a16="http://schemas.microsoft.com/office/drawing/2014/main" id="{F62B64E8-8B7A-9415-AB7D-F5CBDAC2C8B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18" name="Shape 43">
            <a:extLst>
              <a:ext uri="{FF2B5EF4-FFF2-40B4-BE49-F238E27FC236}">
                <a16:creationId xmlns:a16="http://schemas.microsoft.com/office/drawing/2014/main" id="{9CC8FE84-4411-CD4D-20AE-3DE9764DF25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19" name="Shape 44">
            <a:extLst>
              <a:ext uri="{FF2B5EF4-FFF2-40B4-BE49-F238E27FC236}">
                <a16:creationId xmlns:a16="http://schemas.microsoft.com/office/drawing/2014/main" id="{41DED0B2-B397-BBCA-9C87-CFA5D5894C0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20" name="Shape 45">
            <a:extLst>
              <a:ext uri="{FF2B5EF4-FFF2-40B4-BE49-F238E27FC236}">
                <a16:creationId xmlns:a16="http://schemas.microsoft.com/office/drawing/2014/main" id="{A41D49DA-637B-17E4-D769-F6D4DC97936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21" name="Shape 46">
            <a:extLst>
              <a:ext uri="{FF2B5EF4-FFF2-40B4-BE49-F238E27FC236}">
                <a16:creationId xmlns:a16="http://schemas.microsoft.com/office/drawing/2014/main" id="{9653DA9E-D5DA-8CED-44FC-6754A276E30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730</xdr:row>
      <xdr:rowOff>3409</xdr:rowOff>
    </xdr:from>
    <xdr:ext cx="33655" cy="33655"/>
    <xdr:grpSp>
      <xdr:nvGrpSpPr>
        <xdr:cNvPr id="5922" name="Group 47">
          <a:extLst>
            <a:ext uri="{FF2B5EF4-FFF2-40B4-BE49-F238E27FC236}">
              <a16:creationId xmlns:a16="http://schemas.microsoft.com/office/drawing/2014/main" id="{512EA7A5-61B6-4A80-BAC6-417EFA959F04}"/>
            </a:ext>
          </a:extLst>
        </xdr:cNvPr>
        <xdr:cNvGrpSpPr/>
      </xdr:nvGrpSpPr>
      <xdr:grpSpPr>
        <a:xfrm>
          <a:off x="4603072" y="134914884"/>
          <a:ext cx="33655" cy="33655"/>
          <a:chOff x="0" y="0"/>
          <a:chExt cx="33655" cy="33655"/>
        </a:xfrm>
      </xdr:grpSpPr>
      <xdr:sp macro="" textlink="">
        <xdr:nvSpPr>
          <xdr:cNvPr id="5923" name="Shape 48">
            <a:extLst>
              <a:ext uri="{FF2B5EF4-FFF2-40B4-BE49-F238E27FC236}">
                <a16:creationId xmlns:a16="http://schemas.microsoft.com/office/drawing/2014/main" id="{D7A6360E-1733-7639-9625-D93E52A17DA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24" name="Shape 49">
            <a:extLst>
              <a:ext uri="{FF2B5EF4-FFF2-40B4-BE49-F238E27FC236}">
                <a16:creationId xmlns:a16="http://schemas.microsoft.com/office/drawing/2014/main" id="{BBBAEBF3-AA4F-F1FE-DC64-40DC4FFF853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25" name="Shape 50">
            <a:extLst>
              <a:ext uri="{FF2B5EF4-FFF2-40B4-BE49-F238E27FC236}">
                <a16:creationId xmlns:a16="http://schemas.microsoft.com/office/drawing/2014/main" id="{54713137-6DAB-E8C9-291A-0119F5A5EB7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26" name="Shape 51">
            <a:extLst>
              <a:ext uri="{FF2B5EF4-FFF2-40B4-BE49-F238E27FC236}">
                <a16:creationId xmlns:a16="http://schemas.microsoft.com/office/drawing/2014/main" id="{D67E3BCF-A789-9069-53FD-7E407E49EA3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27" name="Shape 52">
            <a:extLst>
              <a:ext uri="{FF2B5EF4-FFF2-40B4-BE49-F238E27FC236}">
                <a16:creationId xmlns:a16="http://schemas.microsoft.com/office/drawing/2014/main" id="{098B6907-1060-1494-53B2-DD2CE0408DE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28" name="Shape 53">
            <a:extLst>
              <a:ext uri="{FF2B5EF4-FFF2-40B4-BE49-F238E27FC236}">
                <a16:creationId xmlns:a16="http://schemas.microsoft.com/office/drawing/2014/main" id="{02BEA720-5350-B7B4-1F09-5F3524C6171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29" name="Shape 54">
            <a:extLst>
              <a:ext uri="{FF2B5EF4-FFF2-40B4-BE49-F238E27FC236}">
                <a16:creationId xmlns:a16="http://schemas.microsoft.com/office/drawing/2014/main" id="{37E6FEEC-4EFF-906E-6005-E81AF655E43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30" name="Shape 55">
            <a:extLst>
              <a:ext uri="{FF2B5EF4-FFF2-40B4-BE49-F238E27FC236}">
                <a16:creationId xmlns:a16="http://schemas.microsoft.com/office/drawing/2014/main" id="{94345986-35B1-6DA8-65EA-7A3D52D8C9D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31" name="Shape 56">
            <a:extLst>
              <a:ext uri="{FF2B5EF4-FFF2-40B4-BE49-F238E27FC236}">
                <a16:creationId xmlns:a16="http://schemas.microsoft.com/office/drawing/2014/main" id="{BFE3A745-D820-97BC-F5CD-48A26BECEBD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32" name="Shape 57">
            <a:extLst>
              <a:ext uri="{FF2B5EF4-FFF2-40B4-BE49-F238E27FC236}">
                <a16:creationId xmlns:a16="http://schemas.microsoft.com/office/drawing/2014/main" id="{209872D2-51F7-0199-F159-6B9B25E7F2E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33" name="Shape 58">
            <a:extLst>
              <a:ext uri="{FF2B5EF4-FFF2-40B4-BE49-F238E27FC236}">
                <a16:creationId xmlns:a16="http://schemas.microsoft.com/office/drawing/2014/main" id="{F07F1024-5058-785A-C6D7-494556D8040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34" name="Shape 59">
            <a:extLst>
              <a:ext uri="{FF2B5EF4-FFF2-40B4-BE49-F238E27FC236}">
                <a16:creationId xmlns:a16="http://schemas.microsoft.com/office/drawing/2014/main" id="{AAC8FBA3-F866-BF87-9CD9-9B31C4C04A0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35" name="Shape 60">
            <a:extLst>
              <a:ext uri="{FF2B5EF4-FFF2-40B4-BE49-F238E27FC236}">
                <a16:creationId xmlns:a16="http://schemas.microsoft.com/office/drawing/2014/main" id="{A5B19CDC-81CD-EF10-1475-C45DEE3F540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36" name="Shape 61">
            <a:extLst>
              <a:ext uri="{FF2B5EF4-FFF2-40B4-BE49-F238E27FC236}">
                <a16:creationId xmlns:a16="http://schemas.microsoft.com/office/drawing/2014/main" id="{827F865F-C84C-F65B-BDAD-95ED15732F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730</xdr:row>
      <xdr:rowOff>3962</xdr:rowOff>
    </xdr:from>
    <xdr:ext cx="33655" cy="33655"/>
    <xdr:grpSp>
      <xdr:nvGrpSpPr>
        <xdr:cNvPr id="5937" name="Group 62">
          <a:extLst>
            <a:ext uri="{FF2B5EF4-FFF2-40B4-BE49-F238E27FC236}">
              <a16:creationId xmlns:a16="http://schemas.microsoft.com/office/drawing/2014/main" id="{422F7349-4B1F-4A5C-9D50-5FC0A1DC5D97}"/>
            </a:ext>
          </a:extLst>
        </xdr:cNvPr>
        <xdr:cNvGrpSpPr/>
      </xdr:nvGrpSpPr>
      <xdr:grpSpPr>
        <a:xfrm>
          <a:off x="4603072" y="134915437"/>
          <a:ext cx="33655" cy="33655"/>
          <a:chOff x="0" y="0"/>
          <a:chExt cx="33655" cy="33655"/>
        </a:xfrm>
      </xdr:grpSpPr>
      <xdr:sp macro="" textlink="">
        <xdr:nvSpPr>
          <xdr:cNvPr id="5938" name="Shape 63">
            <a:extLst>
              <a:ext uri="{FF2B5EF4-FFF2-40B4-BE49-F238E27FC236}">
                <a16:creationId xmlns:a16="http://schemas.microsoft.com/office/drawing/2014/main" id="{CCA49348-2C9E-F58E-8956-777B8DCCC9C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39" name="Shape 64">
            <a:extLst>
              <a:ext uri="{FF2B5EF4-FFF2-40B4-BE49-F238E27FC236}">
                <a16:creationId xmlns:a16="http://schemas.microsoft.com/office/drawing/2014/main" id="{CC4835AC-3F5F-9889-9BF8-CAF80B70ADE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940" name="Shape 65">
            <a:extLst>
              <a:ext uri="{FF2B5EF4-FFF2-40B4-BE49-F238E27FC236}">
                <a16:creationId xmlns:a16="http://schemas.microsoft.com/office/drawing/2014/main" id="{BB0FADEE-BA9A-1B51-F89A-D238460378D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41" name="Shape 66">
            <a:extLst>
              <a:ext uri="{FF2B5EF4-FFF2-40B4-BE49-F238E27FC236}">
                <a16:creationId xmlns:a16="http://schemas.microsoft.com/office/drawing/2014/main" id="{367E783D-91E6-868A-553A-0E9147C2EEB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942" name="Shape 67">
            <a:extLst>
              <a:ext uri="{FF2B5EF4-FFF2-40B4-BE49-F238E27FC236}">
                <a16:creationId xmlns:a16="http://schemas.microsoft.com/office/drawing/2014/main" id="{8579390C-C205-F17A-636D-D059EAB34DD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43" name="Shape 68">
            <a:extLst>
              <a:ext uri="{FF2B5EF4-FFF2-40B4-BE49-F238E27FC236}">
                <a16:creationId xmlns:a16="http://schemas.microsoft.com/office/drawing/2014/main" id="{6847F671-6A90-54F7-A821-03A82F08857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944" name="Shape 69">
            <a:extLst>
              <a:ext uri="{FF2B5EF4-FFF2-40B4-BE49-F238E27FC236}">
                <a16:creationId xmlns:a16="http://schemas.microsoft.com/office/drawing/2014/main" id="{D5444276-8DC4-CA44-1661-C5C6EE88A81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45" name="Shape 70">
            <a:extLst>
              <a:ext uri="{FF2B5EF4-FFF2-40B4-BE49-F238E27FC236}">
                <a16:creationId xmlns:a16="http://schemas.microsoft.com/office/drawing/2014/main" id="{94F728C3-7344-CB97-5C0E-4A6E78DB538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946" name="Shape 71">
            <a:extLst>
              <a:ext uri="{FF2B5EF4-FFF2-40B4-BE49-F238E27FC236}">
                <a16:creationId xmlns:a16="http://schemas.microsoft.com/office/drawing/2014/main" id="{CE21C2CE-B272-5815-5B7D-787F15D8823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47" name="Shape 72">
            <a:extLst>
              <a:ext uri="{FF2B5EF4-FFF2-40B4-BE49-F238E27FC236}">
                <a16:creationId xmlns:a16="http://schemas.microsoft.com/office/drawing/2014/main" id="{14860721-DD08-0BE3-F6FE-F072F8DC1F4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948" name="Shape 73">
            <a:extLst>
              <a:ext uri="{FF2B5EF4-FFF2-40B4-BE49-F238E27FC236}">
                <a16:creationId xmlns:a16="http://schemas.microsoft.com/office/drawing/2014/main" id="{A84D004E-0DA5-94A2-4F5E-7B9F6681E78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49" name="Shape 74">
            <a:extLst>
              <a:ext uri="{FF2B5EF4-FFF2-40B4-BE49-F238E27FC236}">
                <a16:creationId xmlns:a16="http://schemas.microsoft.com/office/drawing/2014/main" id="{2F5B157A-85D8-A6C8-4A5F-B2D2049DBEA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950" name="Shape 75">
            <a:extLst>
              <a:ext uri="{FF2B5EF4-FFF2-40B4-BE49-F238E27FC236}">
                <a16:creationId xmlns:a16="http://schemas.microsoft.com/office/drawing/2014/main" id="{AEFD996E-4939-C619-DC09-CFFEBBDA0A8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5951" name="Shape 76">
            <a:extLst>
              <a:ext uri="{FF2B5EF4-FFF2-40B4-BE49-F238E27FC236}">
                <a16:creationId xmlns:a16="http://schemas.microsoft.com/office/drawing/2014/main" id="{24C5F81D-1C23-C954-1E32-5FB2CE813C0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730</xdr:row>
      <xdr:rowOff>2978</xdr:rowOff>
    </xdr:from>
    <xdr:ext cx="33655" cy="33655"/>
    <xdr:grpSp>
      <xdr:nvGrpSpPr>
        <xdr:cNvPr id="5952" name="Group 2">
          <a:extLst>
            <a:ext uri="{FF2B5EF4-FFF2-40B4-BE49-F238E27FC236}">
              <a16:creationId xmlns:a16="http://schemas.microsoft.com/office/drawing/2014/main" id="{FBEB3CA4-D2F3-4211-A87E-17FF639B9DD8}"/>
            </a:ext>
          </a:extLst>
        </xdr:cNvPr>
        <xdr:cNvGrpSpPr/>
      </xdr:nvGrpSpPr>
      <xdr:grpSpPr>
        <a:xfrm>
          <a:off x="4603072" y="134914453"/>
          <a:ext cx="33655" cy="33655"/>
          <a:chOff x="0" y="0"/>
          <a:chExt cx="33655" cy="33655"/>
        </a:xfrm>
      </xdr:grpSpPr>
      <xdr:sp macro="" textlink="">
        <xdr:nvSpPr>
          <xdr:cNvPr id="5953" name="Shape 3">
            <a:extLst>
              <a:ext uri="{FF2B5EF4-FFF2-40B4-BE49-F238E27FC236}">
                <a16:creationId xmlns:a16="http://schemas.microsoft.com/office/drawing/2014/main" id="{033CA968-F26D-0EB7-61AB-01532E86FFC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54" name="Shape 4">
            <a:extLst>
              <a:ext uri="{FF2B5EF4-FFF2-40B4-BE49-F238E27FC236}">
                <a16:creationId xmlns:a16="http://schemas.microsoft.com/office/drawing/2014/main" id="{A4D07757-443D-1ECC-C390-4141B2B6F7E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55" name="Shape 5">
            <a:extLst>
              <a:ext uri="{FF2B5EF4-FFF2-40B4-BE49-F238E27FC236}">
                <a16:creationId xmlns:a16="http://schemas.microsoft.com/office/drawing/2014/main" id="{2F6E3FDD-4EC2-B7CE-3612-A0BC06DAE68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56" name="Shape 6">
            <a:extLst>
              <a:ext uri="{FF2B5EF4-FFF2-40B4-BE49-F238E27FC236}">
                <a16:creationId xmlns:a16="http://schemas.microsoft.com/office/drawing/2014/main" id="{38B0E2AF-A09D-E010-7252-A2F7142EDBF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57" name="Shape 7">
            <a:extLst>
              <a:ext uri="{FF2B5EF4-FFF2-40B4-BE49-F238E27FC236}">
                <a16:creationId xmlns:a16="http://schemas.microsoft.com/office/drawing/2014/main" id="{B968A03A-F99E-7BFD-CCCD-EA9DDDA0AF7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58" name="Shape 8">
            <a:extLst>
              <a:ext uri="{FF2B5EF4-FFF2-40B4-BE49-F238E27FC236}">
                <a16:creationId xmlns:a16="http://schemas.microsoft.com/office/drawing/2014/main" id="{545C84E2-CE18-BCF0-8334-F5F0435E169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59" name="Shape 9">
            <a:extLst>
              <a:ext uri="{FF2B5EF4-FFF2-40B4-BE49-F238E27FC236}">
                <a16:creationId xmlns:a16="http://schemas.microsoft.com/office/drawing/2014/main" id="{0A554FAC-8CCF-EA39-18A5-0BC36F9D8B4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60" name="Shape 10">
            <a:extLst>
              <a:ext uri="{FF2B5EF4-FFF2-40B4-BE49-F238E27FC236}">
                <a16:creationId xmlns:a16="http://schemas.microsoft.com/office/drawing/2014/main" id="{D2DA4D6B-715F-9A21-B630-AD3CF02EED7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61" name="Shape 11">
            <a:extLst>
              <a:ext uri="{FF2B5EF4-FFF2-40B4-BE49-F238E27FC236}">
                <a16:creationId xmlns:a16="http://schemas.microsoft.com/office/drawing/2014/main" id="{C8A39072-FAEA-7147-E288-A3082B9A24F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62" name="Shape 12">
            <a:extLst>
              <a:ext uri="{FF2B5EF4-FFF2-40B4-BE49-F238E27FC236}">
                <a16:creationId xmlns:a16="http://schemas.microsoft.com/office/drawing/2014/main" id="{DB85D632-5BB5-1549-5D54-ED951A1DC2B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63" name="Shape 13">
            <a:extLst>
              <a:ext uri="{FF2B5EF4-FFF2-40B4-BE49-F238E27FC236}">
                <a16:creationId xmlns:a16="http://schemas.microsoft.com/office/drawing/2014/main" id="{8F802477-A5E9-CF16-5605-D8C1BC416BC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64" name="Shape 14">
            <a:extLst>
              <a:ext uri="{FF2B5EF4-FFF2-40B4-BE49-F238E27FC236}">
                <a16:creationId xmlns:a16="http://schemas.microsoft.com/office/drawing/2014/main" id="{1EC0A80B-B4BA-B4D2-BD34-6855896936E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65" name="Shape 15">
            <a:extLst>
              <a:ext uri="{FF2B5EF4-FFF2-40B4-BE49-F238E27FC236}">
                <a16:creationId xmlns:a16="http://schemas.microsoft.com/office/drawing/2014/main" id="{814D3C32-2D05-A891-F019-F760EC494F1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66" name="Shape 16">
            <a:extLst>
              <a:ext uri="{FF2B5EF4-FFF2-40B4-BE49-F238E27FC236}">
                <a16:creationId xmlns:a16="http://schemas.microsoft.com/office/drawing/2014/main" id="{032AE653-BE4B-FE9C-271E-9FE2652CCC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730</xdr:row>
      <xdr:rowOff>3246</xdr:rowOff>
    </xdr:from>
    <xdr:ext cx="33655" cy="33655"/>
    <xdr:grpSp>
      <xdr:nvGrpSpPr>
        <xdr:cNvPr id="5967" name="Group 17">
          <a:extLst>
            <a:ext uri="{FF2B5EF4-FFF2-40B4-BE49-F238E27FC236}">
              <a16:creationId xmlns:a16="http://schemas.microsoft.com/office/drawing/2014/main" id="{33C8EAB7-19A6-4D3A-ADB9-95396D58DA24}"/>
            </a:ext>
          </a:extLst>
        </xdr:cNvPr>
        <xdr:cNvGrpSpPr/>
      </xdr:nvGrpSpPr>
      <xdr:grpSpPr>
        <a:xfrm>
          <a:off x="4603072" y="134914721"/>
          <a:ext cx="33655" cy="33655"/>
          <a:chOff x="0" y="0"/>
          <a:chExt cx="33655" cy="33655"/>
        </a:xfrm>
      </xdr:grpSpPr>
      <xdr:sp macro="" textlink="">
        <xdr:nvSpPr>
          <xdr:cNvPr id="5968" name="Shape 18">
            <a:extLst>
              <a:ext uri="{FF2B5EF4-FFF2-40B4-BE49-F238E27FC236}">
                <a16:creationId xmlns:a16="http://schemas.microsoft.com/office/drawing/2014/main" id="{D8D5BC57-DFA2-7219-65BE-491672AB1B8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69" name="Shape 19">
            <a:extLst>
              <a:ext uri="{FF2B5EF4-FFF2-40B4-BE49-F238E27FC236}">
                <a16:creationId xmlns:a16="http://schemas.microsoft.com/office/drawing/2014/main" id="{5E8DB2D9-3768-4523-14B1-BC43F25FA7E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70" name="Shape 20">
            <a:extLst>
              <a:ext uri="{FF2B5EF4-FFF2-40B4-BE49-F238E27FC236}">
                <a16:creationId xmlns:a16="http://schemas.microsoft.com/office/drawing/2014/main" id="{12241483-1BEE-3911-92D3-A4A1AED64AE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71" name="Shape 21">
            <a:extLst>
              <a:ext uri="{FF2B5EF4-FFF2-40B4-BE49-F238E27FC236}">
                <a16:creationId xmlns:a16="http://schemas.microsoft.com/office/drawing/2014/main" id="{7565BCBE-EFDA-04E5-FEB7-B8D5D5F882B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72" name="Shape 22">
            <a:extLst>
              <a:ext uri="{FF2B5EF4-FFF2-40B4-BE49-F238E27FC236}">
                <a16:creationId xmlns:a16="http://schemas.microsoft.com/office/drawing/2014/main" id="{F55196EC-58D7-0B98-1471-ECD1928140B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73" name="Shape 23">
            <a:extLst>
              <a:ext uri="{FF2B5EF4-FFF2-40B4-BE49-F238E27FC236}">
                <a16:creationId xmlns:a16="http://schemas.microsoft.com/office/drawing/2014/main" id="{4C16307E-D2EA-942B-3DF7-CCCB957DC45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74" name="Shape 24">
            <a:extLst>
              <a:ext uri="{FF2B5EF4-FFF2-40B4-BE49-F238E27FC236}">
                <a16:creationId xmlns:a16="http://schemas.microsoft.com/office/drawing/2014/main" id="{F21EED13-A0A7-4220-FC3D-F1D4C01A75E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75" name="Shape 25">
            <a:extLst>
              <a:ext uri="{FF2B5EF4-FFF2-40B4-BE49-F238E27FC236}">
                <a16:creationId xmlns:a16="http://schemas.microsoft.com/office/drawing/2014/main" id="{BBBE00D8-8271-D55B-3F3B-FB34964FCA0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76" name="Shape 26">
            <a:extLst>
              <a:ext uri="{FF2B5EF4-FFF2-40B4-BE49-F238E27FC236}">
                <a16:creationId xmlns:a16="http://schemas.microsoft.com/office/drawing/2014/main" id="{75006282-F7FF-0913-8D21-237FF8CAD54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77" name="Shape 27">
            <a:extLst>
              <a:ext uri="{FF2B5EF4-FFF2-40B4-BE49-F238E27FC236}">
                <a16:creationId xmlns:a16="http://schemas.microsoft.com/office/drawing/2014/main" id="{5D9F913F-5FFC-5AB3-B412-03D524B3AF4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78" name="Shape 28">
            <a:extLst>
              <a:ext uri="{FF2B5EF4-FFF2-40B4-BE49-F238E27FC236}">
                <a16:creationId xmlns:a16="http://schemas.microsoft.com/office/drawing/2014/main" id="{6C8A6120-4AE2-860C-492B-EB0C1DEF849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79" name="Shape 29">
            <a:extLst>
              <a:ext uri="{FF2B5EF4-FFF2-40B4-BE49-F238E27FC236}">
                <a16:creationId xmlns:a16="http://schemas.microsoft.com/office/drawing/2014/main" id="{413FF4C2-A4FA-E064-88E6-AD594085943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80" name="Shape 30">
            <a:extLst>
              <a:ext uri="{FF2B5EF4-FFF2-40B4-BE49-F238E27FC236}">
                <a16:creationId xmlns:a16="http://schemas.microsoft.com/office/drawing/2014/main" id="{AFFEB912-41C4-7420-07AC-98C5B8B9311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81" name="Shape 31">
            <a:extLst>
              <a:ext uri="{FF2B5EF4-FFF2-40B4-BE49-F238E27FC236}">
                <a16:creationId xmlns:a16="http://schemas.microsoft.com/office/drawing/2014/main" id="{3B831C89-21A1-701D-5EDE-06A903DA5CF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730</xdr:row>
      <xdr:rowOff>3703</xdr:rowOff>
    </xdr:from>
    <xdr:ext cx="33655" cy="33655"/>
    <xdr:grpSp>
      <xdr:nvGrpSpPr>
        <xdr:cNvPr id="5982" name="Group 32">
          <a:extLst>
            <a:ext uri="{FF2B5EF4-FFF2-40B4-BE49-F238E27FC236}">
              <a16:creationId xmlns:a16="http://schemas.microsoft.com/office/drawing/2014/main" id="{8159A71A-9B4C-4313-9775-0D05D44C23B4}"/>
            </a:ext>
          </a:extLst>
        </xdr:cNvPr>
        <xdr:cNvGrpSpPr/>
      </xdr:nvGrpSpPr>
      <xdr:grpSpPr>
        <a:xfrm>
          <a:off x="4603072" y="134915178"/>
          <a:ext cx="33655" cy="33655"/>
          <a:chOff x="0" y="0"/>
          <a:chExt cx="33655" cy="33655"/>
        </a:xfrm>
      </xdr:grpSpPr>
      <xdr:sp macro="" textlink="">
        <xdr:nvSpPr>
          <xdr:cNvPr id="5983" name="Shape 33">
            <a:extLst>
              <a:ext uri="{FF2B5EF4-FFF2-40B4-BE49-F238E27FC236}">
                <a16:creationId xmlns:a16="http://schemas.microsoft.com/office/drawing/2014/main" id="{3940957E-C380-88F2-5D68-594F0E46BFC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84" name="Shape 34">
            <a:extLst>
              <a:ext uri="{FF2B5EF4-FFF2-40B4-BE49-F238E27FC236}">
                <a16:creationId xmlns:a16="http://schemas.microsoft.com/office/drawing/2014/main" id="{48D65FCF-EB61-6666-199D-2B1D57AC20A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85" name="Shape 35">
            <a:extLst>
              <a:ext uri="{FF2B5EF4-FFF2-40B4-BE49-F238E27FC236}">
                <a16:creationId xmlns:a16="http://schemas.microsoft.com/office/drawing/2014/main" id="{A9A53309-DF76-88B1-9340-CFB06FC8BA4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86" name="Shape 36">
            <a:extLst>
              <a:ext uri="{FF2B5EF4-FFF2-40B4-BE49-F238E27FC236}">
                <a16:creationId xmlns:a16="http://schemas.microsoft.com/office/drawing/2014/main" id="{897BFFD1-2066-E089-2A90-4729593ABCC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87" name="Shape 37">
            <a:extLst>
              <a:ext uri="{FF2B5EF4-FFF2-40B4-BE49-F238E27FC236}">
                <a16:creationId xmlns:a16="http://schemas.microsoft.com/office/drawing/2014/main" id="{55DD98D7-A79A-6B93-2397-1ACE9012806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88" name="Shape 38">
            <a:extLst>
              <a:ext uri="{FF2B5EF4-FFF2-40B4-BE49-F238E27FC236}">
                <a16:creationId xmlns:a16="http://schemas.microsoft.com/office/drawing/2014/main" id="{F56BDCC6-0E6D-573B-CB27-2883F317136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89" name="Shape 39">
            <a:extLst>
              <a:ext uri="{FF2B5EF4-FFF2-40B4-BE49-F238E27FC236}">
                <a16:creationId xmlns:a16="http://schemas.microsoft.com/office/drawing/2014/main" id="{CB359DE6-5092-C5DF-AA90-5FAF0B5EA25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90" name="Shape 40">
            <a:extLst>
              <a:ext uri="{FF2B5EF4-FFF2-40B4-BE49-F238E27FC236}">
                <a16:creationId xmlns:a16="http://schemas.microsoft.com/office/drawing/2014/main" id="{60525D28-12A4-C81E-D587-7D52244E269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91" name="Shape 41">
            <a:extLst>
              <a:ext uri="{FF2B5EF4-FFF2-40B4-BE49-F238E27FC236}">
                <a16:creationId xmlns:a16="http://schemas.microsoft.com/office/drawing/2014/main" id="{330DF9C1-9782-6E6F-B569-4FF45953190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92" name="Shape 42">
            <a:extLst>
              <a:ext uri="{FF2B5EF4-FFF2-40B4-BE49-F238E27FC236}">
                <a16:creationId xmlns:a16="http://schemas.microsoft.com/office/drawing/2014/main" id="{86A05CA1-11C6-F028-6754-629D57717D4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93" name="Shape 43">
            <a:extLst>
              <a:ext uri="{FF2B5EF4-FFF2-40B4-BE49-F238E27FC236}">
                <a16:creationId xmlns:a16="http://schemas.microsoft.com/office/drawing/2014/main" id="{A48C6479-D14C-1760-87A3-19319DE1621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94" name="Shape 44">
            <a:extLst>
              <a:ext uri="{FF2B5EF4-FFF2-40B4-BE49-F238E27FC236}">
                <a16:creationId xmlns:a16="http://schemas.microsoft.com/office/drawing/2014/main" id="{5B185690-8406-C1BE-B1D4-0C892A9A38B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95" name="Shape 45">
            <a:extLst>
              <a:ext uri="{FF2B5EF4-FFF2-40B4-BE49-F238E27FC236}">
                <a16:creationId xmlns:a16="http://schemas.microsoft.com/office/drawing/2014/main" id="{8B7DA8EE-3A65-3124-A839-E4ABB86DEA7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5996" name="Shape 46">
            <a:extLst>
              <a:ext uri="{FF2B5EF4-FFF2-40B4-BE49-F238E27FC236}">
                <a16:creationId xmlns:a16="http://schemas.microsoft.com/office/drawing/2014/main" id="{DFDFEF59-85B8-18C1-EB59-D0C0CB0AFCE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730</xdr:row>
      <xdr:rowOff>3409</xdr:rowOff>
    </xdr:from>
    <xdr:ext cx="33655" cy="33655"/>
    <xdr:grpSp>
      <xdr:nvGrpSpPr>
        <xdr:cNvPr id="5997" name="Group 47">
          <a:extLst>
            <a:ext uri="{FF2B5EF4-FFF2-40B4-BE49-F238E27FC236}">
              <a16:creationId xmlns:a16="http://schemas.microsoft.com/office/drawing/2014/main" id="{551341F5-81A1-4C39-87BB-E67A23A9B9EE}"/>
            </a:ext>
          </a:extLst>
        </xdr:cNvPr>
        <xdr:cNvGrpSpPr/>
      </xdr:nvGrpSpPr>
      <xdr:grpSpPr>
        <a:xfrm>
          <a:off x="4603072" y="134914884"/>
          <a:ext cx="33655" cy="33655"/>
          <a:chOff x="0" y="0"/>
          <a:chExt cx="33655" cy="33655"/>
        </a:xfrm>
      </xdr:grpSpPr>
      <xdr:sp macro="" textlink="">
        <xdr:nvSpPr>
          <xdr:cNvPr id="5998" name="Shape 48">
            <a:extLst>
              <a:ext uri="{FF2B5EF4-FFF2-40B4-BE49-F238E27FC236}">
                <a16:creationId xmlns:a16="http://schemas.microsoft.com/office/drawing/2014/main" id="{3DA2EB55-D8F1-6218-D71C-5584D921067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5999" name="Shape 49">
            <a:extLst>
              <a:ext uri="{FF2B5EF4-FFF2-40B4-BE49-F238E27FC236}">
                <a16:creationId xmlns:a16="http://schemas.microsoft.com/office/drawing/2014/main" id="{959A4FAC-6E5C-74B7-8B2A-C987C452882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00" name="Shape 50">
            <a:extLst>
              <a:ext uri="{FF2B5EF4-FFF2-40B4-BE49-F238E27FC236}">
                <a16:creationId xmlns:a16="http://schemas.microsoft.com/office/drawing/2014/main" id="{244B9ED3-5D98-0EEC-BF35-E11CB08E04C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01" name="Shape 51">
            <a:extLst>
              <a:ext uri="{FF2B5EF4-FFF2-40B4-BE49-F238E27FC236}">
                <a16:creationId xmlns:a16="http://schemas.microsoft.com/office/drawing/2014/main" id="{459AC01E-1E77-CEC2-EBAF-1D70CD422F2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02" name="Shape 52">
            <a:extLst>
              <a:ext uri="{FF2B5EF4-FFF2-40B4-BE49-F238E27FC236}">
                <a16:creationId xmlns:a16="http://schemas.microsoft.com/office/drawing/2014/main" id="{4E5F1028-0943-F3E9-2899-91BFBB39D5C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03" name="Shape 53">
            <a:extLst>
              <a:ext uri="{FF2B5EF4-FFF2-40B4-BE49-F238E27FC236}">
                <a16:creationId xmlns:a16="http://schemas.microsoft.com/office/drawing/2014/main" id="{020D01A9-0B7F-DAD2-4764-0FF9C1CD3E7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04" name="Shape 54">
            <a:extLst>
              <a:ext uri="{FF2B5EF4-FFF2-40B4-BE49-F238E27FC236}">
                <a16:creationId xmlns:a16="http://schemas.microsoft.com/office/drawing/2014/main" id="{91A8FE49-9300-8F68-81D4-86CF55DB392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05" name="Shape 55">
            <a:extLst>
              <a:ext uri="{FF2B5EF4-FFF2-40B4-BE49-F238E27FC236}">
                <a16:creationId xmlns:a16="http://schemas.microsoft.com/office/drawing/2014/main" id="{0BD635FB-5715-B379-A7C8-5C7250437AD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06" name="Shape 56">
            <a:extLst>
              <a:ext uri="{FF2B5EF4-FFF2-40B4-BE49-F238E27FC236}">
                <a16:creationId xmlns:a16="http://schemas.microsoft.com/office/drawing/2014/main" id="{717F9F82-8BB3-1B75-E9CD-B8240753D7F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07" name="Shape 57">
            <a:extLst>
              <a:ext uri="{FF2B5EF4-FFF2-40B4-BE49-F238E27FC236}">
                <a16:creationId xmlns:a16="http://schemas.microsoft.com/office/drawing/2014/main" id="{EE8EB1B0-7281-17C1-8F03-392BD053222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08" name="Shape 58">
            <a:extLst>
              <a:ext uri="{FF2B5EF4-FFF2-40B4-BE49-F238E27FC236}">
                <a16:creationId xmlns:a16="http://schemas.microsoft.com/office/drawing/2014/main" id="{81F75861-1AEF-28FD-80D5-AA90B8EC803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09" name="Shape 59">
            <a:extLst>
              <a:ext uri="{FF2B5EF4-FFF2-40B4-BE49-F238E27FC236}">
                <a16:creationId xmlns:a16="http://schemas.microsoft.com/office/drawing/2014/main" id="{59EAA349-0E7B-E410-3C08-68266D6A926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10" name="Shape 60">
            <a:extLst>
              <a:ext uri="{FF2B5EF4-FFF2-40B4-BE49-F238E27FC236}">
                <a16:creationId xmlns:a16="http://schemas.microsoft.com/office/drawing/2014/main" id="{13565B40-89CA-B224-635C-3A507F61EA6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11" name="Shape 61">
            <a:extLst>
              <a:ext uri="{FF2B5EF4-FFF2-40B4-BE49-F238E27FC236}">
                <a16:creationId xmlns:a16="http://schemas.microsoft.com/office/drawing/2014/main" id="{9FECBD2D-A483-2880-F030-D918FB584F6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730</xdr:row>
      <xdr:rowOff>3962</xdr:rowOff>
    </xdr:from>
    <xdr:ext cx="33655" cy="33655"/>
    <xdr:grpSp>
      <xdr:nvGrpSpPr>
        <xdr:cNvPr id="6012" name="Group 62">
          <a:extLst>
            <a:ext uri="{FF2B5EF4-FFF2-40B4-BE49-F238E27FC236}">
              <a16:creationId xmlns:a16="http://schemas.microsoft.com/office/drawing/2014/main" id="{FDCED76D-599B-403C-BAD2-1813FE4D8188}"/>
            </a:ext>
          </a:extLst>
        </xdr:cNvPr>
        <xdr:cNvGrpSpPr/>
      </xdr:nvGrpSpPr>
      <xdr:grpSpPr>
        <a:xfrm>
          <a:off x="4603072" y="134915437"/>
          <a:ext cx="33655" cy="33655"/>
          <a:chOff x="0" y="0"/>
          <a:chExt cx="33655" cy="33655"/>
        </a:xfrm>
      </xdr:grpSpPr>
      <xdr:sp macro="" textlink="">
        <xdr:nvSpPr>
          <xdr:cNvPr id="6013" name="Shape 63">
            <a:extLst>
              <a:ext uri="{FF2B5EF4-FFF2-40B4-BE49-F238E27FC236}">
                <a16:creationId xmlns:a16="http://schemas.microsoft.com/office/drawing/2014/main" id="{C82A143C-F044-AFBC-3366-79348E2584B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14" name="Shape 64">
            <a:extLst>
              <a:ext uri="{FF2B5EF4-FFF2-40B4-BE49-F238E27FC236}">
                <a16:creationId xmlns:a16="http://schemas.microsoft.com/office/drawing/2014/main" id="{7ACCAFB7-A83A-3BBB-E48E-3779A3831ED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15" name="Shape 65">
            <a:extLst>
              <a:ext uri="{FF2B5EF4-FFF2-40B4-BE49-F238E27FC236}">
                <a16:creationId xmlns:a16="http://schemas.microsoft.com/office/drawing/2014/main" id="{6A9DA4EB-C3A5-44CE-CA5D-CA93FE4EEB1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16" name="Shape 66">
            <a:extLst>
              <a:ext uri="{FF2B5EF4-FFF2-40B4-BE49-F238E27FC236}">
                <a16:creationId xmlns:a16="http://schemas.microsoft.com/office/drawing/2014/main" id="{ADEB99A4-58BE-5C82-AE87-81665D1AF1F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17" name="Shape 67">
            <a:extLst>
              <a:ext uri="{FF2B5EF4-FFF2-40B4-BE49-F238E27FC236}">
                <a16:creationId xmlns:a16="http://schemas.microsoft.com/office/drawing/2014/main" id="{653091BB-0A20-0AA7-7A49-49982EA3D6E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18" name="Shape 68">
            <a:extLst>
              <a:ext uri="{FF2B5EF4-FFF2-40B4-BE49-F238E27FC236}">
                <a16:creationId xmlns:a16="http://schemas.microsoft.com/office/drawing/2014/main" id="{372EA862-490C-B0DE-6EF3-20B176E6D6C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19" name="Shape 69">
            <a:extLst>
              <a:ext uri="{FF2B5EF4-FFF2-40B4-BE49-F238E27FC236}">
                <a16:creationId xmlns:a16="http://schemas.microsoft.com/office/drawing/2014/main" id="{5423C835-6753-2533-C67F-EA80207E2A4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20" name="Shape 70">
            <a:extLst>
              <a:ext uri="{FF2B5EF4-FFF2-40B4-BE49-F238E27FC236}">
                <a16:creationId xmlns:a16="http://schemas.microsoft.com/office/drawing/2014/main" id="{6BEA5533-D009-F4EF-6359-C1FD25E23AF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21" name="Shape 71">
            <a:extLst>
              <a:ext uri="{FF2B5EF4-FFF2-40B4-BE49-F238E27FC236}">
                <a16:creationId xmlns:a16="http://schemas.microsoft.com/office/drawing/2014/main" id="{E91DEF24-1DE7-F6BA-9519-BE9C322D2D2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22" name="Shape 72">
            <a:extLst>
              <a:ext uri="{FF2B5EF4-FFF2-40B4-BE49-F238E27FC236}">
                <a16:creationId xmlns:a16="http://schemas.microsoft.com/office/drawing/2014/main" id="{4A85FC88-D3C0-A5F2-BC81-1259A204D2E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23" name="Shape 73">
            <a:extLst>
              <a:ext uri="{FF2B5EF4-FFF2-40B4-BE49-F238E27FC236}">
                <a16:creationId xmlns:a16="http://schemas.microsoft.com/office/drawing/2014/main" id="{6BB7E4AC-D87B-2B3E-78BD-2EBC4CDE111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24" name="Shape 74">
            <a:extLst>
              <a:ext uri="{FF2B5EF4-FFF2-40B4-BE49-F238E27FC236}">
                <a16:creationId xmlns:a16="http://schemas.microsoft.com/office/drawing/2014/main" id="{8D689B1A-F6D8-6740-928A-803E2A4E0C1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25" name="Shape 75">
            <a:extLst>
              <a:ext uri="{FF2B5EF4-FFF2-40B4-BE49-F238E27FC236}">
                <a16:creationId xmlns:a16="http://schemas.microsoft.com/office/drawing/2014/main" id="{8B2E9FE7-52BC-FAFF-4B14-5BF3805AB09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26" name="Shape 76">
            <a:extLst>
              <a:ext uri="{FF2B5EF4-FFF2-40B4-BE49-F238E27FC236}">
                <a16:creationId xmlns:a16="http://schemas.microsoft.com/office/drawing/2014/main" id="{84561438-B675-BF19-9C47-95866A7A4BA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743</xdr:row>
      <xdr:rowOff>2978</xdr:rowOff>
    </xdr:from>
    <xdr:ext cx="33655" cy="33655"/>
    <xdr:grpSp>
      <xdr:nvGrpSpPr>
        <xdr:cNvPr id="6027" name="Group 2">
          <a:extLst>
            <a:ext uri="{FF2B5EF4-FFF2-40B4-BE49-F238E27FC236}">
              <a16:creationId xmlns:a16="http://schemas.microsoft.com/office/drawing/2014/main" id="{5A121802-048A-4CDA-A9D6-5E400ED86843}"/>
            </a:ext>
          </a:extLst>
        </xdr:cNvPr>
        <xdr:cNvGrpSpPr/>
      </xdr:nvGrpSpPr>
      <xdr:grpSpPr>
        <a:xfrm>
          <a:off x="4603072" y="137244175"/>
          <a:ext cx="33655" cy="33655"/>
          <a:chOff x="0" y="0"/>
          <a:chExt cx="33655" cy="33655"/>
        </a:xfrm>
      </xdr:grpSpPr>
      <xdr:sp macro="" textlink="">
        <xdr:nvSpPr>
          <xdr:cNvPr id="6028" name="Shape 3">
            <a:extLst>
              <a:ext uri="{FF2B5EF4-FFF2-40B4-BE49-F238E27FC236}">
                <a16:creationId xmlns:a16="http://schemas.microsoft.com/office/drawing/2014/main" id="{F9504EB0-E045-EFBB-F10F-40C3ED888A1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29" name="Shape 4">
            <a:extLst>
              <a:ext uri="{FF2B5EF4-FFF2-40B4-BE49-F238E27FC236}">
                <a16:creationId xmlns:a16="http://schemas.microsoft.com/office/drawing/2014/main" id="{E715B7C9-21C5-8475-C51E-DA4D4B234C8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30" name="Shape 5">
            <a:extLst>
              <a:ext uri="{FF2B5EF4-FFF2-40B4-BE49-F238E27FC236}">
                <a16:creationId xmlns:a16="http://schemas.microsoft.com/office/drawing/2014/main" id="{772FECF2-5288-81D5-B758-79EAF4D1211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31" name="Shape 6">
            <a:extLst>
              <a:ext uri="{FF2B5EF4-FFF2-40B4-BE49-F238E27FC236}">
                <a16:creationId xmlns:a16="http://schemas.microsoft.com/office/drawing/2014/main" id="{33182C06-96CA-0A3E-C499-CE8EBEFAA05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32" name="Shape 7">
            <a:extLst>
              <a:ext uri="{FF2B5EF4-FFF2-40B4-BE49-F238E27FC236}">
                <a16:creationId xmlns:a16="http://schemas.microsoft.com/office/drawing/2014/main" id="{BB6E474D-0E38-38D2-768F-907CBEB10F6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33" name="Shape 8">
            <a:extLst>
              <a:ext uri="{FF2B5EF4-FFF2-40B4-BE49-F238E27FC236}">
                <a16:creationId xmlns:a16="http://schemas.microsoft.com/office/drawing/2014/main" id="{4E7E19BE-8E3C-3693-53EC-517D15A3027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34" name="Shape 9">
            <a:extLst>
              <a:ext uri="{FF2B5EF4-FFF2-40B4-BE49-F238E27FC236}">
                <a16:creationId xmlns:a16="http://schemas.microsoft.com/office/drawing/2014/main" id="{76F20C8E-4D73-7E75-9533-913A6694E60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35" name="Shape 10">
            <a:extLst>
              <a:ext uri="{FF2B5EF4-FFF2-40B4-BE49-F238E27FC236}">
                <a16:creationId xmlns:a16="http://schemas.microsoft.com/office/drawing/2014/main" id="{B2DE51E9-2853-8787-165F-F8DBBA13FA1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36" name="Shape 11">
            <a:extLst>
              <a:ext uri="{FF2B5EF4-FFF2-40B4-BE49-F238E27FC236}">
                <a16:creationId xmlns:a16="http://schemas.microsoft.com/office/drawing/2014/main" id="{F0B1C2EF-4026-6A5A-025F-BF19B9DF3C1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37" name="Shape 12">
            <a:extLst>
              <a:ext uri="{FF2B5EF4-FFF2-40B4-BE49-F238E27FC236}">
                <a16:creationId xmlns:a16="http://schemas.microsoft.com/office/drawing/2014/main" id="{71FC746E-D4AA-9079-8AE0-A8306B167B5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38" name="Shape 13">
            <a:extLst>
              <a:ext uri="{FF2B5EF4-FFF2-40B4-BE49-F238E27FC236}">
                <a16:creationId xmlns:a16="http://schemas.microsoft.com/office/drawing/2014/main" id="{B5C81595-A171-821E-AC4C-3FCA633194E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39" name="Shape 14">
            <a:extLst>
              <a:ext uri="{FF2B5EF4-FFF2-40B4-BE49-F238E27FC236}">
                <a16:creationId xmlns:a16="http://schemas.microsoft.com/office/drawing/2014/main" id="{74676E46-EC9F-8BB2-9B81-0EC51ECBC3D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40" name="Shape 15">
            <a:extLst>
              <a:ext uri="{FF2B5EF4-FFF2-40B4-BE49-F238E27FC236}">
                <a16:creationId xmlns:a16="http://schemas.microsoft.com/office/drawing/2014/main" id="{3C0D4F19-04D2-3E03-05DC-DAC94DE285E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41" name="Shape 16">
            <a:extLst>
              <a:ext uri="{FF2B5EF4-FFF2-40B4-BE49-F238E27FC236}">
                <a16:creationId xmlns:a16="http://schemas.microsoft.com/office/drawing/2014/main" id="{74366B22-52C9-E5E3-2851-A0E0698558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743</xdr:row>
      <xdr:rowOff>3246</xdr:rowOff>
    </xdr:from>
    <xdr:ext cx="33655" cy="33655"/>
    <xdr:grpSp>
      <xdr:nvGrpSpPr>
        <xdr:cNvPr id="6042" name="Group 17">
          <a:extLst>
            <a:ext uri="{FF2B5EF4-FFF2-40B4-BE49-F238E27FC236}">
              <a16:creationId xmlns:a16="http://schemas.microsoft.com/office/drawing/2014/main" id="{11688172-394B-49B9-AE7F-FA739569BDB6}"/>
            </a:ext>
          </a:extLst>
        </xdr:cNvPr>
        <xdr:cNvGrpSpPr/>
      </xdr:nvGrpSpPr>
      <xdr:grpSpPr>
        <a:xfrm>
          <a:off x="4603072" y="137244443"/>
          <a:ext cx="33655" cy="33655"/>
          <a:chOff x="0" y="0"/>
          <a:chExt cx="33655" cy="33655"/>
        </a:xfrm>
      </xdr:grpSpPr>
      <xdr:sp macro="" textlink="">
        <xdr:nvSpPr>
          <xdr:cNvPr id="6043" name="Shape 18">
            <a:extLst>
              <a:ext uri="{FF2B5EF4-FFF2-40B4-BE49-F238E27FC236}">
                <a16:creationId xmlns:a16="http://schemas.microsoft.com/office/drawing/2014/main" id="{49D2C155-BC3A-6A87-7259-1F26FC0565E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44" name="Shape 19">
            <a:extLst>
              <a:ext uri="{FF2B5EF4-FFF2-40B4-BE49-F238E27FC236}">
                <a16:creationId xmlns:a16="http://schemas.microsoft.com/office/drawing/2014/main" id="{228A7BD7-F22C-0586-A426-A6BF55BE4B9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45" name="Shape 20">
            <a:extLst>
              <a:ext uri="{FF2B5EF4-FFF2-40B4-BE49-F238E27FC236}">
                <a16:creationId xmlns:a16="http://schemas.microsoft.com/office/drawing/2014/main" id="{D42B04B6-8975-2FB2-2235-BA5DA7E3B6A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46" name="Shape 21">
            <a:extLst>
              <a:ext uri="{FF2B5EF4-FFF2-40B4-BE49-F238E27FC236}">
                <a16:creationId xmlns:a16="http://schemas.microsoft.com/office/drawing/2014/main" id="{3D311114-8E78-37D0-5B1D-9E997467F41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47" name="Shape 22">
            <a:extLst>
              <a:ext uri="{FF2B5EF4-FFF2-40B4-BE49-F238E27FC236}">
                <a16:creationId xmlns:a16="http://schemas.microsoft.com/office/drawing/2014/main" id="{6DD7A821-8102-3A81-C1F3-BDB0FD7C89C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48" name="Shape 23">
            <a:extLst>
              <a:ext uri="{FF2B5EF4-FFF2-40B4-BE49-F238E27FC236}">
                <a16:creationId xmlns:a16="http://schemas.microsoft.com/office/drawing/2014/main" id="{67EEF400-9C74-05AB-0F27-304FF3B5F80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49" name="Shape 24">
            <a:extLst>
              <a:ext uri="{FF2B5EF4-FFF2-40B4-BE49-F238E27FC236}">
                <a16:creationId xmlns:a16="http://schemas.microsoft.com/office/drawing/2014/main" id="{3E673AF1-7FAD-81C8-86F4-E5BD6E6019B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50" name="Shape 25">
            <a:extLst>
              <a:ext uri="{FF2B5EF4-FFF2-40B4-BE49-F238E27FC236}">
                <a16:creationId xmlns:a16="http://schemas.microsoft.com/office/drawing/2014/main" id="{63D6F59F-2BFE-EEE1-2BA0-7E3FB1DAE75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51" name="Shape 26">
            <a:extLst>
              <a:ext uri="{FF2B5EF4-FFF2-40B4-BE49-F238E27FC236}">
                <a16:creationId xmlns:a16="http://schemas.microsoft.com/office/drawing/2014/main" id="{973E90DB-555B-FA04-B060-E6A0AC1F19B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52" name="Shape 27">
            <a:extLst>
              <a:ext uri="{FF2B5EF4-FFF2-40B4-BE49-F238E27FC236}">
                <a16:creationId xmlns:a16="http://schemas.microsoft.com/office/drawing/2014/main" id="{0657FAEA-E1EF-79F0-CF2E-2A4F55F0DC4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53" name="Shape 28">
            <a:extLst>
              <a:ext uri="{FF2B5EF4-FFF2-40B4-BE49-F238E27FC236}">
                <a16:creationId xmlns:a16="http://schemas.microsoft.com/office/drawing/2014/main" id="{123D46D0-2746-0482-966C-695E551BCBE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54" name="Shape 29">
            <a:extLst>
              <a:ext uri="{FF2B5EF4-FFF2-40B4-BE49-F238E27FC236}">
                <a16:creationId xmlns:a16="http://schemas.microsoft.com/office/drawing/2014/main" id="{8128248A-ABCD-3AE3-7850-A2ADD74DF79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55" name="Shape 30">
            <a:extLst>
              <a:ext uri="{FF2B5EF4-FFF2-40B4-BE49-F238E27FC236}">
                <a16:creationId xmlns:a16="http://schemas.microsoft.com/office/drawing/2014/main" id="{01A0638A-24AE-064D-23C5-E95EF931518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56" name="Shape 31">
            <a:extLst>
              <a:ext uri="{FF2B5EF4-FFF2-40B4-BE49-F238E27FC236}">
                <a16:creationId xmlns:a16="http://schemas.microsoft.com/office/drawing/2014/main" id="{721FA968-AD78-F7B5-F4F7-39AE851214F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743</xdr:row>
      <xdr:rowOff>3703</xdr:rowOff>
    </xdr:from>
    <xdr:ext cx="33655" cy="33655"/>
    <xdr:grpSp>
      <xdr:nvGrpSpPr>
        <xdr:cNvPr id="6057" name="Group 32">
          <a:extLst>
            <a:ext uri="{FF2B5EF4-FFF2-40B4-BE49-F238E27FC236}">
              <a16:creationId xmlns:a16="http://schemas.microsoft.com/office/drawing/2014/main" id="{A64A1044-F43B-4453-A8C3-D9988AA3C648}"/>
            </a:ext>
          </a:extLst>
        </xdr:cNvPr>
        <xdr:cNvGrpSpPr/>
      </xdr:nvGrpSpPr>
      <xdr:grpSpPr>
        <a:xfrm>
          <a:off x="4603072" y="137244900"/>
          <a:ext cx="33655" cy="33655"/>
          <a:chOff x="0" y="0"/>
          <a:chExt cx="33655" cy="33655"/>
        </a:xfrm>
      </xdr:grpSpPr>
      <xdr:sp macro="" textlink="">
        <xdr:nvSpPr>
          <xdr:cNvPr id="6058" name="Shape 33">
            <a:extLst>
              <a:ext uri="{FF2B5EF4-FFF2-40B4-BE49-F238E27FC236}">
                <a16:creationId xmlns:a16="http://schemas.microsoft.com/office/drawing/2014/main" id="{439C96A7-C554-CFE3-858C-DB53149633F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59" name="Shape 34">
            <a:extLst>
              <a:ext uri="{FF2B5EF4-FFF2-40B4-BE49-F238E27FC236}">
                <a16:creationId xmlns:a16="http://schemas.microsoft.com/office/drawing/2014/main" id="{9BD11F53-4F24-EC15-A2B5-57BF20688EE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60" name="Shape 35">
            <a:extLst>
              <a:ext uri="{FF2B5EF4-FFF2-40B4-BE49-F238E27FC236}">
                <a16:creationId xmlns:a16="http://schemas.microsoft.com/office/drawing/2014/main" id="{02563AB4-F7BF-F255-4083-BFBF3BF7C3E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61" name="Shape 36">
            <a:extLst>
              <a:ext uri="{FF2B5EF4-FFF2-40B4-BE49-F238E27FC236}">
                <a16:creationId xmlns:a16="http://schemas.microsoft.com/office/drawing/2014/main" id="{48D32B7F-1911-5401-92EE-6D8B6B73124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62" name="Shape 37">
            <a:extLst>
              <a:ext uri="{FF2B5EF4-FFF2-40B4-BE49-F238E27FC236}">
                <a16:creationId xmlns:a16="http://schemas.microsoft.com/office/drawing/2014/main" id="{ACD30AB4-5FAB-31C2-F1A5-EA12573CC00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63" name="Shape 38">
            <a:extLst>
              <a:ext uri="{FF2B5EF4-FFF2-40B4-BE49-F238E27FC236}">
                <a16:creationId xmlns:a16="http://schemas.microsoft.com/office/drawing/2014/main" id="{76709CC7-2504-2BE9-EB62-3D575D07653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64" name="Shape 39">
            <a:extLst>
              <a:ext uri="{FF2B5EF4-FFF2-40B4-BE49-F238E27FC236}">
                <a16:creationId xmlns:a16="http://schemas.microsoft.com/office/drawing/2014/main" id="{8365DA02-C241-3EEB-EC63-80E0598FBD4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65" name="Shape 40">
            <a:extLst>
              <a:ext uri="{FF2B5EF4-FFF2-40B4-BE49-F238E27FC236}">
                <a16:creationId xmlns:a16="http://schemas.microsoft.com/office/drawing/2014/main" id="{8453E273-7C1F-BC2F-1B60-F8F2158C8CC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66" name="Shape 41">
            <a:extLst>
              <a:ext uri="{FF2B5EF4-FFF2-40B4-BE49-F238E27FC236}">
                <a16:creationId xmlns:a16="http://schemas.microsoft.com/office/drawing/2014/main" id="{633A4BCB-9BA3-862D-FD8B-F8F4C4B1D0D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67" name="Shape 42">
            <a:extLst>
              <a:ext uri="{FF2B5EF4-FFF2-40B4-BE49-F238E27FC236}">
                <a16:creationId xmlns:a16="http://schemas.microsoft.com/office/drawing/2014/main" id="{69C1BC9C-D019-2174-FE57-CF180553CF9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68" name="Shape 43">
            <a:extLst>
              <a:ext uri="{FF2B5EF4-FFF2-40B4-BE49-F238E27FC236}">
                <a16:creationId xmlns:a16="http://schemas.microsoft.com/office/drawing/2014/main" id="{A430110A-79D8-45A6-3CEB-6478C4535B6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69" name="Shape 44">
            <a:extLst>
              <a:ext uri="{FF2B5EF4-FFF2-40B4-BE49-F238E27FC236}">
                <a16:creationId xmlns:a16="http://schemas.microsoft.com/office/drawing/2014/main" id="{BA34B758-4B93-347C-6674-EC94CA104E7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70" name="Shape 45">
            <a:extLst>
              <a:ext uri="{FF2B5EF4-FFF2-40B4-BE49-F238E27FC236}">
                <a16:creationId xmlns:a16="http://schemas.microsoft.com/office/drawing/2014/main" id="{714CF6F8-EFBA-4071-242F-B23AAF60BA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71" name="Shape 46">
            <a:extLst>
              <a:ext uri="{FF2B5EF4-FFF2-40B4-BE49-F238E27FC236}">
                <a16:creationId xmlns:a16="http://schemas.microsoft.com/office/drawing/2014/main" id="{E6483478-05A9-C3B3-3F8D-8003FAA2FFE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743</xdr:row>
      <xdr:rowOff>3409</xdr:rowOff>
    </xdr:from>
    <xdr:ext cx="33655" cy="33655"/>
    <xdr:grpSp>
      <xdr:nvGrpSpPr>
        <xdr:cNvPr id="6072" name="Group 47">
          <a:extLst>
            <a:ext uri="{FF2B5EF4-FFF2-40B4-BE49-F238E27FC236}">
              <a16:creationId xmlns:a16="http://schemas.microsoft.com/office/drawing/2014/main" id="{68104D70-6C43-466A-A3C1-D5207526D141}"/>
            </a:ext>
          </a:extLst>
        </xdr:cNvPr>
        <xdr:cNvGrpSpPr/>
      </xdr:nvGrpSpPr>
      <xdr:grpSpPr>
        <a:xfrm>
          <a:off x="4603072" y="137244606"/>
          <a:ext cx="33655" cy="33655"/>
          <a:chOff x="0" y="0"/>
          <a:chExt cx="33655" cy="33655"/>
        </a:xfrm>
      </xdr:grpSpPr>
      <xdr:sp macro="" textlink="">
        <xdr:nvSpPr>
          <xdr:cNvPr id="6073" name="Shape 48">
            <a:extLst>
              <a:ext uri="{FF2B5EF4-FFF2-40B4-BE49-F238E27FC236}">
                <a16:creationId xmlns:a16="http://schemas.microsoft.com/office/drawing/2014/main" id="{E7E9FE89-4461-6DB9-1902-29236ED7173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74" name="Shape 49">
            <a:extLst>
              <a:ext uri="{FF2B5EF4-FFF2-40B4-BE49-F238E27FC236}">
                <a16:creationId xmlns:a16="http://schemas.microsoft.com/office/drawing/2014/main" id="{1D007CB6-9B17-A1F8-B2DD-7DB1E710569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75" name="Shape 50">
            <a:extLst>
              <a:ext uri="{FF2B5EF4-FFF2-40B4-BE49-F238E27FC236}">
                <a16:creationId xmlns:a16="http://schemas.microsoft.com/office/drawing/2014/main" id="{942FF987-E1BD-824F-C554-B44F6970DB9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76" name="Shape 51">
            <a:extLst>
              <a:ext uri="{FF2B5EF4-FFF2-40B4-BE49-F238E27FC236}">
                <a16:creationId xmlns:a16="http://schemas.microsoft.com/office/drawing/2014/main" id="{096D084A-AD42-8F76-1329-6A188173864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77" name="Shape 52">
            <a:extLst>
              <a:ext uri="{FF2B5EF4-FFF2-40B4-BE49-F238E27FC236}">
                <a16:creationId xmlns:a16="http://schemas.microsoft.com/office/drawing/2014/main" id="{DDB27C3B-A0A3-4D90-9BAE-1B42A9F8AFC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78" name="Shape 53">
            <a:extLst>
              <a:ext uri="{FF2B5EF4-FFF2-40B4-BE49-F238E27FC236}">
                <a16:creationId xmlns:a16="http://schemas.microsoft.com/office/drawing/2014/main" id="{24A793B5-27E1-880C-4113-600F01D5AF9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79" name="Shape 54">
            <a:extLst>
              <a:ext uri="{FF2B5EF4-FFF2-40B4-BE49-F238E27FC236}">
                <a16:creationId xmlns:a16="http://schemas.microsoft.com/office/drawing/2014/main" id="{F7962001-31B3-6247-4859-B8941C40702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80" name="Shape 55">
            <a:extLst>
              <a:ext uri="{FF2B5EF4-FFF2-40B4-BE49-F238E27FC236}">
                <a16:creationId xmlns:a16="http://schemas.microsoft.com/office/drawing/2014/main" id="{9D623D4B-54CD-2F41-D001-A77DC0D615B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81" name="Shape 56">
            <a:extLst>
              <a:ext uri="{FF2B5EF4-FFF2-40B4-BE49-F238E27FC236}">
                <a16:creationId xmlns:a16="http://schemas.microsoft.com/office/drawing/2014/main" id="{E7D60EC8-8C2A-ED31-AF33-29FA6635387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82" name="Shape 57">
            <a:extLst>
              <a:ext uri="{FF2B5EF4-FFF2-40B4-BE49-F238E27FC236}">
                <a16:creationId xmlns:a16="http://schemas.microsoft.com/office/drawing/2014/main" id="{112388FD-36AE-21DE-7DDE-B0D01DF38CD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83" name="Shape 58">
            <a:extLst>
              <a:ext uri="{FF2B5EF4-FFF2-40B4-BE49-F238E27FC236}">
                <a16:creationId xmlns:a16="http://schemas.microsoft.com/office/drawing/2014/main" id="{8B1D9AD4-58A6-DCDC-6DBE-A02EB93A539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84" name="Shape 59">
            <a:extLst>
              <a:ext uri="{FF2B5EF4-FFF2-40B4-BE49-F238E27FC236}">
                <a16:creationId xmlns:a16="http://schemas.microsoft.com/office/drawing/2014/main" id="{2A0B052D-D15F-9B3B-DB38-40F9C5F5D13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85" name="Shape 60">
            <a:extLst>
              <a:ext uri="{FF2B5EF4-FFF2-40B4-BE49-F238E27FC236}">
                <a16:creationId xmlns:a16="http://schemas.microsoft.com/office/drawing/2014/main" id="{055EA652-898E-6C80-E4F6-260466C27E2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086" name="Shape 61">
            <a:extLst>
              <a:ext uri="{FF2B5EF4-FFF2-40B4-BE49-F238E27FC236}">
                <a16:creationId xmlns:a16="http://schemas.microsoft.com/office/drawing/2014/main" id="{2B3E632C-F7DF-F94B-A81A-293177AED40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743</xdr:row>
      <xdr:rowOff>3962</xdr:rowOff>
    </xdr:from>
    <xdr:ext cx="33655" cy="33655"/>
    <xdr:grpSp>
      <xdr:nvGrpSpPr>
        <xdr:cNvPr id="6087" name="Group 62">
          <a:extLst>
            <a:ext uri="{FF2B5EF4-FFF2-40B4-BE49-F238E27FC236}">
              <a16:creationId xmlns:a16="http://schemas.microsoft.com/office/drawing/2014/main" id="{D09E908C-9599-48C8-9357-3553B024E54C}"/>
            </a:ext>
          </a:extLst>
        </xdr:cNvPr>
        <xdr:cNvGrpSpPr/>
      </xdr:nvGrpSpPr>
      <xdr:grpSpPr>
        <a:xfrm>
          <a:off x="4603072" y="137245159"/>
          <a:ext cx="33655" cy="33655"/>
          <a:chOff x="0" y="0"/>
          <a:chExt cx="33655" cy="33655"/>
        </a:xfrm>
      </xdr:grpSpPr>
      <xdr:sp macro="" textlink="">
        <xdr:nvSpPr>
          <xdr:cNvPr id="6088" name="Shape 63">
            <a:extLst>
              <a:ext uri="{FF2B5EF4-FFF2-40B4-BE49-F238E27FC236}">
                <a16:creationId xmlns:a16="http://schemas.microsoft.com/office/drawing/2014/main" id="{1ECE6B76-31BB-071E-7814-D031E3BDC8F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89" name="Shape 64">
            <a:extLst>
              <a:ext uri="{FF2B5EF4-FFF2-40B4-BE49-F238E27FC236}">
                <a16:creationId xmlns:a16="http://schemas.microsoft.com/office/drawing/2014/main" id="{E608CFDD-8B53-ABB9-C292-FF2699C29CC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90" name="Shape 65">
            <a:extLst>
              <a:ext uri="{FF2B5EF4-FFF2-40B4-BE49-F238E27FC236}">
                <a16:creationId xmlns:a16="http://schemas.microsoft.com/office/drawing/2014/main" id="{6A67EAFA-81DD-1B65-E295-BAD1DB37050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91" name="Shape 66">
            <a:extLst>
              <a:ext uri="{FF2B5EF4-FFF2-40B4-BE49-F238E27FC236}">
                <a16:creationId xmlns:a16="http://schemas.microsoft.com/office/drawing/2014/main" id="{13CB9F9A-610F-BFF9-9362-0EA4B847E74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92" name="Shape 67">
            <a:extLst>
              <a:ext uri="{FF2B5EF4-FFF2-40B4-BE49-F238E27FC236}">
                <a16:creationId xmlns:a16="http://schemas.microsoft.com/office/drawing/2014/main" id="{F2A867B1-41A0-231C-0F29-C2C7811144B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93" name="Shape 68">
            <a:extLst>
              <a:ext uri="{FF2B5EF4-FFF2-40B4-BE49-F238E27FC236}">
                <a16:creationId xmlns:a16="http://schemas.microsoft.com/office/drawing/2014/main" id="{07B61123-52C0-6FF2-C9BA-DF1286D240A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94" name="Shape 69">
            <a:extLst>
              <a:ext uri="{FF2B5EF4-FFF2-40B4-BE49-F238E27FC236}">
                <a16:creationId xmlns:a16="http://schemas.microsoft.com/office/drawing/2014/main" id="{D311AE28-02A8-47B1-BDCD-8DC3840B050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95" name="Shape 70">
            <a:extLst>
              <a:ext uri="{FF2B5EF4-FFF2-40B4-BE49-F238E27FC236}">
                <a16:creationId xmlns:a16="http://schemas.microsoft.com/office/drawing/2014/main" id="{394A7A91-40C8-1B09-3B5D-5673F528C3E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96" name="Shape 71">
            <a:extLst>
              <a:ext uri="{FF2B5EF4-FFF2-40B4-BE49-F238E27FC236}">
                <a16:creationId xmlns:a16="http://schemas.microsoft.com/office/drawing/2014/main" id="{E68F8DF0-BE6E-0D0A-767E-CEBB7A5E4F5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97" name="Shape 72">
            <a:extLst>
              <a:ext uri="{FF2B5EF4-FFF2-40B4-BE49-F238E27FC236}">
                <a16:creationId xmlns:a16="http://schemas.microsoft.com/office/drawing/2014/main" id="{E889ABAD-E9A7-ADF1-BB7F-B8DD331E35A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098" name="Shape 73">
            <a:extLst>
              <a:ext uri="{FF2B5EF4-FFF2-40B4-BE49-F238E27FC236}">
                <a16:creationId xmlns:a16="http://schemas.microsoft.com/office/drawing/2014/main" id="{DBCE7482-E95B-7805-CD3F-1F8638198D4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099" name="Shape 74">
            <a:extLst>
              <a:ext uri="{FF2B5EF4-FFF2-40B4-BE49-F238E27FC236}">
                <a16:creationId xmlns:a16="http://schemas.microsoft.com/office/drawing/2014/main" id="{321E5414-E53B-4F3D-9685-A560530A946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00" name="Shape 75">
            <a:extLst>
              <a:ext uri="{FF2B5EF4-FFF2-40B4-BE49-F238E27FC236}">
                <a16:creationId xmlns:a16="http://schemas.microsoft.com/office/drawing/2014/main" id="{7DE0571B-828C-4F21-271D-C2390B481FE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01" name="Shape 76">
            <a:extLst>
              <a:ext uri="{FF2B5EF4-FFF2-40B4-BE49-F238E27FC236}">
                <a16:creationId xmlns:a16="http://schemas.microsoft.com/office/drawing/2014/main" id="{FD0CF5B3-FBFF-A52C-77C9-544EFF26BD8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743</xdr:row>
      <xdr:rowOff>2978</xdr:rowOff>
    </xdr:from>
    <xdr:ext cx="33655" cy="33655"/>
    <xdr:grpSp>
      <xdr:nvGrpSpPr>
        <xdr:cNvPr id="6102" name="Group 2">
          <a:extLst>
            <a:ext uri="{FF2B5EF4-FFF2-40B4-BE49-F238E27FC236}">
              <a16:creationId xmlns:a16="http://schemas.microsoft.com/office/drawing/2014/main" id="{8FD169D4-B5AD-403F-847E-D36CC2A44EA0}"/>
            </a:ext>
          </a:extLst>
        </xdr:cNvPr>
        <xdr:cNvGrpSpPr/>
      </xdr:nvGrpSpPr>
      <xdr:grpSpPr>
        <a:xfrm>
          <a:off x="4603072" y="137244175"/>
          <a:ext cx="33655" cy="33655"/>
          <a:chOff x="0" y="0"/>
          <a:chExt cx="33655" cy="33655"/>
        </a:xfrm>
      </xdr:grpSpPr>
      <xdr:sp macro="" textlink="">
        <xdr:nvSpPr>
          <xdr:cNvPr id="6103" name="Shape 3">
            <a:extLst>
              <a:ext uri="{FF2B5EF4-FFF2-40B4-BE49-F238E27FC236}">
                <a16:creationId xmlns:a16="http://schemas.microsoft.com/office/drawing/2014/main" id="{E6F77DB3-7857-C7C1-9F4C-4D53DEA54E4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04" name="Shape 4">
            <a:extLst>
              <a:ext uri="{FF2B5EF4-FFF2-40B4-BE49-F238E27FC236}">
                <a16:creationId xmlns:a16="http://schemas.microsoft.com/office/drawing/2014/main" id="{613C1801-085A-5C0C-73B3-3804DDCCDD5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05" name="Shape 5">
            <a:extLst>
              <a:ext uri="{FF2B5EF4-FFF2-40B4-BE49-F238E27FC236}">
                <a16:creationId xmlns:a16="http://schemas.microsoft.com/office/drawing/2014/main" id="{BC5B3F9B-A441-5A00-83E4-98C351C1E97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06" name="Shape 6">
            <a:extLst>
              <a:ext uri="{FF2B5EF4-FFF2-40B4-BE49-F238E27FC236}">
                <a16:creationId xmlns:a16="http://schemas.microsoft.com/office/drawing/2014/main" id="{925CFE0D-8BF3-1D91-2D5E-E69F39BDC34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07" name="Shape 7">
            <a:extLst>
              <a:ext uri="{FF2B5EF4-FFF2-40B4-BE49-F238E27FC236}">
                <a16:creationId xmlns:a16="http://schemas.microsoft.com/office/drawing/2014/main" id="{CDBBE837-8278-9ACE-BD66-A092DF1A6C5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08" name="Shape 8">
            <a:extLst>
              <a:ext uri="{FF2B5EF4-FFF2-40B4-BE49-F238E27FC236}">
                <a16:creationId xmlns:a16="http://schemas.microsoft.com/office/drawing/2014/main" id="{7A1D6B09-BC00-E0D3-5437-104442221D6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09" name="Shape 9">
            <a:extLst>
              <a:ext uri="{FF2B5EF4-FFF2-40B4-BE49-F238E27FC236}">
                <a16:creationId xmlns:a16="http://schemas.microsoft.com/office/drawing/2014/main" id="{87FA3FAC-8CF0-8FA6-5764-CDF835CA3F2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10" name="Shape 10">
            <a:extLst>
              <a:ext uri="{FF2B5EF4-FFF2-40B4-BE49-F238E27FC236}">
                <a16:creationId xmlns:a16="http://schemas.microsoft.com/office/drawing/2014/main" id="{4BB04C0D-AB32-8F2C-1C58-C7B2D0E6A2B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11" name="Shape 11">
            <a:extLst>
              <a:ext uri="{FF2B5EF4-FFF2-40B4-BE49-F238E27FC236}">
                <a16:creationId xmlns:a16="http://schemas.microsoft.com/office/drawing/2014/main" id="{FBE11C89-3565-6B2B-37EC-1D1013AFDB3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12" name="Shape 12">
            <a:extLst>
              <a:ext uri="{FF2B5EF4-FFF2-40B4-BE49-F238E27FC236}">
                <a16:creationId xmlns:a16="http://schemas.microsoft.com/office/drawing/2014/main" id="{686B80A2-C324-008A-56F5-1A6B3490842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13" name="Shape 13">
            <a:extLst>
              <a:ext uri="{FF2B5EF4-FFF2-40B4-BE49-F238E27FC236}">
                <a16:creationId xmlns:a16="http://schemas.microsoft.com/office/drawing/2014/main" id="{D02A4B17-2838-9A04-A0C0-17B1004BCE6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14" name="Shape 14">
            <a:extLst>
              <a:ext uri="{FF2B5EF4-FFF2-40B4-BE49-F238E27FC236}">
                <a16:creationId xmlns:a16="http://schemas.microsoft.com/office/drawing/2014/main" id="{310D5B3C-AAE1-8DA9-A1DB-83C8C818881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15" name="Shape 15">
            <a:extLst>
              <a:ext uri="{FF2B5EF4-FFF2-40B4-BE49-F238E27FC236}">
                <a16:creationId xmlns:a16="http://schemas.microsoft.com/office/drawing/2014/main" id="{2B8392E0-2223-7D10-4924-8A16CDF4F51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16" name="Shape 16">
            <a:extLst>
              <a:ext uri="{FF2B5EF4-FFF2-40B4-BE49-F238E27FC236}">
                <a16:creationId xmlns:a16="http://schemas.microsoft.com/office/drawing/2014/main" id="{0CF46DB2-108F-C5DA-7154-D4E7C1746C2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743</xdr:row>
      <xdr:rowOff>3246</xdr:rowOff>
    </xdr:from>
    <xdr:ext cx="33655" cy="33655"/>
    <xdr:grpSp>
      <xdr:nvGrpSpPr>
        <xdr:cNvPr id="6117" name="Group 17">
          <a:extLst>
            <a:ext uri="{FF2B5EF4-FFF2-40B4-BE49-F238E27FC236}">
              <a16:creationId xmlns:a16="http://schemas.microsoft.com/office/drawing/2014/main" id="{A52FA664-6F42-4EE1-AE4E-A4AB95444957}"/>
            </a:ext>
          </a:extLst>
        </xdr:cNvPr>
        <xdr:cNvGrpSpPr/>
      </xdr:nvGrpSpPr>
      <xdr:grpSpPr>
        <a:xfrm>
          <a:off x="4603072" y="137244443"/>
          <a:ext cx="33655" cy="33655"/>
          <a:chOff x="0" y="0"/>
          <a:chExt cx="33655" cy="33655"/>
        </a:xfrm>
      </xdr:grpSpPr>
      <xdr:sp macro="" textlink="">
        <xdr:nvSpPr>
          <xdr:cNvPr id="6118" name="Shape 18">
            <a:extLst>
              <a:ext uri="{FF2B5EF4-FFF2-40B4-BE49-F238E27FC236}">
                <a16:creationId xmlns:a16="http://schemas.microsoft.com/office/drawing/2014/main" id="{20CB83EA-996B-4766-3103-DAB2F160374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19" name="Shape 19">
            <a:extLst>
              <a:ext uri="{FF2B5EF4-FFF2-40B4-BE49-F238E27FC236}">
                <a16:creationId xmlns:a16="http://schemas.microsoft.com/office/drawing/2014/main" id="{D712D8E1-2568-3FEF-A531-B3851AD234A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20" name="Shape 20">
            <a:extLst>
              <a:ext uri="{FF2B5EF4-FFF2-40B4-BE49-F238E27FC236}">
                <a16:creationId xmlns:a16="http://schemas.microsoft.com/office/drawing/2014/main" id="{4BDC37B8-CA2D-173C-6B3F-A60B4C2B5FF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21" name="Shape 21">
            <a:extLst>
              <a:ext uri="{FF2B5EF4-FFF2-40B4-BE49-F238E27FC236}">
                <a16:creationId xmlns:a16="http://schemas.microsoft.com/office/drawing/2014/main" id="{DDD7BF6D-E228-20D0-AFFC-02CFF996BAE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22" name="Shape 22">
            <a:extLst>
              <a:ext uri="{FF2B5EF4-FFF2-40B4-BE49-F238E27FC236}">
                <a16:creationId xmlns:a16="http://schemas.microsoft.com/office/drawing/2014/main" id="{16F2DA27-BE9D-5C5E-850B-C8CD1174282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23" name="Shape 23">
            <a:extLst>
              <a:ext uri="{FF2B5EF4-FFF2-40B4-BE49-F238E27FC236}">
                <a16:creationId xmlns:a16="http://schemas.microsoft.com/office/drawing/2014/main" id="{F71EEF38-B6D4-2011-8F51-1EB60CC2232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24" name="Shape 24">
            <a:extLst>
              <a:ext uri="{FF2B5EF4-FFF2-40B4-BE49-F238E27FC236}">
                <a16:creationId xmlns:a16="http://schemas.microsoft.com/office/drawing/2014/main" id="{F57E4B55-D2BC-458D-D429-087A65BCD61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25" name="Shape 25">
            <a:extLst>
              <a:ext uri="{FF2B5EF4-FFF2-40B4-BE49-F238E27FC236}">
                <a16:creationId xmlns:a16="http://schemas.microsoft.com/office/drawing/2014/main" id="{171AC51C-E396-7B60-BA89-2A9DFE0DD4E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26" name="Shape 26">
            <a:extLst>
              <a:ext uri="{FF2B5EF4-FFF2-40B4-BE49-F238E27FC236}">
                <a16:creationId xmlns:a16="http://schemas.microsoft.com/office/drawing/2014/main" id="{E9092A29-A213-F0C8-B876-25B25E95576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27" name="Shape 27">
            <a:extLst>
              <a:ext uri="{FF2B5EF4-FFF2-40B4-BE49-F238E27FC236}">
                <a16:creationId xmlns:a16="http://schemas.microsoft.com/office/drawing/2014/main" id="{EE385EFD-0BF5-A9E6-CECD-0401F263D40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28" name="Shape 28">
            <a:extLst>
              <a:ext uri="{FF2B5EF4-FFF2-40B4-BE49-F238E27FC236}">
                <a16:creationId xmlns:a16="http://schemas.microsoft.com/office/drawing/2014/main" id="{ADE1B2C1-DAA7-74A7-BDC7-E98E712A732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29" name="Shape 29">
            <a:extLst>
              <a:ext uri="{FF2B5EF4-FFF2-40B4-BE49-F238E27FC236}">
                <a16:creationId xmlns:a16="http://schemas.microsoft.com/office/drawing/2014/main" id="{DE953B06-2223-0721-7B7C-42F2A347B22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30" name="Shape 30">
            <a:extLst>
              <a:ext uri="{FF2B5EF4-FFF2-40B4-BE49-F238E27FC236}">
                <a16:creationId xmlns:a16="http://schemas.microsoft.com/office/drawing/2014/main" id="{D78FF0EC-7C3A-A7F7-9BBB-4DA722444AB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31" name="Shape 31">
            <a:extLst>
              <a:ext uri="{FF2B5EF4-FFF2-40B4-BE49-F238E27FC236}">
                <a16:creationId xmlns:a16="http://schemas.microsoft.com/office/drawing/2014/main" id="{5D9205A4-A23B-3E6F-B979-73D1AFCC151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743</xdr:row>
      <xdr:rowOff>3703</xdr:rowOff>
    </xdr:from>
    <xdr:ext cx="33655" cy="33655"/>
    <xdr:grpSp>
      <xdr:nvGrpSpPr>
        <xdr:cNvPr id="6132" name="Group 32">
          <a:extLst>
            <a:ext uri="{FF2B5EF4-FFF2-40B4-BE49-F238E27FC236}">
              <a16:creationId xmlns:a16="http://schemas.microsoft.com/office/drawing/2014/main" id="{9F91BE71-650C-4918-B28A-CD5F3D6ADF02}"/>
            </a:ext>
          </a:extLst>
        </xdr:cNvPr>
        <xdr:cNvGrpSpPr/>
      </xdr:nvGrpSpPr>
      <xdr:grpSpPr>
        <a:xfrm>
          <a:off x="4603072" y="137244900"/>
          <a:ext cx="33655" cy="33655"/>
          <a:chOff x="0" y="0"/>
          <a:chExt cx="33655" cy="33655"/>
        </a:xfrm>
      </xdr:grpSpPr>
      <xdr:sp macro="" textlink="">
        <xdr:nvSpPr>
          <xdr:cNvPr id="6133" name="Shape 33">
            <a:extLst>
              <a:ext uri="{FF2B5EF4-FFF2-40B4-BE49-F238E27FC236}">
                <a16:creationId xmlns:a16="http://schemas.microsoft.com/office/drawing/2014/main" id="{EC1352BD-8916-85BC-9C0D-2B1FC44013E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34" name="Shape 34">
            <a:extLst>
              <a:ext uri="{FF2B5EF4-FFF2-40B4-BE49-F238E27FC236}">
                <a16:creationId xmlns:a16="http://schemas.microsoft.com/office/drawing/2014/main" id="{B6C1BC1D-52B6-6DAF-3A3D-87F50192B09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35" name="Shape 35">
            <a:extLst>
              <a:ext uri="{FF2B5EF4-FFF2-40B4-BE49-F238E27FC236}">
                <a16:creationId xmlns:a16="http://schemas.microsoft.com/office/drawing/2014/main" id="{6EEC85A0-6663-0780-3677-BCDEF9694C9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36" name="Shape 36">
            <a:extLst>
              <a:ext uri="{FF2B5EF4-FFF2-40B4-BE49-F238E27FC236}">
                <a16:creationId xmlns:a16="http://schemas.microsoft.com/office/drawing/2014/main" id="{7C76B815-387E-A541-69C9-30F70DAE044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37" name="Shape 37">
            <a:extLst>
              <a:ext uri="{FF2B5EF4-FFF2-40B4-BE49-F238E27FC236}">
                <a16:creationId xmlns:a16="http://schemas.microsoft.com/office/drawing/2014/main" id="{82AE9B28-C70E-3F86-48C2-F37E9946711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38" name="Shape 38">
            <a:extLst>
              <a:ext uri="{FF2B5EF4-FFF2-40B4-BE49-F238E27FC236}">
                <a16:creationId xmlns:a16="http://schemas.microsoft.com/office/drawing/2014/main" id="{3172287D-5225-90AA-A326-D3FA20649FF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39" name="Shape 39">
            <a:extLst>
              <a:ext uri="{FF2B5EF4-FFF2-40B4-BE49-F238E27FC236}">
                <a16:creationId xmlns:a16="http://schemas.microsoft.com/office/drawing/2014/main" id="{09C0DD62-EC90-1E6B-0A26-F85EF1D92CC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40" name="Shape 40">
            <a:extLst>
              <a:ext uri="{FF2B5EF4-FFF2-40B4-BE49-F238E27FC236}">
                <a16:creationId xmlns:a16="http://schemas.microsoft.com/office/drawing/2014/main" id="{E93265F6-CE51-136C-67A8-7959DB90743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41" name="Shape 41">
            <a:extLst>
              <a:ext uri="{FF2B5EF4-FFF2-40B4-BE49-F238E27FC236}">
                <a16:creationId xmlns:a16="http://schemas.microsoft.com/office/drawing/2014/main" id="{54450427-B8ED-81FF-1D3E-F9FF301E235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42" name="Shape 42">
            <a:extLst>
              <a:ext uri="{FF2B5EF4-FFF2-40B4-BE49-F238E27FC236}">
                <a16:creationId xmlns:a16="http://schemas.microsoft.com/office/drawing/2014/main" id="{37FD1EA8-D03A-9DE5-02BC-098771AB233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43" name="Shape 43">
            <a:extLst>
              <a:ext uri="{FF2B5EF4-FFF2-40B4-BE49-F238E27FC236}">
                <a16:creationId xmlns:a16="http://schemas.microsoft.com/office/drawing/2014/main" id="{0FE49F87-9C7D-C685-CFB0-433C8925035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44" name="Shape 44">
            <a:extLst>
              <a:ext uri="{FF2B5EF4-FFF2-40B4-BE49-F238E27FC236}">
                <a16:creationId xmlns:a16="http://schemas.microsoft.com/office/drawing/2014/main" id="{C775AD40-C769-E208-1BF4-987E5069D30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45" name="Shape 45">
            <a:extLst>
              <a:ext uri="{FF2B5EF4-FFF2-40B4-BE49-F238E27FC236}">
                <a16:creationId xmlns:a16="http://schemas.microsoft.com/office/drawing/2014/main" id="{4E2762D0-5343-9A47-6796-15E09AF77EE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46" name="Shape 46">
            <a:extLst>
              <a:ext uri="{FF2B5EF4-FFF2-40B4-BE49-F238E27FC236}">
                <a16:creationId xmlns:a16="http://schemas.microsoft.com/office/drawing/2014/main" id="{AE7EACE7-7242-1BD7-8620-F1D4F5BD7FE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743</xdr:row>
      <xdr:rowOff>3409</xdr:rowOff>
    </xdr:from>
    <xdr:ext cx="33655" cy="33655"/>
    <xdr:grpSp>
      <xdr:nvGrpSpPr>
        <xdr:cNvPr id="6147" name="Group 47">
          <a:extLst>
            <a:ext uri="{FF2B5EF4-FFF2-40B4-BE49-F238E27FC236}">
              <a16:creationId xmlns:a16="http://schemas.microsoft.com/office/drawing/2014/main" id="{F006B214-CAD9-4090-BEEC-9C78742C0E96}"/>
            </a:ext>
          </a:extLst>
        </xdr:cNvPr>
        <xdr:cNvGrpSpPr/>
      </xdr:nvGrpSpPr>
      <xdr:grpSpPr>
        <a:xfrm>
          <a:off x="4603072" y="137244606"/>
          <a:ext cx="33655" cy="33655"/>
          <a:chOff x="0" y="0"/>
          <a:chExt cx="33655" cy="33655"/>
        </a:xfrm>
      </xdr:grpSpPr>
      <xdr:sp macro="" textlink="">
        <xdr:nvSpPr>
          <xdr:cNvPr id="6148" name="Shape 48">
            <a:extLst>
              <a:ext uri="{FF2B5EF4-FFF2-40B4-BE49-F238E27FC236}">
                <a16:creationId xmlns:a16="http://schemas.microsoft.com/office/drawing/2014/main" id="{965656D1-D3B8-8CF5-404E-874BC329938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49" name="Shape 49">
            <a:extLst>
              <a:ext uri="{FF2B5EF4-FFF2-40B4-BE49-F238E27FC236}">
                <a16:creationId xmlns:a16="http://schemas.microsoft.com/office/drawing/2014/main" id="{A2E7FACA-438A-3806-0294-E85CC2C80B0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50" name="Shape 50">
            <a:extLst>
              <a:ext uri="{FF2B5EF4-FFF2-40B4-BE49-F238E27FC236}">
                <a16:creationId xmlns:a16="http://schemas.microsoft.com/office/drawing/2014/main" id="{89CE0BE0-CE6F-B7E6-8751-2743D7C0463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51" name="Shape 51">
            <a:extLst>
              <a:ext uri="{FF2B5EF4-FFF2-40B4-BE49-F238E27FC236}">
                <a16:creationId xmlns:a16="http://schemas.microsoft.com/office/drawing/2014/main" id="{54859793-D17B-B154-3C8D-A862D20FD66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52" name="Shape 52">
            <a:extLst>
              <a:ext uri="{FF2B5EF4-FFF2-40B4-BE49-F238E27FC236}">
                <a16:creationId xmlns:a16="http://schemas.microsoft.com/office/drawing/2014/main" id="{72FD9E7E-4743-2B3E-2524-685E3EC9D7B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53" name="Shape 53">
            <a:extLst>
              <a:ext uri="{FF2B5EF4-FFF2-40B4-BE49-F238E27FC236}">
                <a16:creationId xmlns:a16="http://schemas.microsoft.com/office/drawing/2014/main" id="{3AA8CBE0-62EE-B834-3532-EA0E156BE32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54" name="Shape 54">
            <a:extLst>
              <a:ext uri="{FF2B5EF4-FFF2-40B4-BE49-F238E27FC236}">
                <a16:creationId xmlns:a16="http://schemas.microsoft.com/office/drawing/2014/main" id="{7D26ECB5-27D4-3009-7DAA-917B30C0CF5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55" name="Shape 55">
            <a:extLst>
              <a:ext uri="{FF2B5EF4-FFF2-40B4-BE49-F238E27FC236}">
                <a16:creationId xmlns:a16="http://schemas.microsoft.com/office/drawing/2014/main" id="{CFEE1183-1137-542B-5E91-A44DAB652EF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56" name="Shape 56">
            <a:extLst>
              <a:ext uri="{FF2B5EF4-FFF2-40B4-BE49-F238E27FC236}">
                <a16:creationId xmlns:a16="http://schemas.microsoft.com/office/drawing/2014/main" id="{E26838FB-6700-BC01-34C9-0724EE4FD25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57" name="Shape 57">
            <a:extLst>
              <a:ext uri="{FF2B5EF4-FFF2-40B4-BE49-F238E27FC236}">
                <a16:creationId xmlns:a16="http://schemas.microsoft.com/office/drawing/2014/main" id="{8AA09DB3-FE67-F53E-F96A-6053B3937F3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58" name="Shape 58">
            <a:extLst>
              <a:ext uri="{FF2B5EF4-FFF2-40B4-BE49-F238E27FC236}">
                <a16:creationId xmlns:a16="http://schemas.microsoft.com/office/drawing/2014/main" id="{D349BB91-9420-548E-98AE-9785C549533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59" name="Shape 59">
            <a:extLst>
              <a:ext uri="{FF2B5EF4-FFF2-40B4-BE49-F238E27FC236}">
                <a16:creationId xmlns:a16="http://schemas.microsoft.com/office/drawing/2014/main" id="{04DB12B4-25F7-5471-FC85-30A1928FDEB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60" name="Shape 60">
            <a:extLst>
              <a:ext uri="{FF2B5EF4-FFF2-40B4-BE49-F238E27FC236}">
                <a16:creationId xmlns:a16="http://schemas.microsoft.com/office/drawing/2014/main" id="{987296DF-008A-6DF6-00B5-8FC2A6334A9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61" name="Shape 61">
            <a:extLst>
              <a:ext uri="{FF2B5EF4-FFF2-40B4-BE49-F238E27FC236}">
                <a16:creationId xmlns:a16="http://schemas.microsoft.com/office/drawing/2014/main" id="{BE0A34C8-6CDF-872C-7A79-218932721B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743</xdr:row>
      <xdr:rowOff>3962</xdr:rowOff>
    </xdr:from>
    <xdr:ext cx="33655" cy="33655"/>
    <xdr:grpSp>
      <xdr:nvGrpSpPr>
        <xdr:cNvPr id="6162" name="Group 62">
          <a:extLst>
            <a:ext uri="{FF2B5EF4-FFF2-40B4-BE49-F238E27FC236}">
              <a16:creationId xmlns:a16="http://schemas.microsoft.com/office/drawing/2014/main" id="{B73AA86F-4555-4198-9D28-F8639A270049}"/>
            </a:ext>
          </a:extLst>
        </xdr:cNvPr>
        <xdr:cNvGrpSpPr/>
      </xdr:nvGrpSpPr>
      <xdr:grpSpPr>
        <a:xfrm>
          <a:off x="4603072" y="137245159"/>
          <a:ext cx="33655" cy="33655"/>
          <a:chOff x="0" y="0"/>
          <a:chExt cx="33655" cy="33655"/>
        </a:xfrm>
      </xdr:grpSpPr>
      <xdr:sp macro="" textlink="">
        <xdr:nvSpPr>
          <xdr:cNvPr id="6163" name="Shape 63">
            <a:extLst>
              <a:ext uri="{FF2B5EF4-FFF2-40B4-BE49-F238E27FC236}">
                <a16:creationId xmlns:a16="http://schemas.microsoft.com/office/drawing/2014/main" id="{7FB4B8CD-63A7-691A-86FB-9F03E344CBD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64" name="Shape 64">
            <a:extLst>
              <a:ext uri="{FF2B5EF4-FFF2-40B4-BE49-F238E27FC236}">
                <a16:creationId xmlns:a16="http://schemas.microsoft.com/office/drawing/2014/main" id="{366AAECA-495C-C4A1-AC91-291B346A7B3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65" name="Shape 65">
            <a:extLst>
              <a:ext uri="{FF2B5EF4-FFF2-40B4-BE49-F238E27FC236}">
                <a16:creationId xmlns:a16="http://schemas.microsoft.com/office/drawing/2014/main" id="{7D034F33-38D1-47DA-C31C-CB627AE48D2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66" name="Shape 66">
            <a:extLst>
              <a:ext uri="{FF2B5EF4-FFF2-40B4-BE49-F238E27FC236}">
                <a16:creationId xmlns:a16="http://schemas.microsoft.com/office/drawing/2014/main" id="{698E67ED-8C7D-20F9-57BF-4F59A35261D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67" name="Shape 67">
            <a:extLst>
              <a:ext uri="{FF2B5EF4-FFF2-40B4-BE49-F238E27FC236}">
                <a16:creationId xmlns:a16="http://schemas.microsoft.com/office/drawing/2014/main" id="{0E9BB132-4BF0-1A3A-A936-D6EEF8D82E0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68" name="Shape 68">
            <a:extLst>
              <a:ext uri="{FF2B5EF4-FFF2-40B4-BE49-F238E27FC236}">
                <a16:creationId xmlns:a16="http://schemas.microsoft.com/office/drawing/2014/main" id="{F1357750-97CA-CC02-246D-EBA1D9ADB0D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69" name="Shape 69">
            <a:extLst>
              <a:ext uri="{FF2B5EF4-FFF2-40B4-BE49-F238E27FC236}">
                <a16:creationId xmlns:a16="http://schemas.microsoft.com/office/drawing/2014/main" id="{1FC91FEC-B98D-AE5D-D11A-385E21CC3B0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70" name="Shape 70">
            <a:extLst>
              <a:ext uri="{FF2B5EF4-FFF2-40B4-BE49-F238E27FC236}">
                <a16:creationId xmlns:a16="http://schemas.microsoft.com/office/drawing/2014/main" id="{4526CFCB-6C99-6793-B98B-8856290446C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71" name="Shape 71">
            <a:extLst>
              <a:ext uri="{FF2B5EF4-FFF2-40B4-BE49-F238E27FC236}">
                <a16:creationId xmlns:a16="http://schemas.microsoft.com/office/drawing/2014/main" id="{111F29D5-60A1-CC42-B761-479BCC5898E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72" name="Shape 72">
            <a:extLst>
              <a:ext uri="{FF2B5EF4-FFF2-40B4-BE49-F238E27FC236}">
                <a16:creationId xmlns:a16="http://schemas.microsoft.com/office/drawing/2014/main" id="{D1A101E0-778E-7921-0384-3C93BF4D339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73" name="Shape 73">
            <a:extLst>
              <a:ext uri="{FF2B5EF4-FFF2-40B4-BE49-F238E27FC236}">
                <a16:creationId xmlns:a16="http://schemas.microsoft.com/office/drawing/2014/main" id="{514BB862-254C-9CA3-A575-202E62FFFA2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74" name="Shape 74">
            <a:extLst>
              <a:ext uri="{FF2B5EF4-FFF2-40B4-BE49-F238E27FC236}">
                <a16:creationId xmlns:a16="http://schemas.microsoft.com/office/drawing/2014/main" id="{995990AD-FB3D-B8D6-CBA0-FABA32516DD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75" name="Shape 75">
            <a:extLst>
              <a:ext uri="{FF2B5EF4-FFF2-40B4-BE49-F238E27FC236}">
                <a16:creationId xmlns:a16="http://schemas.microsoft.com/office/drawing/2014/main" id="{8D422DD8-A0EC-0B69-6B9E-182E617A992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176" name="Shape 76">
            <a:extLst>
              <a:ext uri="{FF2B5EF4-FFF2-40B4-BE49-F238E27FC236}">
                <a16:creationId xmlns:a16="http://schemas.microsoft.com/office/drawing/2014/main" id="{CE895931-9F2D-6AAD-CBA7-A88B0DC0305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755</xdr:row>
      <xdr:rowOff>2978</xdr:rowOff>
    </xdr:from>
    <xdr:ext cx="33655" cy="33655"/>
    <xdr:grpSp>
      <xdr:nvGrpSpPr>
        <xdr:cNvPr id="6177" name="Group 2">
          <a:extLst>
            <a:ext uri="{FF2B5EF4-FFF2-40B4-BE49-F238E27FC236}">
              <a16:creationId xmlns:a16="http://schemas.microsoft.com/office/drawing/2014/main" id="{4D47E952-0497-4BB1-894C-7031007B8CEC}"/>
            </a:ext>
          </a:extLst>
        </xdr:cNvPr>
        <xdr:cNvGrpSpPr/>
      </xdr:nvGrpSpPr>
      <xdr:grpSpPr>
        <a:xfrm>
          <a:off x="4603072" y="139399011"/>
          <a:ext cx="33655" cy="33655"/>
          <a:chOff x="0" y="0"/>
          <a:chExt cx="33655" cy="33655"/>
        </a:xfrm>
      </xdr:grpSpPr>
      <xdr:sp macro="" textlink="">
        <xdr:nvSpPr>
          <xdr:cNvPr id="6178" name="Shape 3">
            <a:extLst>
              <a:ext uri="{FF2B5EF4-FFF2-40B4-BE49-F238E27FC236}">
                <a16:creationId xmlns:a16="http://schemas.microsoft.com/office/drawing/2014/main" id="{8BC72F34-38FC-67FE-6E0F-5A6E418EF63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79" name="Shape 4">
            <a:extLst>
              <a:ext uri="{FF2B5EF4-FFF2-40B4-BE49-F238E27FC236}">
                <a16:creationId xmlns:a16="http://schemas.microsoft.com/office/drawing/2014/main" id="{2D2BCCC1-352A-8659-D1B9-8965CD1474D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80" name="Shape 5">
            <a:extLst>
              <a:ext uri="{FF2B5EF4-FFF2-40B4-BE49-F238E27FC236}">
                <a16:creationId xmlns:a16="http://schemas.microsoft.com/office/drawing/2014/main" id="{4D6DBF23-8BCC-77E5-F660-230FFCBB21B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81" name="Shape 6">
            <a:extLst>
              <a:ext uri="{FF2B5EF4-FFF2-40B4-BE49-F238E27FC236}">
                <a16:creationId xmlns:a16="http://schemas.microsoft.com/office/drawing/2014/main" id="{4862E277-B4C2-23A6-CFF9-DA1E1827988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82" name="Shape 7">
            <a:extLst>
              <a:ext uri="{FF2B5EF4-FFF2-40B4-BE49-F238E27FC236}">
                <a16:creationId xmlns:a16="http://schemas.microsoft.com/office/drawing/2014/main" id="{EE5F3D33-A67A-E05C-FD64-C693D9A800C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83" name="Shape 8">
            <a:extLst>
              <a:ext uri="{FF2B5EF4-FFF2-40B4-BE49-F238E27FC236}">
                <a16:creationId xmlns:a16="http://schemas.microsoft.com/office/drawing/2014/main" id="{400C89C3-4F98-5860-50AE-7FBEE5AEE92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84" name="Shape 9">
            <a:extLst>
              <a:ext uri="{FF2B5EF4-FFF2-40B4-BE49-F238E27FC236}">
                <a16:creationId xmlns:a16="http://schemas.microsoft.com/office/drawing/2014/main" id="{07E5C470-9C74-2C15-6455-9578CD6AEB2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85" name="Shape 10">
            <a:extLst>
              <a:ext uri="{FF2B5EF4-FFF2-40B4-BE49-F238E27FC236}">
                <a16:creationId xmlns:a16="http://schemas.microsoft.com/office/drawing/2014/main" id="{D3490E71-CC69-2BA4-8FAE-DFBF8636B5D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86" name="Shape 11">
            <a:extLst>
              <a:ext uri="{FF2B5EF4-FFF2-40B4-BE49-F238E27FC236}">
                <a16:creationId xmlns:a16="http://schemas.microsoft.com/office/drawing/2014/main" id="{5EC0F78B-672B-0EA5-627F-C0BCF42221D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87" name="Shape 12">
            <a:extLst>
              <a:ext uri="{FF2B5EF4-FFF2-40B4-BE49-F238E27FC236}">
                <a16:creationId xmlns:a16="http://schemas.microsoft.com/office/drawing/2014/main" id="{F4750FF4-A384-CB42-27F9-9A4B92065D2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88" name="Shape 13">
            <a:extLst>
              <a:ext uri="{FF2B5EF4-FFF2-40B4-BE49-F238E27FC236}">
                <a16:creationId xmlns:a16="http://schemas.microsoft.com/office/drawing/2014/main" id="{B4205BEA-3604-224B-C509-DCC68134177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89" name="Shape 14">
            <a:extLst>
              <a:ext uri="{FF2B5EF4-FFF2-40B4-BE49-F238E27FC236}">
                <a16:creationId xmlns:a16="http://schemas.microsoft.com/office/drawing/2014/main" id="{E1D58527-053B-8693-553C-D659648FA8B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90" name="Shape 15">
            <a:extLst>
              <a:ext uri="{FF2B5EF4-FFF2-40B4-BE49-F238E27FC236}">
                <a16:creationId xmlns:a16="http://schemas.microsoft.com/office/drawing/2014/main" id="{E6A4A73A-CAFC-4A28-A623-DE28C5DF270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91" name="Shape 16">
            <a:extLst>
              <a:ext uri="{FF2B5EF4-FFF2-40B4-BE49-F238E27FC236}">
                <a16:creationId xmlns:a16="http://schemas.microsoft.com/office/drawing/2014/main" id="{AF7E3F9F-82F4-2AC6-2CF0-720532283DE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755</xdr:row>
      <xdr:rowOff>3246</xdr:rowOff>
    </xdr:from>
    <xdr:ext cx="33655" cy="33655"/>
    <xdr:grpSp>
      <xdr:nvGrpSpPr>
        <xdr:cNvPr id="6192" name="Group 17">
          <a:extLst>
            <a:ext uri="{FF2B5EF4-FFF2-40B4-BE49-F238E27FC236}">
              <a16:creationId xmlns:a16="http://schemas.microsoft.com/office/drawing/2014/main" id="{55A74DC2-782B-46FA-A835-C6B7A629B6F2}"/>
            </a:ext>
          </a:extLst>
        </xdr:cNvPr>
        <xdr:cNvGrpSpPr/>
      </xdr:nvGrpSpPr>
      <xdr:grpSpPr>
        <a:xfrm>
          <a:off x="4603072" y="139399279"/>
          <a:ext cx="33655" cy="33655"/>
          <a:chOff x="0" y="0"/>
          <a:chExt cx="33655" cy="33655"/>
        </a:xfrm>
      </xdr:grpSpPr>
      <xdr:sp macro="" textlink="">
        <xdr:nvSpPr>
          <xdr:cNvPr id="6193" name="Shape 18">
            <a:extLst>
              <a:ext uri="{FF2B5EF4-FFF2-40B4-BE49-F238E27FC236}">
                <a16:creationId xmlns:a16="http://schemas.microsoft.com/office/drawing/2014/main" id="{B4CB3065-79C3-DC21-85D4-08850085001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94" name="Shape 19">
            <a:extLst>
              <a:ext uri="{FF2B5EF4-FFF2-40B4-BE49-F238E27FC236}">
                <a16:creationId xmlns:a16="http://schemas.microsoft.com/office/drawing/2014/main" id="{BE08C910-58B9-BDF0-C6E3-52474257B73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95" name="Shape 20">
            <a:extLst>
              <a:ext uri="{FF2B5EF4-FFF2-40B4-BE49-F238E27FC236}">
                <a16:creationId xmlns:a16="http://schemas.microsoft.com/office/drawing/2014/main" id="{69F9AC2B-0CD1-900C-C820-EA4DB231D40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96" name="Shape 21">
            <a:extLst>
              <a:ext uri="{FF2B5EF4-FFF2-40B4-BE49-F238E27FC236}">
                <a16:creationId xmlns:a16="http://schemas.microsoft.com/office/drawing/2014/main" id="{1AEAB6E9-D1E6-7B0D-8DE6-6A6394A81E7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97" name="Shape 22">
            <a:extLst>
              <a:ext uri="{FF2B5EF4-FFF2-40B4-BE49-F238E27FC236}">
                <a16:creationId xmlns:a16="http://schemas.microsoft.com/office/drawing/2014/main" id="{BBE2C6FD-B874-9AE2-BE08-6682E310EAD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198" name="Shape 23">
            <a:extLst>
              <a:ext uri="{FF2B5EF4-FFF2-40B4-BE49-F238E27FC236}">
                <a16:creationId xmlns:a16="http://schemas.microsoft.com/office/drawing/2014/main" id="{AC37D63A-57A8-E756-1A96-B8137AAB03B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199" name="Shape 24">
            <a:extLst>
              <a:ext uri="{FF2B5EF4-FFF2-40B4-BE49-F238E27FC236}">
                <a16:creationId xmlns:a16="http://schemas.microsoft.com/office/drawing/2014/main" id="{F14CC9A9-9950-BD05-53A6-9CB698C6668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00" name="Shape 25">
            <a:extLst>
              <a:ext uri="{FF2B5EF4-FFF2-40B4-BE49-F238E27FC236}">
                <a16:creationId xmlns:a16="http://schemas.microsoft.com/office/drawing/2014/main" id="{78E397D0-5022-F6AF-9790-F6546037C53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01" name="Shape 26">
            <a:extLst>
              <a:ext uri="{FF2B5EF4-FFF2-40B4-BE49-F238E27FC236}">
                <a16:creationId xmlns:a16="http://schemas.microsoft.com/office/drawing/2014/main" id="{DB2621F7-A2ED-C1F3-48A8-C3D3D60E6BC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02" name="Shape 27">
            <a:extLst>
              <a:ext uri="{FF2B5EF4-FFF2-40B4-BE49-F238E27FC236}">
                <a16:creationId xmlns:a16="http://schemas.microsoft.com/office/drawing/2014/main" id="{53E90E2A-F5F4-78C7-950A-1754A163651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03" name="Shape 28">
            <a:extLst>
              <a:ext uri="{FF2B5EF4-FFF2-40B4-BE49-F238E27FC236}">
                <a16:creationId xmlns:a16="http://schemas.microsoft.com/office/drawing/2014/main" id="{4ACE551F-83B1-FE98-1DFE-FEC494A87C9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04" name="Shape 29">
            <a:extLst>
              <a:ext uri="{FF2B5EF4-FFF2-40B4-BE49-F238E27FC236}">
                <a16:creationId xmlns:a16="http://schemas.microsoft.com/office/drawing/2014/main" id="{923E56F1-8540-5673-7F57-A5F7ECD909F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05" name="Shape 30">
            <a:extLst>
              <a:ext uri="{FF2B5EF4-FFF2-40B4-BE49-F238E27FC236}">
                <a16:creationId xmlns:a16="http://schemas.microsoft.com/office/drawing/2014/main" id="{451A4004-3007-8C54-1A27-72FE176B3A2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06" name="Shape 31">
            <a:extLst>
              <a:ext uri="{FF2B5EF4-FFF2-40B4-BE49-F238E27FC236}">
                <a16:creationId xmlns:a16="http://schemas.microsoft.com/office/drawing/2014/main" id="{7966D322-4C5F-08CB-D97D-53DE14A91D4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755</xdr:row>
      <xdr:rowOff>3703</xdr:rowOff>
    </xdr:from>
    <xdr:ext cx="33655" cy="33655"/>
    <xdr:grpSp>
      <xdr:nvGrpSpPr>
        <xdr:cNvPr id="6207" name="Group 32">
          <a:extLst>
            <a:ext uri="{FF2B5EF4-FFF2-40B4-BE49-F238E27FC236}">
              <a16:creationId xmlns:a16="http://schemas.microsoft.com/office/drawing/2014/main" id="{552611FD-F3F6-442A-B50F-8A133F8F46CA}"/>
            </a:ext>
          </a:extLst>
        </xdr:cNvPr>
        <xdr:cNvGrpSpPr/>
      </xdr:nvGrpSpPr>
      <xdr:grpSpPr>
        <a:xfrm>
          <a:off x="4603072" y="139399736"/>
          <a:ext cx="33655" cy="33655"/>
          <a:chOff x="0" y="0"/>
          <a:chExt cx="33655" cy="33655"/>
        </a:xfrm>
      </xdr:grpSpPr>
      <xdr:sp macro="" textlink="">
        <xdr:nvSpPr>
          <xdr:cNvPr id="6208" name="Shape 33">
            <a:extLst>
              <a:ext uri="{FF2B5EF4-FFF2-40B4-BE49-F238E27FC236}">
                <a16:creationId xmlns:a16="http://schemas.microsoft.com/office/drawing/2014/main" id="{2F285DDE-4E16-4266-004A-8156E5B1ECE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09" name="Shape 34">
            <a:extLst>
              <a:ext uri="{FF2B5EF4-FFF2-40B4-BE49-F238E27FC236}">
                <a16:creationId xmlns:a16="http://schemas.microsoft.com/office/drawing/2014/main" id="{C0846E26-3F54-D309-34AB-B17982EE0F3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10" name="Shape 35">
            <a:extLst>
              <a:ext uri="{FF2B5EF4-FFF2-40B4-BE49-F238E27FC236}">
                <a16:creationId xmlns:a16="http://schemas.microsoft.com/office/drawing/2014/main" id="{070C1E9D-DE69-7983-50FF-FFE20648AFB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11" name="Shape 36">
            <a:extLst>
              <a:ext uri="{FF2B5EF4-FFF2-40B4-BE49-F238E27FC236}">
                <a16:creationId xmlns:a16="http://schemas.microsoft.com/office/drawing/2014/main" id="{1FB84120-F5A3-8B76-9812-7D530A69193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12" name="Shape 37">
            <a:extLst>
              <a:ext uri="{FF2B5EF4-FFF2-40B4-BE49-F238E27FC236}">
                <a16:creationId xmlns:a16="http://schemas.microsoft.com/office/drawing/2014/main" id="{C9F730BA-F772-3082-9A2E-37DAA53479D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13" name="Shape 38">
            <a:extLst>
              <a:ext uri="{FF2B5EF4-FFF2-40B4-BE49-F238E27FC236}">
                <a16:creationId xmlns:a16="http://schemas.microsoft.com/office/drawing/2014/main" id="{8C366B7D-DAB1-A77B-5ACD-3113EA6C728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14" name="Shape 39">
            <a:extLst>
              <a:ext uri="{FF2B5EF4-FFF2-40B4-BE49-F238E27FC236}">
                <a16:creationId xmlns:a16="http://schemas.microsoft.com/office/drawing/2014/main" id="{FE2B8BA0-0058-A4F0-89B7-3C485532586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15" name="Shape 40">
            <a:extLst>
              <a:ext uri="{FF2B5EF4-FFF2-40B4-BE49-F238E27FC236}">
                <a16:creationId xmlns:a16="http://schemas.microsoft.com/office/drawing/2014/main" id="{75D4E515-F009-68D0-0404-A9F172D91A2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16" name="Shape 41">
            <a:extLst>
              <a:ext uri="{FF2B5EF4-FFF2-40B4-BE49-F238E27FC236}">
                <a16:creationId xmlns:a16="http://schemas.microsoft.com/office/drawing/2014/main" id="{EED9C8ED-9DE0-D663-2558-9DD524A179C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17" name="Shape 42">
            <a:extLst>
              <a:ext uri="{FF2B5EF4-FFF2-40B4-BE49-F238E27FC236}">
                <a16:creationId xmlns:a16="http://schemas.microsoft.com/office/drawing/2014/main" id="{6F3D0590-535D-6BF6-433E-80414F43F02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18" name="Shape 43">
            <a:extLst>
              <a:ext uri="{FF2B5EF4-FFF2-40B4-BE49-F238E27FC236}">
                <a16:creationId xmlns:a16="http://schemas.microsoft.com/office/drawing/2014/main" id="{4BF4329C-9A01-C6BD-5739-660BB1C13A2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19" name="Shape 44">
            <a:extLst>
              <a:ext uri="{FF2B5EF4-FFF2-40B4-BE49-F238E27FC236}">
                <a16:creationId xmlns:a16="http://schemas.microsoft.com/office/drawing/2014/main" id="{FC7E4BE1-AFDB-51F5-A3A6-CAEFAB56A35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20" name="Shape 45">
            <a:extLst>
              <a:ext uri="{FF2B5EF4-FFF2-40B4-BE49-F238E27FC236}">
                <a16:creationId xmlns:a16="http://schemas.microsoft.com/office/drawing/2014/main" id="{A0EAFE30-5567-DDE4-1546-A0BEF244A93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21" name="Shape 46">
            <a:extLst>
              <a:ext uri="{FF2B5EF4-FFF2-40B4-BE49-F238E27FC236}">
                <a16:creationId xmlns:a16="http://schemas.microsoft.com/office/drawing/2014/main" id="{C10AE945-519C-CF03-0467-2C97B4E67D2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755</xdr:row>
      <xdr:rowOff>3409</xdr:rowOff>
    </xdr:from>
    <xdr:ext cx="33655" cy="33655"/>
    <xdr:grpSp>
      <xdr:nvGrpSpPr>
        <xdr:cNvPr id="6222" name="Group 47">
          <a:extLst>
            <a:ext uri="{FF2B5EF4-FFF2-40B4-BE49-F238E27FC236}">
              <a16:creationId xmlns:a16="http://schemas.microsoft.com/office/drawing/2014/main" id="{23882AD3-64FB-41A0-89E7-8C4B49AE55E0}"/>
            </a:ext>
          </a:extLst>
        </xdr:cNvPr>
        <xdr:cNvGrpSpPr/>
      </xdr:nvGrpSpPr>
      <xdr:grpSpPr>
        <a:xfrm>
          <a:off x="4603072" y="139399442"/>
          <a:ext cx="33655" cy="33655"/>
          <a:chOff x="0" y="0"/>
          <a:chExt cx="33655" cy="33655"/>
        </a:xfrm>
      </xdr:grpSpPr>
      <xdr:sp macro="" textlink="">
        <xdr:nvSpPr>
          <xdr:cNvPr id="6223" name="Shape 48">
            <a:extLst>
              <a:ext uri="{FF2B5EF4-FFF2-40B4-BE49-F238E27FC236}">
                <a16:creationId xmlns:a16="http://schemas.microsoft.com/office/drawing/2014/main" id="{2AB0E5A2-704A-BC2E-7548-1BE0F360034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24" name="Shape 49">
            <a:extLst>
              <a:ext uri="{FF2B5EF4-FFF2-40B4-BE49-F238E27FC236}">
                <a16:creationId xmlns:a16="http://schemas.microsoft.com/office/drawing/2014/main" id="{F1391663-7E01-4306-6E26-CB866042744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25" name="Shape 50">
            <a:extLst>
              <a:ext uri="{FF2B5EF4-FFF2-40B4-BE49-F238E27FC236}">
                <a16:creationId xmlns:a16="http://schemas.microsoft.com/office/drawing/2014/main" id="{A9E96DAE-C8D2-1A4C-EAC6-A28D78D61AC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26" name="Shape 51">
            <a:extLst>
              <a:ext uri="{FF2B5EF4-FFF2-40B4-BE49-F238E27FC236}">
                <a16:creationId xmlns:a16="http://schemas.microsoft.com/office/drawing/2014/main" id="{E12DBF69-E5A7-B96D-C154-56E0F55738C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27" name="Shape 52">
            <a:extLst>
              <a:ext uri="{FF2B5EF4-FFF2-40B4-BE49-F238E27FC236}">
                <a16:creationId xmlns:a16="http://schemas.microsoft.com/office/drawing/2014/main" id="{842F2B55-8272-CA27-B82F-16E911AF307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28" name="Shape 53">
            <a:extLst>
              <a:ext uri="{FF2B5EF4-FFF2-40B4-BE49-F238E27FC236}">
                <a16:creationId xmlns:a16="http://schemas.microsoft.com/office/drawing/2014/main" id="{85920835-6962-BD8A-9918-23D658CED6A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29" name="Shape 54">
            <a:extLst>
              <a:ext uri="{FF2B5EF4-FFF2-40B4-BE49-F238E27FC236}">
                <a16:creationId xmlns:a16="http://schemas.microsoft.com/office/drawing/2014/main" id="{DA4252FF-CDB2-4508-DEB5-2D9EE2B235C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30" name="Shape 55">
            <a:extLst>
              <a:ext uri="{FF2B5EF4-FFF2-40B4-BE49-F238E27FC236}">
                <a16:creationId xmlns:a16="http://schemas.microsoft.com/office/drawing/2014/main" id="{C8D65DD3-3C04-D82D-E652-927B7844A10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31" name="Shape 56">
            <a:extLst>
              <a:ext uri="{FF2B5EF4-FFF2-40B4-BE49-F238E27FC236}">
                <a16:creationId xmlns:a16="http://schemas.microsoft.com/office/drawing/2014/main" id="{37C88B0D-0AF2-9C8E-0FFE-F216BCEE3EB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32" name="Shape 57">
            <a:extLst>
              <a:ext uri="{FF2B5EF4-FFF2-40B4-BE49-F238E27FC236}">
                <a16:creationId xmlns:a16="http://schemas.microsoft.com/office/drawing/2014/main" id="{D3744DB1-9332-4FD6-83AD-B841B9F2A1C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33" name="Shape 58">
            <a:extLst>
              <a:ext uri="{FF2B5EF4-FFF2-40B4-BE49-F238E27FC236}">
                <a16:creationId xmlns:a16="http://schemas.microsoft.com/office/drawing/2014/main" id="{7F4A9745-3D31-304B-7C58-6DE600717DA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34" name="Shape 59">
            <a:extLst>
              <a:ext uri="{FF2B5EF4-FFF2-40B4-BE49-F238E27FC236}">
                <a16:creationId xmlns:a16="http://schemas.microsoft.com/office/drawing/2014/main" id="{6E2E3BF4-8C71-8926-B523-860B7096F70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35" name="Shape 60">
            <a:extLst>
              <a:ext uri="{FF2B5EF4-FFF2-40B4-BE49-F238E27FC236}">
                <a16:creationId xmlns:a16="http://schemas.microsoft.com/office/drawing/2014/main" id="{1805FC05-F397-66BF-772F-46228C408CD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36" name="Shape 61">
            <a:extLst>
              <a:ext uri="{FF2B5EF4-FFF2-40B4-BE49-F238E27FC236}">
                <a16:creationId xmlns:a16="http://schemas.microsoft.com/office/drawing/2014/main" id="{916C7D95-55D4-6692-5C78-6859374F111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755</xdr:row>
      <xdr:rowOff>3962</xdr:rowOff>
    </xdr:from>
    <xdr:ext cx="33655" cy="33655"/>
    <xdr:grpSp>
      <xdr:nvGrpSpPr>
        <xdr:cNvPr id="6237" name="Group 62">
          <a:extLst>
            <a:ext uri="{FF2B5EF4-FFF2-40B4-BE49-F238E27FC236}">
              <a16:creationId xmlns:a16="http://schemas.microsoft.com/office/drawing/2014/main" id="{4FB6D6A5-7AF1-424D-8707-074BACFF52B4}"/>
            </a:ext>
          </a:extLst>
        </xdr:cNvPr>
        <xdr:cNvGrpSpPr/>
      </xdr:nvGrpSpPr>
      <xdr:grpSpPr>
        <a:xfrm>
          <a:off x="4603072" y="139399995"/>
          <a:ext cx="33655" cy="33655"/>
          <a:chOff x="0" y="0"/>
          <a:chExt cx="33655" cy="33655"/>
        </a:xfrm>
      </xdr:grpSpPr>
      <xdr:sp macro="" textlink="">
        <xdr:nvSpPr>
          <xdr:cNvPr id="6238" name="Shape 63">
            <a:extLst>
              <a:ext uri="{FF2B5EF4-FFF2-40B4-BE49-F238E27FC236}">
                <a16:creationId xmlns:a16="http://schemas.microsoft.com/office/drawing/2014/main" id="{46BDB41A-6344-C45C-1F36-34FA1D05CF4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39" name="Shape 64">
            <a:extLst>
              <a:ext uri="{FF2B5EF4-FFF2-40B4-BE49-F238E27FC236}">
                <a16:creationId xmlns:a16="http://schemas.microsoft.com/office/drawing/2014/main" id="{1E94406A-E476-AF5A-D9A4-8BA3F006C69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240" name="Shape 65">
            <a:extLst>
              <a:ext uri="{FF2B5EF4-FFF2-40B4-BE49-F238E27FC236}">
                <a16:creationId xmlns:a16="http://schemas.microsoft.com/office/drawing/2014/main" id="{9D77B8B4-7FB0-614A-76D3-E0B695035F0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41" name="Shape 66">
            <a:extLst>
              <a:ext uri="{FF2B5EF4-FFF2-40B4-BE49-F238E27FC236}">
                <a16:creationId xmlns:a16="http://schemas.microsoft.com/office/drawing/2014/main" id="{5DE6458D-7E37-A9F9-3479-FED56388125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242" name="Shape 67">
            <a:extLst>
              <a:ext uri="{FF2B5EF4-FFF2-40B4-BE49-F238E27FC236}">
                <a16:creationId xmlns:a16="http://schemas.microsoft.com/office/drawing/2014/main" id="{88F4780D-3030-7261-35F1-B28BAECD609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43" name="Shape 68">
            <a:extLst>
              <a:ext uri="{FF2B5EF4-FFF2-40B4-BE49-F238E27FC236}">
                <a16:creationId xmlns:a16="http://schemas.microsoft.com/office/drawing/2014/main" id="{7A285F6A-2FE1-FE1D-54F9-26DB5B8E87E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244" name="Shape 69">
            <a:extLst>
              <a:ext uri="{FF2B5EF4-FFF2-40B4-BE49-F238E27FC236}">
                <a16:creationId xmlns:a16="http://schemas.microsoft.com/office/drawing/2014/main" id="{0792BE39-FB05-3F8F-2676-D7FEB1DC637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45" name="Shape 70">
            <a:extLst>
              <a:ext uri="{FF2B5EF4-FFF2-40B4-BE49-F238E27FC236}">
                <a16:creationId xmlns:a16="http://schemas.microsoft.com/office/drawing/2014/main" id="{7DB08FA5-CED4-FFA8-3B6D-37126DF9657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246" name="Shape 71">
            <a:extLst>
              <a:ext uri="{FF2B5EF4-FFF2-40B4-BE49-F238E27FC236}">
                <a16:creationId xmlns:a16="http://schemas.microsoft.com/office/drawing/2014/main" id="{3E0EEF72-C141-8AF5-9E79-B9DC3B44CD2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47" name="Shape 72">
            <a:extLst>
              <a:ext uri="{FF2B5EF4-FFF2-40B4-BE49-F238E27FC236}">
                <a16:creationId xmlns:a16="http://schemas.microsoft.com/office/drawing/2014/main" id="{7CEB22DD-6C8F-715E-FC30-A887DA9E2ED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248" name="Shape 73">
            <a:extLst>
              <a:ext uri="{FF2B5EF4-FFF2-40B4-BE49-F238E27FC236}">
                <a16:creationId xmlns:a16="http://schemas.microsoft.com/office/drawing/2014/main" id="{EEAE976C-E173-067A-E72F-67D64FC5A9C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49" name="Shape 74">
            <a:extLst>
              <a:ext uri="{FF2B5EF4-FFF2-40B4-BE49-F238E27FC236}">
                <a16:creationId xmlns:a16="http://schemas.microsoft.com/office/drawing/2014/main" id="{1CD6A6B2-E70B-7EFD-32A6-581779A6FD7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250" name="Shape 75">
            <a:extLst>
              <a:ext uri="{FF2B5EF4-FFF2-40B4-BE49-F238E27FC236}">
                <a16:creationId xmlns:a16="http://schemas.microsoft.com/office/drawing/2014/main" id="{4F7E99DA-24C6-575C-CB01-9820D5030D5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251" name="Shape 76">
            <a:extLst>
              <a:ext uri="{FF2B5EF4-FFF2-40B4-BE49-F238E27FC236}">
                <a16:creationId xmlns:a16="http://schemas.microsoft.com/office/drawing/2014/main" id="{21F4AC7D-9740-8E4C-48CB-CF657F59FD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755</xdr:row>
      <xdr:rowOff>2978</xdr:rowOff>
    </xdr:from>
    <xdr:ext cx="33655" cy="33655"/>
    <xdr:grpSp>
      <xdr:nvGrpSpPr>
        <xdr:cNvPr id="6252" name="Group 2">
          <a:extLst>
            <a:ext uri="{FF2B5EF4-FFF2-40B4-BE49-F238E27FC236}">
              <a16:creationId xmlns:a16="http://schemas.microsoft.com/office/drawing/2014/main" id="{BD4014F8-7A13-44B9-A3B6-49AF35366340}"/>
            </a:ext>
          </a:extLst>
        </xdr:cNvPr>
        <xdr:cNvGrpSpPr/>
      </xdr:nvGrpSpPr>
      <xdr:grpSpPr>
        <a:xfrm>
          <a:off x="4603072" y="139399011"/>
          <a:ext cx="33655" cy="33655"/>
          <a:chOff x="0" y="0"/>
          <a:chExt cx="33655" cy="33655"/>
        </a:xfrm>
      </xdr:grpSpPr>
      <xdr:sp macro="" textlink="">
        <xdr:nvSpPr>
          <xdr:cNvPr id="6253" name="Shape 3">
            <a:extLst>
              <a:ext uri="{FF2B5EF4-FFF2-40B4-BE49-F238E27FC236}">
                <a16:creationId xmlns:a16="http://schemas.microsoft.com/office/drawing/2014/main" id="{979B53E5-D816-B663-D68E-732C522543E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54" name="Shape 4">
            <a:extLst>
              <a:ext uri="{FF2B5EF4-FFF2-40B4-BE49-F238E27FC236}">
                <a16:creationId xmlns:a16="http://schemas.microsoft.com/office/drawing/2014/main" id="{549469DE-9585-2FB1-521B-4F3C0E81EEC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55" name="Shape 5">
            <a:extLst>
              <a:ext uri="{FF2B5EF4-FFF2-40B4-BE49-F238E27FC236}">
                <a16:creationId xmlns:a16="http://schemas.microsoft.com/office/drawing/2014/main" id="{E312FF71-6280-86ED-8787-246E752CC5C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56" name="Shape 6">
            <a:extLst>
              <a:ext uri="{FF2B5EF4-FFF2-40B4-BE49-F238E27FC236}">
                <a16:creationId xmlns:a16="http://schemas.microsoft.com/office/drawing/2014/main" id="{1D08CD56-6EC6-AAC6-2611-7881ACB8F36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57" name="Shape 7">
            <a:extLst>
              <a:ext uri="{FF2B5EF4-FFF2-40B4-BE49-F238E27FC236}">
                <a16:creationId xmlns:a16="http://schemas.microsoft.com/office/drawing/2014/main" id="{E1430F3B-5932-7B65-7809-CEAF70A003D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58" name="Shape 8">
            <a:extLst>
              <a:ext uri="{FF2B5EF4-FFF2-40B4-BE49-F238E27FC236}">
                <a16:creationId xmlns:a16="http://schemas.microsoft.com/office/drawing/2014/main" id="{B8EC5059-8DD3-FF71-B551-940C68172A1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59" name="Shape 9">
            <a:extLst>
              <a:ext uri="{FF2B5EF4-FFF2-40B4-BE49-F238E27FC236}">
                <a16:creationId xmlns:a16="http://schemas.microsoft.com/office/drawing/2014/main" id="{89690744-F9B4-8950-10D7-D3664F605B2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60" name="Shape 10">
            <a:extLst>
              <a:ext uri="{FF2B5EF4-FFF2-40B4-BE49-F238E27FC236}">
                <a16:creationId xmlns:a16="http://schemas.microsoft.com/office/drawing/2014/main" id="{F694D092-0B2D-843F-DF3C-821F757AFA1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61" name="Shape 11">
            <a:extLst>
              <a:ext uri="{FF2B5EF4-FFF2-40B4-BE49-F238E27FC236}">
                <a16:creationId xmlns:a16="http://schemas.microsoft.com/office/drawing/2014/main" id="{B9D9E273-5768-F5AE-7DE7-F9D3739103F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62" name="Shape 12">
            <a:extLst>
              <a:ext uri="{FF2B5EF4-FFF2-40B4-BE49-F238E27FC236}">
                <a16:creationId xmlns:a16="http://schemas.microsoft.com/office/drawing/2014/main" id="{6CEB1601-1FCD-4C15-A61E-D591C77A4FA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63" name="Shape 13">
            <a:extLst>
              <a:ext uri="{FF2B5EF4-FFF2-40B4-BE49-F238E27FC236}">
                <a16:creationId xmlns:a16="http://schemas.microsoft.com/office/drawing/2014/main" id="{3B963E1F-3D20-B4D9-37CB-265C2A2E4CF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64" name="Shape 14">
            <a:extLst>
              <a:ext uri="{FF2B5EF4-FFF2-40B4-BE49-F238E27FC236}">
                <a16:creationId xmlns:a16="http://schemas.microsoft.com/office/drawing/2014/main" id="{B532BE57-823F-B8D7-9FB4-49DF1C3216B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65" name="Shape 15">
            <a:extLst>
              <a:ext uri="{FF2B5EF4-FFF2-40B4-BE49-F238E27FC236}">
                <a16:creationId xmlns:a16="http://schemas.microsoft.com/office/drawing/2014/main" id="{ACBCCADF-E8CA-469E-DFF0-421D7A91830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66" name="Shape 16">
            <a:extLst>
              <a:ext uri="{FF2B5EF4-FFF2-40B4-BE49-F238E27FC236}">
                <a16:creationId xmlns:a16="http://schemas.microsoft.com/office/drawing/2014/main" id="{B2017C42-FB39-6DC5-0DF6-07BDE727777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755</xdr:row>
      <xdr:rowOff>3246</xdr:rowOff>
    </xdr:from>
    <xdr:ext cx="33655" cy="33655"/>
    <xdr:grpSp>
      <xdr:nvGrpSpPr>
        <xdr:cNvPr id="6267" name="Group 17">
          <a:extLst>
            <a:ext uri="{FF2B5EF4-FFF2-40B4-BE49-F238E27FC236}">
              <a16:creationId xmlns:a16="http://schemas.microsoft.com/office/drawing/2014/main" id="{64E43338-8E65-42BC-A562-E658701493CE}"/>
            </a:ext>
          </a:extLst>
        </xdr:cNvPr>
        <xdr:cNvGrpSpPr/>
      </xdr:nvGrpSpPr>
      <xdr:grpSpPr>
        <a:xfrm>
          <a:off x="4603072" y="139399279"/>
          <a:ext cx="33655" cy="33655"/>
          <a:chOff x="0" y="0"/>
          <a:chExt cx="33655" cy="33655"/>
        </a:xfrm>
      </xdr:grpSpPr>
      <xdr:sp macro="" textlink="">
        <xdr:nvSpPr>
          <xdr:cNvPr id="6268" name="Shape 18">
            <a:extLst>
              <a:ext uri="{FF2B5EF4-FFF2-40B4-BE49-F238E27FC236}">
                <a16:creationId xmlns:a16="http://schemas.microsoft.com/office/drawing/2014/main" id="{87F35BA0-08B4-FA7C-9844-5E4C85DE6B9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69" name="Shape 19">
            <a:extLst>
              <a:ext uri="{FF2B5EF4-FFF2-40B4-BE49-F238E27FC236}">
                <a16:creationId xmlns:a16="http://schemas.microsoft.com/office/drawing/2014/main" id="{13239059-794C-C828-DBD3-C0FBFFDCE1A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70" name="Shape 20">
            <a:extLst>
              <a:ext uri="{FF2B5EF4-FFF2-40B4-BE49-F238E27FC236}">
                <a16:creationId xmlns:a16="http://schemas.microsoft.com/office/drawing/2014/main" id="{E223037F-DC63-747E-C834-E1BC6155A09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71" name="Shape 21">
            <a:extLst>
              <a:ext uri="{FF2B5EF4-FFF2-40B4-BE49-F238E27FC236}">
                <a16:creationId xmlns:a16="http://schemas.microsoft.com/office/drawing/2014/main" id="{E42D086B-9F36-BDCD-CB05-E8EC4DB1332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72" name="Shape 22">
            <a:extLst>
              <a:ext uri="{FF2B5EF4-FFF2-40B4-BE49-F238E27FC236}">
                <a16:creationId xmlns:a16="http://schemas.microsoft.com/office/drawing/2014/main" id="{5D3F52CF-F0DF-44EA-FBEC-753AAD7C73D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73" name="Shape 23">
            <a:extLst>
              <a:ext uri="{FF2B5EF4-FFF2-40B4-BE49-F238E27FC236}">
                <a16:creationId xmlns:a16="http://schemas.microsoft.com/office/drawing/2014/main" id="{94DE3D11-31ED-E93A-C4C2-BA4DD47F662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74" name="Shape 24">
            <a:extLst>
              <a:ext uri="{FF2B5EF4-FFF2-40B4-BE49-F238E27FC236}">
                <a16:creationId xmlns:a16="http://schemas.microsoft.com/office/drawing/2014/main" id="{C0D7EED4-0358-CF78-5866-74BF210A68D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75" name="Shape 25">
            <a:extLst>
              <a:ext uri="{FF2B5EF4-FFF2-40B4-BE49-F238E27FC236}">
                <a16:creationId xmlns:a16="http://schemas.microsoft.com/office/drawing/2014/main" id="{9D6735E7-AC05-B7EE-9172-B4EA4408AD0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76" name="Shape 26">
            <a:extLst>
              <a:ext uri="{FF2B5EF4-FFF2-40B4-BE49-F238E27FC236}">
                <a16:creationId xmlns:a16="http://schemas.microsoft.com/office/drawing/2014/main" id="{CB5AF9D4-8865-5114-F58B-3B77982D0D7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77" name="Shape 27">
            <a:extLst>
              <a:ext uri="{FF2B5EF4-FFF2-40B4-BE49-F238E27FC236}">
                <a16:creationId xmlns:a16="http://schemas.microsoft.com/office/drawing/2014/main" id="{841EC6A2-C99E-E8AC-3DB1-8F7D2D601FD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78" name="Shape 28">
            <a:extLst>
              <a:ext uri="{FF2B5EF4-FFF2-40B4-BE49-F238E27FC236}">
                <a16:creationId xmlns:a16="http://schemas.microsoft.com/office/drawing/2014/main" id="{FD17663A-7D45-BE7D-552B-362F0FE12E4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79" name="Shape 29">
            <a:extLst>
              <a:ext uri="{FF2B5EF4-FFF2-40B4-BE49-F238E27FC236}">
                <a16:creationId xmlns:a16="http://schemas.microsoft.com/office/drawing/2014/main" id="{7C5DA0AC-EAF7-3D69-0D96-784D0424AA0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80" name="Shape 30">
            <a:extLst>
              <a:ext uri="{FF2B5EF4-FFF2-40B4-BE49-F238E27FC236}">
                <a16:creationId xmlns:a16="http://schemas.microsoft.com/office/drawing/2014/main" id="{5BCFD2A3-343F-0ECC-F59D-113C29B5C3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81" name="Shape 31">
            <a:extLst>
              <a:ext uri="{FF2B5EF4-FFF2-40B4-BE49-F238E27FC236}">
                <a16:creationId xmlns:a16="http://schemas.microsoft.com/office/drawing/2014/main" id="{CCCBB2C1-9952-CC9E-0372-5DD441B2E0E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755</xdr:row>
      <xdr:rowOff>3703</xdr:rowOff>
    </xdr:from>
    <xdr:ext cx="33655" cy="33655"/>
    <xdr:grpSp>
      <xdr:nvGrpSpPr>
        <xdr:cNvPr id="6282" name="Group 32">
          <a:extLst>
            <a:ext uri="{FF2B5EF4-FFF2-40B4-BE49-F238E27FC236}">
              <a16:creationId xmlns:a16="http://schemas.microsoft.com/office/drawing/2014/main" id="{13DEADEF-F85D-439C-9D47-BCB417A7A0D7}"/>
            </a:ext>
          </a:extLst>
        </xdr:cNvPr>
        <xdr:cNvGrpSpPr/>
      </xdr:nvGrpSpPr>
      <xdr:grpSpPr>
        <a:xfrm>
          <a:off x="4603072" y="139399736"/>
          <a:ext cx="33655" cy="33655"/>
          <a:chOff x="0" y="0"/>
          <a:chExt cx="33655" cy="33655"/>
        </a:xfrm>
      </xdr:grpSpPr>
      <xdr:sp macro="" textlink="">
        <xdr:nvSpPr>
          <xdr:cNvPr id="6283" name="Shape 33">
            <a:extLst>
              <a:ext uri="{FF2B5EF4-FFF2-40B4-BE49-F238E27FC236}">
                <a16:creationId xmlns:a16="http://schemas.microsoft.com/office/drawing/2014/main" id="{4BF16478-D785-F400-5996-30D70B43821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84" name="Shape 34">
            <a:extLst>
              <a:ext uri="{FF2B5EF4-FFF2-40B4-BE49-F238E27FC236}">
                <a16:creationId xmlns:a16="http://schemas.microsoft.com/office/drawing/2014/main" id="{EC64959C-C524-C29E-20E2-886C65FEA2C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85" name="Shape 35">
            <a:extLst>
              <a:ext uri="{FF2B5EF4-FFF2-40B4-BE49-F238E27FC236}">
                <a16:creationId xmlns:a16="http://schemas.microsoft.com/office/drawing/2014/main" id="{ED34459C-9D5E-5D3D-AFA7-E6AE54D978A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86" name="Shape 36">
            <a:extLst>
              <a:ext uri="{FF2B5EF4-FFF2-40B4-BE49-F238E27FC236}">
                <a16:creationId xmlns:a16="http://schemas.microsoft.com/office/drawing/2014/main" id="{F6ADD931-B68D-8C50-7228-12927D20145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87" name="Shape 37">
            <a:extLst>
              <a:ext uri="{FF2B5EF4-FFF2-40B4-BE49-F238E27FC236}">
                <a16:creationId xmlns:a16="http://schemas.microsoft.com/office/drawing/2014/main" id="{3B2BB29B-7A54-78A8-A4AC-9D94CA2651D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88" name="Shape 38">
            <a:extLst>
              <a:ext uri="{FF2B5EF4-FFF2-40B4-BE49-F238E27FC236}">
                <a16:creationId xmlns:a16="http://schemas.microsoft.com/office/drawing/2014/main" id="{74333209-6648-5EC2-F6F1-F6160083CBC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89" name="Shape 39">
            <a:extLst>
              <a:ext uri="{FF2B5EF4-FFF2-40B4-BE49-F238E27FC236}">
                <a16:creationId xmlns:a16="http://schemas.microsoft.com/office/drawing/2014/main" id="{65EAA7E7-FE9B-0319-6023-BBC70C96D4B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90" name="Shape 40">
            <a:extLst>
              <a:ext uri="{FF2B5EF4-FFF2-40B4-BE49-F238E27FC236}">
                <a16:creationId xmlns:a16="http://schemas.microsoft.com/office/drawing/2014/main" id="{0E45E3F8-F8B3-28A8-BF74-A3A9252D611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91" name="Shape 41">
            <a:extLst>
              <a:ext uri="{FF2B5EF4-FFF2-40B4-BE49-F238E27FC236}">
                <a16:creationId xmlns:a16="http://schemas.microsoft.com/office/drawing/2014/main" id="{BFEC597E-30E0-6FEC-25DC-9ADA6297D5F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92" name="Shape 42">
            <a:extLst>
              <a:ext uri="{FF2B5EF4-FFF2-40B4-BE49-F238E27FC236}">
                <a16:creationId xmlns:a16="http://schemas.microsoft.com/office/drawing/2014/main" id="{2FB533D9-D15D-1CCE-1113-5BE32B19312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93" name="Shape 43">
            <a:extLst>
              <a:ext uri="{FF2B5EF4-FFF2-40B4-BE49-F238E27FC236}">
                <a16:creationId xmlns:a16="http://schemas.microsoft.com/office/drawing/2014/main" id="{2510F7C8-48A7-D65B-6D7E-1DE475C66EA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94" name="Shape 44">
            <a:extLst>
              <a:ext uri="{FF2B5EF4-FFF2-40B4-BE49-F238E27FC236}">
                <a16:creationId xmlns:a16="http://schemas.microsoft.com/office/drawing/2014/main" id="{673C9AEB-AE66-68C3-A2FA-AE0C1FF5198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95" name="Shape 45">
            <a:extLst>
              <a:ext uri="{FF2B5EF4-FFF2-40B4-BE49-F238E27FC236}">
                <a16:creationId xmlns:a16="http://schemas.microsoft.com/office/drawing/2014/main" id="{51592DD1-A6D4-FBC9-7AC6-41A58FF068B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296" name="Shape 46">
            <a:extLst>
              <a:ext uri="{FF2B5EF4-FFF2-40B4-BE49-F238E27FC236}">
                <a16:creationId xmlns:a16="http://schemas.microsoft.com/office/drawing/2014/main" id="{A17DBFD4-F439-7A61-89E3-E4F60DE76C0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755</xdr:row>
      <xdr:rowOff>3409</xdr:rowOff>
    </xdr:from>
    <xdr:ext cx="33655" cy="33655"/>
    <xdr:grpSp>
      <xdr:nvGrpSpPr>
        <xdr:cNvPr id="6297" name="Group 47">
          <a:extLst>
            <a:ext uri="{FF2B5EF4-FFF2-40B4-BE49-F238E27FC236}">
              <a16:creationId xmlns:a16="http://schemas.microsoft.com/office/drawing/2014/main" id="{C0F4C61A-56C0-4EAC-B804-CC2FBBA4CA68}"/>
            </a:ext>
          </a:extLst>
        </xdr:cNvPr>
        <xdr:cNvGrpSpPr/>
      </xdr:nvGrpSpPr>
      <xdr:grpSpPr>
        <a:xfrm>
          <a:off x="4603072" y="139399442"/>
          <a:ext cx="33655" cy="33655"/>
          <a:chOff x="0" y="0"/>
          <a:chExt cx="33655" cy="33655"/>
        </a:xfrm>
      </xdr:grpSpPr>
      <xdr:sp macro="" textlink="">
        <xdr:nvSpPr>
          <xdr:cNvPr id="6298" name="Shape 48">
            <a:extLst>
              <a:ext uri="{FF2B5EF4-FFF2-40B4-BE49-F238E27FC236}">
                <a16:creationId xmlns:a16="http://schemas.microsoft.com/office/drawing/2014/main" id="{D41A6C02-D8F9-29F7-306C-0AC13BD7255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299" name="Shape 49">
            <a:extLst>
              <a:ext uri="{FF2B5EF4-FFF2-40B4-BE49-F238E27FC236}">
                <a16:creationId xmlns:a16="http://schemas.microsoft.com/office/drawing/2014/main" id="{D7F45C95-70AA-3D3E-2D99-2F1227ED843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00" name="Shape 50">
            <a:extLst>
              <a:ext uri="{FF2B5EF4-FFF2-40B4-BE49-F238E27FC236}">
                <a16:creationId xmlns:a16="http://schemas.microsoft.com/office/drawing/2014/main" id="{99C2C1DE-A657-5001-0F8C-1C07D8D73F5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01" name="Shape 51">
            <a:extLst>
              <a:ext uri="{FF2B5EF4-FFF2-40B4-BE49-F238E27FC236}">
                <a16:creationId xmlns:a16="http://schemas.microsoft.com/office/drawing/2014/main" id="{890DD1CE-06EE-A308-4627-19BAA256499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02" name="Shape 52">
            <a:extLst>
              <a:ext uri="{FF2B5EF4-FFF2-40B4-BE49-F238E27FC236}">
                <a16:creationId xmlns:a16="http://schemas.microsoft.com/office/drawing/2014/main" id="{FFA9390E-2B73-C088-785D-A8F3E593A02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03" name="Shape 53">
            <a:extLst>
              <a:ext uri="{FF2B5EF4-FFF2-40B4-BE49-F238E27FC236}">
                <a16:creationId xmlns:a16="http://schemas.microsoft.com/office/drawing/2014/main" id="{00158ABB-01D6-E63C-3C28-BCB47A56F65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04" name="Shape 54">
            <a:extLst>
              <a:ext uri="{FF2B5EF4-FFF2-40B4-BE49-F238E27FC236}">
                <a16:creationId xmlns:a16="http://schemas.microsoft.com/office/drawing/2014/main" id="{F19F1979-84CF-7EA4-94D0-084F868C956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05" name="Shape 55">
            <a:extLst>
              <a:ext uri="{FF2B5EF4-FFF2-40B4-BE49-F238E27FC236}">
                <a16:creationId xmlns:a16="http://schemas.microsoft.com/office/drawing/2014/main" id="{A4CC7A78-845F-2CD9-B293-BAA0E263D8F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06" name="Shape 56">
            <a:extLst>
              <a:ext uri="{FF2B5EF4-FFF2-40B4-BE49-F238E27FC236}">
                <a16:creationId xmlns:a16="http://schemas.microsoft.com/office/drawing/2014/main" id="{003CDA4D-8D87-A283-54CE-92EEDFB46A2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07" name="Shape 57">
            <a:extLst>
              <a:ext uri="{FF2B5EF4-FFF2-40B4-BE49-F238E27FC236}">
                <a16:creationId xmlns:a16="http://schemas.microsoft.com/office/drawing/2014/main" id="{26F647E7-BB39-82EE-A7E0-0B77FC0B8E6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08" name="Shape 58">
            <a:extLst>
              <a:ext uri="{FF2B5EF4-FFF2-40B4-BE49-F238E27FC236}">
                <a16:creationId xmlns:a16="http://schemas.microsoft.com/office/drawing/2014/main" id="{6C679794-1E26-26DF-3188-F15ACF09144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09" name="Shape 59">
            <a:extLst>
              <a:ext uri="{FF2B5EF4-FFF2-40B4-BE49-F238E27FC236}">
                <a16:creationId xmlns:a16="http://schemas.microsoft.com/office/drawing/2014/main" id="{54ABC33E-5918-F338-936A-32C947A15D0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10" name="Shape 60">
            <a:extLst>
              <a:ext uri="{FF2B5EF4-FFF2-40B4-BE49-F238E27FC236}">
                <a16:creationId xmlns:a16="http://schemas.microsoft.com/office/drawing/2014/main" id="{FE8E7C89-21C6-1651-DBCF-C4C54001ECE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11" name="Shape 61">
            <a:extLst>
              <a:ext uri="{FF2B5EF4-FFF2-40B4-BE49-F238E27FC236}">
                <a16:creationId xmlns:a16="http://schemas.microsoft.com/office/drawing/2014/main" id="{22F244AB-C6DB-3CAF-E282-9E568C3BF7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755</xdr:row>
      <xdr:rowOff>3962</xdr:rowOff>
    </xdr:from>
    <xdr:ext cx="33655" cy="33655"/>
    <xdr:grpSp>
      <xdr:nvGrpSpPr>
        <xdr:cNvPr id="6312" name="Group 62">
          <a:extLst>
            <a:ext uri="{FF2B5EF4-FFF2-40B4-BE49-F238E27FC236}">
              <a16:creationId xmlns:a16="http://schemas.microsoft.com/office/drawing/2014/main" id="{5D17FCDF-7711-4CD6-B180-DC508D886F76}"/>
            </a:ext>
          </a:extLst>
        </xdr:cNvPr>
        <xdr:cNvGrpSpPr/>
      </xdr:nvGrpSpPr>
      <xdr:grpSpPr>
        <a:xfrm>
          <a:off x="4603072" y="139399995"/>
          <a:ext cx="33655" cy="33655"/>
          <a:chOff x="0" y="0"/>
          <a:chExt cx="33655" cy="33655"/>
        </a:xfrm>
      </xdr:grpSpPr>
      <xdr:sp macro="" textlink="">
        <xdr:nvSpPr>
          <xdr:cNvPr id="6313" name="Shape 63">
            <a:extLst>
              <a:ext uri="{FF2B5EF4-FFF2-40B4-BE49-F238E27FC236}">
                <a16:creationId xmlns:a16="http://schemas.microsoft.com/office/drawing/2014/main" id="{35850E97-B1BA-8CF5-9880-8FAF674ABD2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14" name="Shape 64">
            <a:extLst>
              <a:ext uri="{FF2B5EF4-FFF2-40B4-BE49-F238E27FC236}">
                <a16:creationId xmlns:a16="http://schemas.microsoft.com/office/drawing/2014/main" id="{3DFDB15D-806D-E2AA-9E18-C27DB7D00D3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15" name="Shape 65">
            <a:extLst>
              <a:ext uri="{FF2B5EF4-FFF2-40B4-BE49-F238E27FC236}">
                <a16:creationId xmlns:a16="http://schemas.microsoft.com/office/drawing/2014/main" id="{9CE89222-47BD-4D16-0723-CD54895DEE2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16" name="Shape 66">
            <a:extLst>
              <a:ext uri="{FF2B5EF4-FFF2-40B4-BE49-F238E27FC236}">
                <a16:creationId xmlns:a16="http://schemas.microsoft.com/office/drawing/2014/main" id="{8F6C5B20-5DB3-A946-1173-08AB917B152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17" name="Shape 67">
            <a:extLst>
              <a:ext uri="{FF2B5EF4-FFF2-40B4-BE49-F238E27FC236}">
                <a16:creationId xmlns:a16="http://schemas.microsoft.com/office/drawing/2014/main" id="{5AF095DC-B24C-9AB3-8664-6525474B1AA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18" name="Shape 68">
            <a:extLst>
              <a:ext uri="{FF2B5EF4-FFF2-40B4-BE49-F238E27FC236}">
                <a16:creationId xmlns:a16="http://schemas.microsoft.com/office/drawing/2014/main" id="{0103A619-554C-0894-0BC5-F32353F116E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19" name="Shape 69">
            <a:extLst>
              <a:ext uri="{FF2B5EF4-FFF2-40B4-BE49-F238E27FC236}">
                <a16:creationId xmlns:a16="http://schemas.microsoft.com/office/drawing/2014/main" id="{F9E233E8-41AC-0815-85EE-57FA05E5C27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20" name="Shape 70">
            <a:extLst>
              <a:ext uri="{FF2B5EF4-FFF2-40B4-BE49-F238E27FC236}">
                <a16:creationId xmlns:a16="http://schemas.microsoft.com/office/drawing/2014/main" id="{160B9FE7-C182-10B8-E453-7F1F861873C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21" name="Shape 71">
            <a:extLst>
              <a:ext uri="{FF2B5EF4-FFF2-40B4-BE49-F238E27FC236}">
                <a16:creationId xmlns:a16="http://schemas.microsoft.com/office/drawing/2014/main" id="{B69E68A0-8B35-E061-972E-A88F3B7C7A6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22" name="Shape 72">
            <a:extLst>
              <a:ext uri="{FF2B5EF4-FFF2-40B4-BE49-F238E27FC236}">
                <a16:creationId xmlns:a16="http://schemas.microsoft.com/office/drawing/2014/main" id="{0C64EB61-5F26-5323-58A2-D5300B4559F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23" name="Shape 73">
            <a:extLst>
              <a:ext uri="{FF2B5EF4-FFF2-40B4-BE49-F238E27FC236}">
                <a16:creationId xmlns:a16="http://schemas.microsoft.com/office/drawing/2014/main" id="{E0E57331-0F36-11B8-3ECB-F4B5F3AA159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24" name="Shape 74">
            <a:extLst>
              <a:ext uri="{FF2B5EF4-FFF2-40B4-BE49-F238E27FC236}">
                <a16:creationId xmlns:a16="http://schemas.microsoft.com/office/drawing/2014/main" id="{29F89757-07A1-DA3F-737A-73B9CD09DD5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25" name="Shape 75">
            <a:extLst>
              <a:ext uri="{FF2B5EF4-FFF2-40B4-BE49-F238E27FC236}">
                <a16:creationId xmlns:a16="http://schemas.microsoft.com/office/drawing/2014/main" id="{C1D3A17C-01BC-5B96-769B-A5C6B4040C5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26" name="Shape 76">
            <a:extLst>
              <a:ext uri="{FF2B5EF4-FFF2-40B4-BE49-F238E27FC236}">
                <a16:creationId xmlns:a16="http://schemas.microsoft.com/office/drawing/2014/main" id="{B245E279-BCEC-10F9-5366-C3AD560E6D0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766</xdr:row>
      <xdr:rowOff>2978</xdr:rowOff>
    </xdr:from>
    <xdr:ext cx="33655" cy="33655"/>
    <xdr:grpSp>
      <xdr:nvGrpSpPr>
        <xdr:cNvPr id="6327" name="Group 2">
          <a:extLst>
            <a:ext uri="{FF2B5EF4-FFF2-40B4-BE49-F238E27FC236}">
              <a16:creationId xmlns:a16="http://schemas.microsoft.com/office/drawing/2014/main" id="{BB45399D-A757-424C-A069-3E21534B9841}"/>
            </a:ext>
          </a:extLst>
        </xdr:cNvPr>
        <xdr:cNvGrpSpPr/>
      </xdr:nvGrpSpPr>
      <xdr:grpSpPr>
        <a:xfrm>
          <a:off x="4603072" y="141385208"/>
          <a:ext cx="33655" cy="33655"/>
          <a:chOff x="0" y="0"/>
          <a:chExt cx="33655" cy="33655"/>
        </a:xfrm>
      </xdr:grpSpPr>
      <xdr:sp macro="" textlink="">
        <xdr:nvSpPr>
          <xdr:cNvPr id="6328" name="Shape 3">
            <a:extLst>
              <a:ext uri="{FF2B5EF4-FFF2-40B4-BE49-F238E27FC236}">
                <a16:creationId xmlns:a16="http://schemas.microsoft.com/office/drawing/2014/main" id="{6A9E7770-B591-5293-A52F-FCEB81F2C4C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29" name="Shape 4">
            <a:extLst>
              <a:ext uri="{FF2B5EF4-FFF2-40B4-BE49-F238E27FC236}">
                <a16:creationId xmlns:a16="http://schemas.microsoft.com/office/drawing/2014/main" id="{5A0BB03C-5208-7A20-2E0E-01012B2ABD1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30" name="Shape 5">
            <a:extLst>
              <a:ext uri="{FF2B5EF4-FFF2-40B4-BE49-F238E27FC236}">
                <a16:creationId xmlns:a16="http://schemas.microsoft.com/office/drawing/2014/main" id="{16007F36-5EEB-564B-9657-C3EB35A2E92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31" name="Shape 6">
            <a:extLst>
              <a:ext uri="{FF2B5EF4-FFF2-40B4-BE49-F238E27FC236}">
                <a16:creationId xmlns:a16="http://schemas.microsoft.com/office/drawing/2014/main" id="{5C1634CE-2303-739F-F5A6-D065D29C73C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32" name="Shape 7">
            <a:extLst>
              <a:ext uri="{FF2B5EF4-FFF2-40B4-BE49-F238E27FC236}">
                <a16:creationId xmlns:a16="http://schemas.microsoft.com/office/drawing/2014/main" id="{C9CDFA9C-1544-4FF0-BB19-C6EE9BDA25E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33" name="Shape 8">
            <a:extLst>
              <a:ext uri="{FF2B5EF4-FFF2-40B4-BE49-F238E27FC236}">
                <a16:creationId xmlns:a16="http://schemas.microsoft.com/office/drawing/2014/main" id="{EAD3FCF4-2AB4-6D15-0F31-25396039AD3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34" name="Shape 9">
            <a:extLst>
              <a:ext uri="{FF2B5EF4-FFF2-40B4-BE49-F238E27FC236}">
                <a16:creationId xmlns:a16="http://schemas.microsoft.com/office/drawing/2014/main" id="{E8AD499E-ABF7-1639-85DF-D6F50BA76AF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35" name="Shape 10">
            <a:extLst>
              <a:ext uri="{FF2B5EF4-FFF2-40B4-BE49-F238E27FC236}">
                <a16:creationId xmlns:a16="http://schemas.microsoft.com/office/drawing/2014/main" id="{15AF0C98-5F72-BF26-C1F5-7C90212D705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36" name="Shape 11">
            <a:extLst>
              <a:ext uri="{FF2B5EF4-FFF2-40B4-BE49-F238E27FC236}">
                <a16:creationId xmlns:a16="http://schemas.microsoft.com/office/drawing/2014/main" id="{AB54ED5B-4438-57A4-62B8-91146FACE7A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37" name="Shape 12">
            <a:extLst>
              <a:ext uri="{FF2B5EF4-FFF2-40B4-BE49-F238E27FC236}">
                <a16:creationId xmlns:a16="http://schemas.microsoft.com/office/drawing/2014/main" id="{E9BC55C2-4A5F-820D-E59D-8750832BD14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38" name="Shape 13">
            <a:extLst>
              <a:ext uri="{FF2B5EF4-FFF2-40B4-BE49-F238E27FC236}">
                <a16:creationId xmlns:a16="http://schemas.microsoft.com/office/drawing/2014/main" id="{799721F1-4FDF-8FBA-10AE-D012952C1E4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39" name="Shape 14">
            <a:extLst>
              <a:ext uri="{FF2B5EF4-FFF2-40B4-BE49-F238E27FC236}">
                <a16:creationId xmlns:a16="http://schemas.microsoft.com/office/drawing/2014/main" id="{D9912D58-1BDC-3895-196B-DB866FFFE66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40" name="Shape 15">
            <a:extLst>
              <a:ext uri="{FF2B5EF4-FFF2-40B4-BE49-F238E27FC236}">
                <a16:creationId xmlns:a16="http://schemas.microsoft.com/office/drawing/2014/main" id="{479FDFDA-49D2-5BB5-B392-1B7D76DBADA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41" name="Shape 16">
            <a:extLst>
              <a:ext uri="{FF2B5EF4-FFF2-40B4-BE49-F238E27FC236}">
                <a16:creationId xmlns:a16="http://schemas.microsoft.com/office/drawing/2014/main" id="{692ECB17-A979-E04C-11B3-8C1E3013951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766</xdr:row>
      <xdr:rowOff>3246</xdr:rowOff>
    </xdr:from>
    <xdr:ext cx="33655" cy="33655"/>
    <xdr:grpSp>
      <xdr:nvGrpSpPr>
        <xdr:cNvPr id="6342" name="Group 17">
          <a:extLst>
            <a:ext uri="{FF2B5EF4-FFF2-40B4-BE49-F238E27FC236}">
              <a16:creationId xmlns:a16="http://schemas.microsoft.com/office/drawing/2014/main" id="{BA7680F9-BA1D-4C1E-A32B-EF855740C8F2}"/>
            </a:ext>
          </a:extLst>
        </xdr:cNvPr>
        <xdr:cNvGrpSpPr/>
      </xdr:nvGrpSpPr>
      <xdr:grpSpPr>
        <a:xfrm>
          <a:off x="4603072" y="141385476"/>
          <a:ext cx="33655" cy="33655"/>
          <a:chOff x="0" y="0"/>
          <a:chExt cx="33655" cy="33655"/>
        </a:xfrm>
      </xdr:grpSpPr>
      <xdr:sp macro="" textlink="">
        <xdr:nvSpPr>
          <xdr:cNvPr id="6343" name="Shape 18">
            <a:extLst>
              <a:ext uri="{FF2B5EF4-FFF2-40B4-BE49-F238E27FC236}">
                <a16:creationId xmlns:a16="http://schemas.microsoft.com/office/drawing/2014/main" id="{0F55D5B9-434F-F88A-4E49-9EAFAFA919D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44" name="Shape 19">
            <a:extLst>
              <a:ext uri="{FF2B5EF4-FFF2-40B4-BE49-F238E27FC236}">
                <a16:creationId xmlns:a16="http://schemas.microsoft.com/office/drawing/2014/main" id="{DE6FB9AE-C45D-BD47-3EB7-E567486BA68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45" name="Shape 20">
            <a:extLst>
              <a:ext uri="{FF2B5EF4-FFF2-40B4-BE49-F238E27FC236}">
                <a16:creationId xmlns:a16="http://schemas.microsoft.com/office/drawing/2014/main" id="{78F6531A-BCD2-A3FA-2D31-3DB8B12964D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46" name="Shape 21">
            <a:extLst>
              <a:ext uri="{FF2B5EF4-FFF2-40B4-BE49-F238E27FC236}">
                <a16:creationId xmlns:a16="http://schemas.microsoft.com/office/drawing/2014/main" id="{29F1F611-BA56-E7CC-98E2-2472A544F3E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47" name="Shape 22">
            <a:extLst>
              <a:ext uri="{FF2B5EF4-FFF2-40B4-BE49-F238E27FC236}">
                <a16:creationId xmlns:a16="http://schemas.microsoft.com/office/drawing/2014/main" id="{0FF99E19-5E38-2EC5-BF3F-99D179D7093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48" name="Shape 23">
            <a:extLst>
              <a:ext uri="{FF2B5EF4-FFF2-40B4-BE49-F238E27FC236}">
                <a16:creationId xmlns:a16="http://schemas.microsoft.com/office/drawing/2014/main" id="{91F35471-1DE7-572F-3166-5EECECB991E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49" name="Shape 24">
            <a:extLst>
              <a:ext uri="{FF2B5EF4-FFF2-40B4-BE49-F238E27FC236}">
                <a16:creationId xmlns:a16="http://schemas.microsoft.com/office/drawing/2014/main" id="{77864CA1-771C-65C7-0A5E-CCB0F7413B7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50" name="Shape 25">
            <a:extLst>
              <a:ext uri="{FF2B5EF4-FFF2-40B4-BE49-F238E27FC236}">
                <a16:creationId xmlns:a16="http://schemas.microsoft.com/office/drawing/2014/main" id="{497224ED-0157-A8CA-ACE9-EC428814379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51" name="Shape 26">
            <a:extLst>
              <a:ext uri="{FF2B5EF4-FFF2-40B4-BE49-F238E27FC236}">
                <a16:creationId xmlns:a16="http://schemas.microsoft.com/office/drawing/2014/main" id="{1ED5B180-6AFC-1385-1C50-43E59D4BDA1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52" name="Shape 27">
            <a:extLst>
              <a:ext uri="{FF2B5EF4-FFF2-40B4-BE49-F238E27FC236}">
                <a16:creationId xmlns:a16="http://schemas.microsoft.com/office/drawing/2014/main" id="{3392EF53-3BFD-A639-CE40-B7F2ABABE19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53" name="Shape 28">
            <a:extLst>
              <a:ext uri="{FF2B5EF4-FFF2-40B4-BE49-F238E27FC236}">
                <a16:creationId xmlns:a16="http://schemas.microsoft.com/office/drawing/2014/main" id="{2389F879-16AA-17F9-A076-45553958BF3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54" name="Shape 29">
            <a:extLst>
              <a:ext uri="{FF2B5EF4-FFF2-40B4-BE49-F238E27FC236}">
                <a16:creationId xmlns:a16="http://schemas.microsoft.com/office/drawing/2014/main" id="{A9FE5BCF-538A-BEF3-9017-F7BED016CF1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55" name="Shape 30">
            <a:extLst>
              <a:ext uri="{FF2B5EF4-FFF2-40B4-BE49-F238E27FC236}">
                <a16:creationId xmlns:a16="http://schemas.microsoft.com/office/drawing/2014/main" id="{94A1AA50-3424-199F-EC3D-A8F93C7371E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56" name="Shape 31">
            <a:extLst>
              <a:ext uri="{FF2B5EF4-FFF2-40B4-BE49-F238E27FC236}">
                <a16:creationId xmlns:a16="http://schemas.microsoft.com/office/drawing/2014/main" id="{B9365058-7882-4A11-0454-F8C8F00C1BC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766</xdr:row>
      <xdr:rowOff>3703</xdr:rowOff>
    </xdr:from>
    <xdr:ext cx="33655" cy="33655"/>
    <xdr:grpSp>
      <xdr:nvGrpSpPr>
        <xdr:cNvPr id="6357" name="Group 32">
          <a:extLst>
            <a:ext uri="{FF2B5EF4-FFF2-40B4-BE49-F238E27FC236}">
              <a16:creationId xmlns:a16="http://schemas.microsoft.com/office/drawing/2014/main" id="{42C57D71-1CEF-4612-83DF-49F1AEDA4609}"/>
            </a:ext>
          </a:extLst>
        </xdr:cNvPr>
        <xdr:cNvGrpSpPr/>
      </xdr:nvGrpSpPr>
      <xdr:grpSpPr>
        <a:xfrm>
          <a:off x="4603072" y="141385933"/>
          <a:ext cx="33655" cy="33655"/>
          <a:chOff x="0" y="0"/>
          <a:chExt cx="33655" cy="33655"/>
        </a:xfrm>
      </xdr:grpSpPr>
      <xdr:sp macro="" textlink="">
        <xdr:nvSpPr>
          <xdr:cNvPr id="6358" name="Shape 33">
            <a:extLst>
              <a:ext uri="{FF2B5EF4-FFF2-40B4-BE49-F238E27FC236}">
                <a16:creationId xmlns:a16="http://schemas.microsoft.com/office/drawing/2014/main" id="{79B340CC-7476-803C-1028-D842027BBBA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59" name="Shape 34">
            <a:extLst>
              <a:ext uri="{FF2B5EF4-FFF2-40B4-BE49-F238E27FC236}">
                <a16:creationId xmlns:a16="http://schemas.microsoft.com/office/drawing/2014/main" id="{29E206F3-C202-9DE6-DB44-111B5170279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60" name="Shape 35">
            <a:extLst>
              <a:ext uri="{FF2B5EF4-FFF2-40B4-BE49-F238E27FC236}">
                <a16:creationId xmlns:a16="http://schemas.microsoft.com/office/drawing/2014/main" id="{0D03201F-C294-7BFB-519A-1B50E8011E8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61" name="Shape 36">
            <a:extLst>
              <a:ext uri="{FF2B5EF4-FFF2-40B4-BE49-F238E27FC236}">
                <a16:creationId xmlns:a16="http://schemas.microsoft.com/office/drawing/2014/main" id="{C1F2B90C-5838-6A7A-D3E2-D7F2CA52AE9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62" name="Shape 37">
            <a:extLst>
              <a:ext uri="{FF2B5EF4-FFF2-40B4-BE49-F238E27FC236}">
                <a16:creationId xmlns:a16="http://schemas.microsoft.com/office/drawing/2014/main" id="{BE1A1E4B-4657-75C5-2894-99DC0F32E39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63" name="Shape 38">
            <a:extLst>
              <a:ext uri="{FF2B5EF4-FFF2-40B4-BE49-F238E27FC236}">
                <a16:creationId xmlns:a16="http://schemas.microsoft.com/office/drawing/2014/main" id="{4F20E5E6-E190-98E5-E937-A0CE9596999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64" name="Shape 39">
            <a:extLst>
              <a:ext uri="{FF2B5EF4-FFF2-40B4-BE49-F238E27FC236}">
                <a16:creationId xmlns:a16="http://schemas.microsoft.com/office/drawing/2014/main" id="{4A05AA1A-4E9C-DFA5-B4DF-4151672838C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65" name="Shape 40">
            <a:extLst>
              <a:ext uri="{FF2B5EF4-FFF2-40B4-BE49-F238E27FC236}">
                <a16:creationId xmlns:a16="http://schemas.microsoft.com/office/drawing/2014/main" id="{7017AB73-81C7-FA47-B05F-8187260C46E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66" name="Shape 41">
            <a:extLst>
              <a:ext uri="{FF2B5EF4-FFF2-40B4-BE49-F238E27FC236}">
                <a16:creationId xmlns:a16="http://schemas.microsoft.com/office/drawing/2014/main" id="{8F25A0F1-C608-ABA8-7176-64A831FBCFE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67" name="Shape 42">
            <a:extLst>
              <a:ext uri="{FF2B5EF4-FFF2-40B4-BE49-F238E27FC236}">
                <a16:creationId xmlns:a16="http://schemas.microsoft.com/office/drawing/2014/main" id="{4E637A6C-6AB2-8F44-18F3-DAAF7813273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68" name="Shape 43">
            <a:extLst>
              <a:ext uri="{FF2B5EF4-FFF2-40B4-BE49-F238E27FC236}">
                <a16:creationId xmlns:a16="http://schemas.microsoft.com/office/drawing/2014/main" id="{A1D20980-11DB-A7E7-F2CB-9A9D07D8651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69" name="Shape 44">
            <a:extLst>
              <a:ext uri="{FF2B5EF4-FFF2-40B4-BE49-F238E27FC236}">
                <a16:creationId xmlns:a16="http://schemas.microsoft.com/office/drawing/2014/main" id="{18AF82EB-BCE2-789C-565A-591BC9C368A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70" name="Shape 45">
            <a:extLst>
              <a:ext uri="{FF2B5EF4-FFF2-40B4-BE49-F238E27FC236}">
                <a16:creationId xmlns:a16="http://schemas.microsoft.com/office/drawing/2014/main" id="{BD07ACDF-C462-22E6-5C7B-625682C7D51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71" name="Shape 46">
            <a:extLst>
              <a:ext uri="{FF2B5EF4-FFF2-40B4-BE49-F238E27FC236}">
                <a16:creationId xmlns:a16="http://schemas.microsoft.com/office/drawing/2014/main" id="{EF44A986-1C1E-280A-E6E1-2AC2B1D6DCD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766</xdr:row>
      <xdr:rowOff>3409</xdr:rowOff>
    </xdr:from>
    <xdr:ext cx="33655" cy="33655"/>
    <xdr:grpSp>
      <xdr:nvGrpSpPr>
        <xdr:cNvPr id="6372" name="Group 47">
          <a:extLst>
            <a:ext uri="{FF2B5EF4-FFF2-40B4-BE49-F238E27FC236}">
              <a16:creationId xmlns:a16="http://schemas.microsoft.com/office/drawing/2014/main" id="{5F7D4475-BAFA-4BDE-A476-60DAB3FDF044}"/>
            </a:ext>
          </a:extLst>
        </xdr:cNvPr>
        <xdr:cNvGrpSpPr/>
      </xdr:nvGrpSpPr>
      <xdr:grpSpPr>
        <a:xfrm>
          <a:off x="4603072" y="141385639"/>
          <a:ext cx="33655" cy="33655"/>
          <a:chOff x="0" y="0"/>
          <a:chExt cx="33655" cy="33655"/>
        </a:xfrm>
      </xdr:grpSpPr>
      <xdr:sp macro="" textlink="">
        <xdr:nvSpPr>
          <xdr:cNvPr id="6373" name="Shape 48">
            <a:extLst>
              <a:ext uri="{FF2B5EF4-FFF2-40B4-BE49-F238E27FC236}">
                <a16:creationId xmlns:a16="http://schemas.microsoft.com/office/drawing/2014/main" id="{F9279464-3481-5E94-B544-2F146B1B963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74" name="Shape 49">
            <a:extLst>
              <a:ext uri="{FF2B5EF4-FFF2-40B4-BE49-F238E27FC236}">
                <a16:creationId xmlns:a16="http://schemas.microsoft.com/office/drawing/2014/main" id="{E66B77A0-4C35-AA06-7D48-00F9EC3FA54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75" name="Shape 50">
            <a:extLst>
              <a:ext uri="{FF2B5EF4-FFF2-40B4-BE49-F238E27FC236}">
                <a16:creationId xmlns:a16="http://schemas.microsoft.com/office/drawing/2014/main" id="{9E4DF2F0-F311-D034-23C4-705CD7491B9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76" name="Shape 51">
            <a:extLst>
              <a:ext uri="{FF2B5EF4-FFF2-40B4-BE49-F238E27FC236}">
                <a16:creationId xmlns:a16="http://schemas.microsoft.com/office/drawing/2014/main" id="{40749696-7799-43F8-CB4B-A4BEDE5E5CE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77" name="Shape 52">
            <a:extLst>
              <a:ext uri="{FF2B5EF4-FFF2-40B4-BE49-F238E27FC236}">
                <a16:creationId xmlns:a16="http://schemas.microsoft.com/office/drawing/2014/main" id="{A9F4F899-B5C7-C0D0-DAB7-5F5DB2E4A9F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78" name="Shape 53">
            <a:extLst>
              <a:ext uri="{FF2B5EF4-FFF2-40B4-BE49-F238E27FC236}">
                <a16:creationId xmlns:a16="http://schemas.microsoft.com/office/drawing/2014/main" id="{62D68808-9ABD-C790-EFA4-39CCB832ACD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79" name="Shape 54">
            <a:extLst>
              <a:ext uri="{FF2B5EF4-FFF2-40B4-BE49-F238E27FC236}">
                <a16:creationId xmlns:a16="http://schemas.microsoft.com/office/drawing/2014/main" id="{BB0EC63B-A546-03B0-2C13-7948115E959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80" name="Shape 55">
            <a:extLst>
              <a:ext uri="{FF2B5EF4-FFF2-40B4-BE49-F238E27FC236}">
                <a16:creationId xmlns:a16="http://schemas.microsoft.com/office/drawing/2014/main" id="{F3F544D3-2FFB-A030-58D8-0B8DFEA005D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81" name="Shape 56">
            <a:extLst>
              <a:ext uri="{FF2B5EF4-FFF2-40B4-BE49-F238E27FC236}">
                <a16:creationId xmlns:a16="http://schemas.microsoft.com/office/drawing/2014/main" id="{2D52A0FC-0147-208E-61EC-7662DC6C2FF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82" name="Shape 57">
            <a:extLst>
              <a:ext uri="{FF2B5EF4-FFF2-40B4-BE49-F238E27FC236}">
                <a16:creationId xmlns:a16="http://schemas.microsoft.com/office/drawing/2014/main" id="{40D01A4C-624C-A28F-9561-800219F6BB1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83" name="Shape 58">
            <a:extLst>
              <a:ext uri="{FF2B5EF4-FFF2-40B4-BE49-F238E27FC236}">
                <a16:creationId xmlns:a16="http://schemas.microsoft.com/office/drawing/2014/main" id="{7AE8C032-B73D-909C-D619-78A87BBBDE1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84" name="Shape 59">
            <a:extLst>
              <a:ext uri="{FF2B5EF4-FFF2-40B4-BE49-F238E27FC236}">
                <a16:creationId xmlns:a16="http://schemas.microsoft.com/office/drawing/2014/main" id="{99050F94-2BEC-202F-C30D-45CAB615CA5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85" name="Shape 60">
            <a:extLst>
              <a:ext uri="{FF2B5EF4-FFF2-40B4-BE49-F238E27FC236}">
                <a16:creationId xmlns:a16="http://schemas.microsoft.com/office/drawing/2014/main" id="{90B741EF-3A35-41C6-541C-6E11EBDA0C1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386" name="Shape 61">
            <a:extLst>
              <a:ext uri="{FF2B5EF4-FFF2-40B4-BE49-F238E27FC236}">
                <a16:creationId xmlns:a16="http://schemas.microsoft.com/office/drawing/2014/main" id="{4A2DFC8D-3871-1DB8-DF6F-06B7085B4EC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766</xdr:row>
      <xdr:rowOff>3962</xdr:rowOff>
    </xdr:from>
    <xdr:ext cx="33655" cy="33655"/>
    <xdr:grpSp>
      <xdr:nvGrpSpPr>
        <xdr:cNvPr id="6387" name="Group 62">
          <a:extLst>
            <a:ext uri="{FF2B5EF4-FFF2-40B4-BE49-F238E27FC236}">
              <a16:creationId xmlns:a16="http://schemas.microsoft.com/office/drawing/2014/main" id="{4A07DC24-D793-444E-AF45-001760E737EB}"/>
            </a:ext>
          </a:extLst>
        </xdr:cNvPr>
        <xdr:cNvGrpSpPr/>
      </xdr:nvGrpSpPr>
      <xdr:grpSpPr>
        <a:xfrm>
          <a:off x="4603072" y="141386192"/>
          <a:ext cx="33655" cy="33655"/>
          <a:chOff x="0" y="0"/>
          <a:chExt cx="33655" cy="33655"/>
        </a:xfrm>
      </xdr:grpSpPr>
      <xdr:sp macro="" textlink="">
        <xdr:nvSpPr>
          <xdr:cNvPr id="6388" name="Shape 63">
            <a:extLst>
              <a:ext uri="{FF2B5EF4-FFF2-40B4-BE49-F238E27FC236}">
                <a16:creationId xmlns:a16="http://schemas.microsoft.com/office/drawing/2014/main" id="{A24D6E48-5C68-AFD0-15DB-8FC1216D7D2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89" name="Shape 64">
            <a:extLst>
              <a:ext uri="{FF2B5EF4-FFF2-40B4-BE49-F238E27FC236}">
                <a16:creationId xmlns:a16="http://schemas.microsoft.com/office/drawing/2014/main" id="{0F0C09EB-14D6-9A52-B703-F97164623D4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90" name="Shape 65">
            <a:extLst>
              <a:ext uri="{FF2B5EF4-FFF2-40B4-BE49-F238E27FC236}">
                <a16:creationId xmlns:a16="http://schemas.microsoft.com/office/drawing/2014/main" id="{EB7C547F-0013-A6A6-78A1-60A1BF0EBB1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91" name="Shape 66">
            <a:extLst>
              <a:ext uri="{FF2B5EF4-FFF2-40B4-BE49-F238E27FC236}">
                <a16:creationId xmlns:a16="http://schemas.microsoft.com/office/drawing/2014/main" id="{7E4862DB-2332-BCDF-E95E-2FD1014F4FF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92" name="Shape 67">
            <a:extLst>
              <a:ext uri="{FF2B5EF4-FFF2-40B4-BE49-F238E27FC236}">
                <a16:creationId xmlns:a16="http://schemas.microsoft.com/office/drawing/2014/main" id="{2C8A1CBE-B47D-6EA7-7436-3727345F226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93" name="Shape 68">
            <a:extLst>
              <a:ext uri="{FF2B5EF4-FFF2-40B4-BE49-F238E27FC236}">
                <a16:creationId xmlns:a16="http://schemas.microsoft.com/office/drawing/2014/main" id="{2AAA258D-D87B-FB8F-BF1B-3E13C5F7FBA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94" name="Shape 69">
            <a:extLst>
              <a:ext uri="{FF2B5EF4-FFF2-40B4-BE49-F238E27FC236}">
                <a16:creationId xmlns:a16="http://schemas.microsoft.com/office/drawing/2014/main" id="{80C91009-DAF9-E6FD-F5D5-484C87B54A2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95" name="Shape 70">
            <a:extLst>
              <a:ext uri="{FF2B5EF4-FFF2-40B4-BE49-F238E27FC236}">
                <a16:creationId xmlns:a16="http://schemas.microsoft.com/office/drawing/2014/main" id="{4E2E49D9-0B03-BBD4-A80F-3D1F8203CE6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96" name="Shape 71">
            <a:extLst>
              <a:ext uri="{FF2B5EF4-FFF2-40B4-BE49-F238E27FC236}">
                <a16:creationId xmlns:a16="http://schemas.microsoft.com/office/drawing/2014/main" id="{F5803CBA-2034-0B18-C776-426AA95C0F4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97" name="Shape 72">
            <a:extLst>
              <a:ext uri="{FF2B5EF4-FFF2-40B4-BE49-F238E27FC236}">
                <a16:creationId xmlns:a16="http://schemas.microsoft.com/office/drawing/2014/main" id="{EB22DE40-AC4A-B56D-C0F5-8F2E0F9A7B5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398" name="Shape 73">
            <a:extLst>
              <a:ext uri="{FF2B5EF4-FFF2-40B4-BE49-F238E27FC236}">
                <a16:creationId xmlns:a16="http://schemas.microsoft.com/office/drawing/2014/main" id="{A2F54B1C-AC33-621A-4188-F56EF332B11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399" name="Shape 74">
            <a:extLst>
              <a:ext uri="{FF2B5EF4-FFF2-40B4-BE49-F238E27FC236}">
                <a16:creationId xmlns:a16="http://schemas.microsoft.com/office/drawing/2014/main" id="{2B86AA8C-6F7D-C335-368E-A2BCF99FBEC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00" name="Shape 75">
            <a:extLst>
              <a:ext uri="{FF2B5EF4-FFF2-40B4-BE49-F238E27FC236}">
                <a16:creationId xmlns:a16="http://schemas.microsoft.com/office/drawing/2014/main" id="{A91F0539-4C71-D209-A693-46CCFC4B4C8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01" name="Shape 76">
            <a:extLst>
              <a:ext uri="{FF2B5EF4-FFF2-40B4-BE49-F238E27FC236}">
                <a16:creationId xmlns:a16="http://schemas.microsoft.com/office/drawing/2014/main" id="{B6629C31-C2C1-182C-D7CD-E32E543C5D6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766</xdr:row>
      <xdr:rowOff>2978</xdr:rowOff>
    </xdr:from>
    <xdr:ext cx="33655" cy="33655"/>
    <xdr:grpSp>
      <xdr:nvGrpSpPr>
        <xdr:cNvPr id="6402" name="Group 2">
          <a:extLst>
            <a:ext uri="{FF2B5EF4-FFF2-40B4-BE49-F238E27FC236}">
              <a16:creationId xmlns:a16="http://schemas.microsoft.com/office/drawing/2014/main" id="{90C61139-6814-450B-874D-2B34FA0E3503}"/>
            </a:ext>
          </a:extLst>
        </xdr:cNvPr>
        <xdr:cNvGrpSpPr/>
      </xdr:nvGrpSpPr>
      <xdr:grpSpPr>
        <a:xfrm>
          <a:off x="4603072" y="141385208"/>
          <a:ext cx="33655" cy="33655"/>
          <a:chOff x="0" y="0"/>
          <a:chExt cx="33655" cy="33655"/>
        </a:xfrm>
      </xdr:grpSpPr>
      <xdr:sp macro="" textlink="">
        <xdr:nvSpPr>
          <xdr:cNvPr id="6403" name="Shape 3">
            <a:extLst>
              <a:ext uri="{FF2B5EF4-FFF2-40B4-BE49-F238E27FC236}">
                <a16:creationId xmlns:a16="http://schemas.microsoft.com/office/drawing/2014/main" id="{BA341AC5-A6D9-EDD2-CF0C-B13A34F5F8F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04" name="Shape 4">
            <a:extLst>
              <a:ext uri="{FF2B5EF4-FFF2-40B4-BE49-F238E27FC236}">
                <a16:creationId xmlns:a16="http://schemas.microsoft.com/office/drawing/2014/main" id="{BE9C5C53-579D-EB71-817A-18A92F8B36C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05" name="Shape 5">
            <a:extLst>
              <a:ext uri="{FF2B5EF4-FFF2-40B4-BE49-F238E27FC236}">
                <a16:creationId xmlns:a16="http://schemas.microsoft.com/office/drawing/2014/main" id="{BDE93B1A-0778-D90E-5156-5AD7A9EF370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06" name="Shape 6">
            <a:extLst>
              <a:ext uri="{FF2B5EF4-FFF2-40B4-BE49-F238E27FC236}">
                <a16:creationId xmlns:a16="http://schemas.microsoft.com/office/drawing/2014/main" id="{717245AB-7485-C2D9-3254-8F49057B542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07" name="Shape 7">
            <a:extLst>
              <a:ext uri="{FF2B5EF4-FFF2-40B4-BE49-F238E27FC236}">
                <a16:creationId xmlns:a16="http://schemas.microsoft.com/office/drawing/2014/main" id="{A05F6C03-3959-8FE7-A9BD-0ED822A32F2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08" name="Shape 8">
            <a:extLst>
              <a:ext uri="{FF2B5EF4-FFF2-40B4-BE49-F238E27FC236}">
                <a16:creationId xmlns:a16="http://schemas.microsoft.com/office/drawing/2014/main" id="{B3647143-760E-4FE0-1680-D18DE9B1AB4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09" name="Shape 9">
            <a:extLst>
              <a:ext uri="{FF2B5EF4-FFF2-40B4-BE49-F238E27FC236}">
                <a16:creationId xmlns:a16="http://schemas.microsoft.com/office/drawing/2014/main" id="{C452ADAC-3ADD-047B-9A72-149B4424C1E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10" name="Shape 10">
            <a:extLst>
              <a:ext uri="{FF2B5EF4-FFF2-40B4-BE49-F238E27FC236}">
                <a16:creationId xmlns:a16="http://schemas.microsoft.com/office/drawing/2014/main" id="{4D1B69BD-9378-E900-FC67-6D921326662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11" name="Shape 11">
            <a:extLst>
              <a:ext uri="{FF2B5EF4-FFF2-40B4-BE49-F238E27FC236}">
                <a16:creationId xmlns:a16="http://schemas.microsoft.com/office/drawing/2014/main" id="{D470CFC7-F76F-D8A9-A30C-912F0885714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12" name="Shape 12">
            <a:extLst>
              <a:ext uri="{FF2B5EF4-FFF2-40B4-BE49-F238E27FC236}">
                <a16:creationId xmlns:a16="http://schemas.microsoft.com/office/drawing/2014/main" id="{412ED2E6-2742-BA4C-C3A1-41F1DDDAF67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13" name="Shape 13">
            <a:extLst>
              <a:ext uri="{FF2B5EF4-FFF2-40B4-BE49-F238E27FC236}">
                <a16:creationId xmlns:a16="http://schemas.microsoft.com/office/drawing/2014/main" id="{AB3C0BF1-C782-BAB3-C0C6-B94C29A2301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14" name="Shape 14">
            <a:extLst>
              <a:ext uri="{FF2B5EF4-FFF2-40B4-BE49-F238E27FC236}">
                <a16:creationId xmlns:a16="http://schemas.microsoft.com/office/drawing/2014/main" id="{FD88D013-D20A-54E5-C93B-9C22C19AA72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15" name="Shape 15">
            <a:extLst>
              <a:ext uri="{FF2B5EF4-FFF2-40B4-BE49-F238E27FC236}">
                <a16:creationId xmlns:a16="http://schemas.microsoft.com/office/drawing/2014/main" id="{67CA198C-1BB4-F8CD-3BE2-D9F454A8A6C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16" name="Shape 16">
            <a:extLst>
              <a:ext uri="{FF2B5EF4-FFF2-40B4-BE49-F238E27FC236}">
                <a16:creationId xmlns:a16="http://schemas.microsoft.com/office/drawing/2014/main" id="{91934349-2289-F52C-1977-C6CA30360F9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766</xdr:row>
      <xdr:rowOff>3246</xdr:rowOff>
    </xdr:from>
    <xdr:ext cx="33655" cy="33655"/>
    <xdr:grpSp>
      <xdr:nvGrpSpPr>
        <xdr:cNvPr id="6417" name="Group 17">
          <a:extLst>
            <a:ext uri="{FF2B5EF4-FFF2-40B4-BE49-F238E27FC236}">
              <a16:creationId xmlns:a16="http://schemas.microsoft.com/office/drawing/2014/main" id="{D1FC743E-CFE4-41E4-BF51-DD5C7CBBAD43}"/>
            </a:ext>
          </a:extLst>
        </xdr:cNvPr>
        <xdr:cNvGrpSpPr/>
      </xdr:nvGrpSpPr>
      <xdr:grpSpPr>
        <a:xfrm>
          <a:off x="4603072" y="141385476"/>
          <a:ext cx="33655" cy="33655"/>
          <a:chOff x="0" y="0"/>
          <a:chExt cx="33655" cy="33655"/>
        </a:xfrm>
      </xdr:grpSpPr>
      <xdr:sp macro="" textlink="">
        <xdr:nvSpPr>
          <xdr:cNvPr id="6418" name="Shape 18">
            <a:extLst>
              <a:ext uri="{FF2B5EF4-FFF2-40B4-BE49-F238E27FC236}">
                <a16:creationId xmlns:a16="http://schemas.microsoft.com/office/drawing/2014/main" id="{30167366-2C1C-BF88-7D48-23D21AE348A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19" name="Shape 19">
            <a:extLst>
              <a:ext uri="{FF2B5EF4-FFF2-40B4-BE49-F238E27FC236}">
                <a16:creationId xmlns:a16="http://schemas.microsoft.com/office/drawing/2014/main" id="{7B87C033-C08D-B4EC-EAFD-9CEB81D45D1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20" name="Shape 20">
            <a:extLst>
              <a:ext uri="{FF2B5EF4-FFF2-40B4-BE49-F238E27FC236}">
                <a16:creationId xmlns:a16="http://schemas.microsoft.com/office/drawing/2014/main" id="{B10E72A3-C7F5-8F90-E4ED-88473262DE5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21" name="Shape 21">
            <a:extLst>
              <a:ext uri="{FF2B5EF4-FFF2-40B4-BE49-F238E27FC236}">
                <a16:creationId xmlns:a16="http://schemas.microsoft.com/office/drawing/2014/main" id="{7C173DF6-0326-ADD1-4B61-83DDF5EBAEC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22" name="Shape 22">
            <a:extLst>
              <a:ext uri="{FF2B5EF4-FFF2-40B4-BE49-F238E27FC236}">
                <a16:creationId xmlns:a16="http://schemas.microsoft.com/office/drawing/2014/main" id="{9515E9C6-0DA3-2685-4F29-A92DB7545BC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23" name="Shape 23">
            <a:extLst>
              <a:ext uri="{FF2B5EF4-FFF2-40B4-BE49-F238E27FC236}">
                <a16:creationId xmlns:a16="http://schemas.microsoft.com/office/drawing/2014/main" id="{FB69FAEC-75BE-475C-A916-50462EAE3A7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24" name="Shape 24">
            <a:extLst>
              <a:ext uri="{FF2B5EF4-FFF2-40B4-BE49-F238E27FC236}">
                <a16:creationId xmlns:a16="http://schemas.microsoft.com/office/drawing/2014/main" id="{C974AD13-62A0-3B71-9111-AEB7F1D5007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25" name="Shape 25">
            <a:extLst>
              <a:ext uri="{FF2B5EF4-FFF2-40B4-BE49-F238E27FC236}">
                <a16:creationId xmlns:a16="http://schemas.microsoft.com/office/drawing/2014/main" id="{9C2EDF9F-7E02-2469-AB9F-04DB69CED06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26" name="Shape 26">
            <a:extLst>
              <a:ext uri="{FF2B5EF4-FFF2-40B4-BE49-F238E27FC236}">
                <a16:creationId xmlns:a16="http://schemas.microsoft.com/office/drawing/2014/main" id="{80412FDB-2207-1941-0475-AE158A55C6B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27" name="Shape 27">
            <a:extLst>
              <a:ext uri="{FF2B5EF4-FFF2-40B4-BE49-F238E27FC236}">
                <a16:creationId xmlns:a16="http://schemas.microsoft.com/office/drawing/2014/main" id="{35092848-69D9-08D3-E5F3-475E18F53A5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28" name="Shape 28">
            <a:extLst>
              <a:ext uri="{FF2B5EF4-FFF2-40B4-BE49-F238E27FC236}">
                <a16:creationId xmlns:a16="http://schemas.microsoft.com/office/drawing/2014/main" id="{306A17D2-DBBA-CC22-D172-8ED357FC1EF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29" name="Shape 29">
            <a:extLst>
              <a:ext uri="{FF2B5EF4-FFF2-40B4-BE49-F238E27FC236}">
                <a16:creationId xmlns:a16="http://schemas.microsoft.com/office/drawing/2014/main" id="{4225F46B-47A7-02D1-E540-119F44F6ACB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30" name="Shape 30">
            <a:extLst>
              <a:ext uri="{FF2B5EF4-FFF2-40B4-BE49-F238E27FC236}">
                <a16:creationId xmlns:a16="http://schemas.microsoft.com/office/drawing/2014/main" id="{3DD79BB1-47E7-A2A6-8CBA-0ABFF3ADC7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31" name="Shape 31">
            <a:extLst>
              <a:ext uri="{FF2B5EF4-FFF2-40B4-BE49-F238E27FC236}">
                <a16:creationId xmlns:a16="http://schemas.microsoft.com/office/drawing/2014/main" id="{664F2E9F-5D78-F3A5-DC36-C38DEF0F48A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766</xdr:row>
      <xdr:rowOff>3703</xdr:rowOff>
    </xdr:from>
    <xdr:ext cx="33655" cy="33655"/>
    <xdr:grpSp>
      <xdr:nvGrpSpPr>
        <xdr:cNvPr id="6432" name="Group 32">
          <a:extLst>
            <a:ext uri="{FF2B5EF4-FFF2-40B4-BE49-F238E27FC236}">
              <a16:creationId xmlns:a16="http://schemas.microsoft.com/office/drawing/2014/main" id="{1EAC36B7-19E4-40AA-872F-6B6A07F9B180}"/>
            </a:ext>
          </a:extLst>
        </xdr:cNvPr>
        <xdr:cNvGrpSpPr/>
      </xdr:nvGrpSpPr>
      <xdr:grpSpPr>
        <a:xfrm>
          <a:off x="4603072" y="141385933"/>
          <a:ext cx="33655" cy="33655"/>
          <a:chOff x="0" y="0"/>
          <a:chExt cx="33655" cy="33655"/>
        </a:xfrm>
      </xdr:grpSpPr>
      <xdr:sp macro="" textlink="">
        <xdr:nvSpPr>
          <xdr:cNvPr id="6433" name="Shape 33">
            <a:extLst>
              <a:ext uri="{FF2B5EF4-FFF2-40B4-BE49-F238E27FC236}">
                <a16:creationId xmlns:a16="http://schemas.microsoft.com/office/drawing/2014/main" id="{6EAB69AE-B773-D25E-F5B8-C46E05F0119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34" name="Shape 34">
            <a:extLst>
              <a:ext uri="{FF2B5EF4-FFF2-40B4-BE49-F238E27FC236}">
                <a16:creationId xmlns:a16="http://schemas.microsoft.com/office/drawing/2014/main" id="{EFD27B6D-A09D-BA3F-8071-ACD09352F76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35" name="Shape 35">
            <a:extLst>
              <a:ext uri="{FF2B5EF4-FFF2-40B4-BE49-F238E27FC236}">
                <a16:creationId xmlns:a16="http://schemas.microsoft.com/office/drawing/2014/main" id="{BD7B28D4-7FB7-3F43-E1E6-F397B8DAF70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36" name="Shape 36">
            <a:extLst>
              <a:ext uri="{FF2B5EF4-FFF2-40B4-BE49-F238E27FC236}">
                <a16:creationId xmlns:a16="http://schemas.microsoft.com/office/drawing/2014/main" id="{D32E72B3-F8A1-9798-EF8C-0E484A04A12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37" name="Shape 37">
            <a:extLst>
              <a:ext uri="{FF2B5EF4-FFF2-40B4-BE49-F238E27FC236}">
                <a16:creationId xmlns:a16="http://schemas.microsoft.com/office/drawing/2014/main" id="{7D2B1A4A-DA19-D50A-2624-D5BDC991F54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38" name="Shape 38">
            <a:extLst>
              <a:ext uri="{FF2B5EF4-FFF2-40B4-BE49-F238E27FC236}">
                <a16:creationId xmlns:a16="http://schemas.microsoft.com/office/drawing/2014/main" id="{9D38AF64-DEBE-B9F8-AC0F-A2317555D8A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39" name="Shape 39">
            <a:extLst>
              <a:ext uri="{FF2B5EF4-FFF2-40B4-BE49-F238E27FC236}">
                <a16:creationId xmlns:a16="http://schemas.microsoft.com/office/drawing/2014/main" id="{1FE15F74-232F-8778-236F-36F8E4A26E8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40" name="Shape 40">
            <a:extLst>
              <a:ext uri="{FF2B5EF4-FFF2-40B4-BE49-F238E27FC236}">
                <a16:creationId xmlns:a16="http://schemas.microsoft.com/office/drawing/2014/main" id="{BF87D042-A61A-EB80-33C3-BD5565130BD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41" name="Shape 41">
            <a:extLst>
              <a:ext uri="{FF2B5EF4-FFF2-40B4-BE49-F238E27FC236}">
                <a16:creationId xmlns:a16="http://schemas.microsoft.com/office/drawing/2014/main" id="{B088836A-3180-383A-C232-99C839E9F39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42" name="Shape 42">
            <a:extLst>
              <a:ext uri="{FF2B5EF4-FFF2-40B4-BE49-F238E27FC236}">
                <a16:creationId xmlns:a16="http://schemas.microsoft.com/office/drawing/2014/main" id="{FFBD97EE-A709-2B6C-646C-7D3A4296757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43" name="Shape 43">
            <a:extLst>
              <a:ext uri="{FF2B5EF4-FFF2-40B4-BE49-F238E27FC236}">
                <a16:creationId xmlns:a16="http://schemas.microsoft.com/office/drawing/2014/main" id="{499EA411-847E-122E-872F-3A24960D748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44" name="Shape 44">
            <a:extLst>
              <a:ext uri="{FF2B5EF4-FFF2-40B4-BE49-F238E27FC236}">
                <a16:creationId xmlns:a16="http://schemas.microsoft.com/office/drawing/2014/main" id="{E1059EDD-4805-AC28-3101-D4DDF99A088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45" name="Shape 45">
            <a:extLst>
              <a:ext uri="{FF2B5EF4-FFF2-40B4-BE49-F238E27FC236}">
                <a16:creationId xmlns:a16="http://schemas.microsoft.com/office/drawing/2014/main" id="{819ED4E8-EDEC-A54C-ECA1-ACD15933C31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46" name="Shape 46">
            <a:extLst>
              <a:ext uri="{FF2B5EF4-FFF2-40B4-BE49-F238E27FC236}">
                <a16:creationId xmlns:a16="http://schemas.microsoft.com/office/drawing/2014/main" id="{8410C998-B455-DC16-430B-2771287B334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766</xdr:row>
      <xdr:rowOff>3409</xdr:rowOff>
    </xdr:from>
    <xdr:ext cx="33655" cy="33655"/>
    <xdr:grpSp>
      <xdr:nvGrpSpPr>
        <xdr:cNvPr id="6447" name="Group 47">
          <a:extLst>
            <a:ext uri="{FF2B5EF4-FFF2-40B4-BE49-F238E27FC236}">
              <a16:creationId xmlns:a16="http://schemas.microsoft.com/office/drawing/2014/main" id="{8BBFCFCB-5105-4FBD-8C82-2744C968FD49}"/>
            </a:ext>
          </a:extLst>
        </xdr:cNvPr>
        <xdr:cNvGrpSpPr/>
      </xdr:nvGrpSpPr>
      <xdr:grpSpPr>
        <a:xfrm>
          <a:off x="4603072" y="141385639"/>
          <a:ext cx="33655" cy="33655"/>
          <a:chOff x="0" y="0"/>
          <a:chExt cx="33655" cy="33655"/>
        </a:xfrm>
      </xdr:grpSpPr>
      <xdr:sp macro="" textlink="">
        <xdr:nvSpPr>
          <xdr:cNvPr id="6448" name="Shape 48">
            <a:extLst>
              <a:ext uri="{FF2B5EF4-FFF2-40B4-BE49-F238E27FC236}">
                <a16:creationId xmlns:a16="http://schemas.microsoft.com/office/drawing/2014/main" id="{72B01F17-F4C9-31BA-1FC7-CB8BDB28BB2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49" name="Shape 49">
            <a:extLst>
              <a:ext uri="{FF2B5EF4-FFF2-40B4-BE49-F238E27FC236}">
                <a16:creationId xmlns:a16="http://schemas.microsoft.com/office/drawing/2014/main" id="{DBCC2124-4E87-179B-0892-599064CEEEC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50" name="Shape 50">
            <a:extLst>
              <a:ext uri="{FF2B5EF4-FFF2-40B4-BE49-F238E27FC236}">
                <a16:creationId xmlns:a16="http://schemas.microsoft.com/office/drawing/2014/main" id="{2EA61C7B-08A8-82F1-0AC3-C1D7323E42D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51" name="Shape 51">
            <a:extLst>
              <a:ext uri="{FF2B5EF4-FFF2-40B4-BE49-F238E27FC236}">
                <a16:creationId xmlns:a16="http://schemas.microsoft.com/office/drawing/2014/main" id="{495B5A5E-2273-E374-F7C2-4739E298B0D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52" name="Shape 52">
            <a:extLst>
              <a:ext uri="{FF2B5EF4-FFF2-40B4-BE49-F238E27FC236}">
                <a16:creationId xmlns:a16="http://schemas.microsoft.com/office/drawing/2014/main" id="{F26B3811-FC58-B63C-7606-18E47BACF16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53" name="Shape 53">
            <a:extLst>
              <a:ext uri="{FF2B5EF4-FFF2-40B4-BE49-F238E27FC236}">
                <a16:creationId xmlns:a16="http://schemas.microsoft.com/office/drawing/2014/main" id="{B1FD5089-6CB1-27F6-A099-18E1B0740C9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54" name="Shape 54">
            <a:extLst>
              <a:ext uri="{FF2B5EF4-FFF2-40B4-BE49-F238E27FC236}">
                <a16:creationId xmlns:a16="http://schemas.microsoft.com/office/drawing/2014/main" id="{AD1803F4-8753-125D-4221-35ADDF59939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55" name="Shape 55">
            <a:extLst>
              <a:ext uri="{FF2B5EF4-FFF2-40B4-BE49-F238E27FC236}">
                <a16:creationId xmlns:a16="http://schemas.microsoft.com/office/drawing/2014/main" id="{2C48723D-50FC-B7B8-11A4-00C580CCA43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56" name="Shape 56">
            <a:extLst>
              <a:ext uri="{FF2B5EF4-FFF2-40B4-BE49-F238E27FC236}">
                <a16:creationId xmlns:a16="http://schemas.microsoft.com/office/drawing/2014/main" id="{019E4DE4-7A56-501B-68B5-827B3EF9960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57" name="Shape 57">
            <a:extLst>
              <a:ext uri="{FF2B5EF4-FFF2-40B4-BE49-F238E27FC236}">
                <a16:creationId xmlns:a16="http://schemas.microsoft.com/office/drawing/2014/main" id="{C04D2486-A7E6-7CB3-9CBF-493130DCC44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58" name="Shape 58">
            <a:extLst>
              <a:ext uri="{FF2B5EF4-FFF2-40B4-BE49-F238E27FC236}">
                <a16:creationId xmlns:a16="http://schemas.microsoft.com/office/drawing/2014/main" id="{7BFE9C85-BDF2-7307-B287-33FD4DE7646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59" name="Shape 59">
            <a:extLst>
              <a:ext uri="{FF2B5EF4-FFF2-40B4-BE49-F238E27FC236}">
                <a16:creationId xmlns:a16="http://schemas.microsoft.com/office/drawing/2014/main" id="{636989C1-4429-6E88-039F-3EC3927BA69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60" name="Shape 60">
            <a:extLst>
              <a:ext uri="{FF2B5EF4-FFF2-40B4-BE49-F238E27FC236}">
                <a16:creationId xmlns:a16="http://schemas.microsoft.com/office/drawing/2014/main" id="{2E5CA6B7-72A1-0390-3604-C1C61F86B52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61" name="Shape 61">
            <a:extLst>
              <a:ext uri="{FF2B5EF4-FFF2-40B4-BE49-F238E27FC236}">
                <a16:creationId xmlns:a16="http://schemas.microsoft.com/office/drawing/2014/main" id="{E84BDC55-D9EE-683A-E8F2-9E32C0F7358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766</xdr:row>
      <xdr:rowOff>3962</xdr:rowOff>
    </xdr:from>
    <xdr:ext cx="33655" cy="33655"/>
    <xdr:grpSp>
      <xdr:nvGrpSpPr>
        <xdr:cNvPr id="6462" name="Group 62">
          <a:extLst>
            <a:ext uri="{FF2B5EF4-FFF2-40B4-BE49-F238E27FC236}">
              <a16:creationId xmlns:a16="http://schemas.microsoft.com/office/drawing/2014/main" id="{0360DAE3-B085-4926-B20A-2D800C3F9D5F}"/>
            </a:ext>
          </a:extLst>
        </xdr:cNvPr>
        <xdr:cNvGrpSpPr/>
      </xdr:nvGrpSpPr>
      <xdr:grpSpPr>
        <a:xfrm>
          <a:off x="4603072" y="141386192"/>
          <a:ext cx="33655" cy="33655"/>
          <a:chOff x="0" y="0"/>
          <a:chExt cx="33655" cy="33655"/>
        </a:xfrm>
      </xdr:grpSpPr>
      <xdr:sp macro="" textlink="">
        <xdr:nvSpPr>
          <xdr:cNvPr id="6463" name="Shape 63">
            <a:extLst>
              <a:ext uri="{FF2B5EF4-FFF2-40B4-BE49-F238E27FC236}">
                <a16:creationId xmlns:a16="http://schemas.microsoft.com/office/drawing/2014/main" id="{3E160E1F-749C-31F5-E8E5-EFE5B678455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64" name="Shape 64">
            <a:extLst>
              <a:ext uri="{FF2B5EF4-FFF2-40B4-BE49-F238E27FC236}">
                <a16:creationId xmlns:a16="http://schemas.microsoft.com/office/drawing/2014/main" id="{771E3AB2-5BC6-BE2B-1F2A-01869C7B758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65" name="Shape 65">
            <a:extLst>
              <a:ext uri="{FF2B5EF4-FFF2-40B4-BE49-F238E27FC236}">
                <a16:creationId xmlns:a16="http://schemas.microsoft.com/office/drawing/2014/main" id="{37310EEE-F8D6-5FA4-C452-5AE23BDA280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66" name="Shape 66">
            <a:extLst>
              <a:ext uri="{FF2B5EF4-FFF2-40B4-BE49-F238E27FC236}">
                <a16:creationId xmlns:a16="http://schemas.microsoft.com/office/drawing/2014/main" id="{FADD5B60-9FF4-FF00-39B1-73E1F0D4CB7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67" name="Shape 67">
            <a:extLst>
              <a:ext uri="{FF2B5EF4-FFF2-40B4-BE49-F238E27FC236}">
                <a16:creationId xmlns:a16="http://schemas.microsoft.com/office/drawing/2014/main" id="{D6BEDF34-6E25-7F79-461E-FA6AED49CF9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68" name="Shape 68">
            <a:extLst>
              <a:ext uri="{FF2B5EF4-FFF2-40B4-BE49-F238E27FC236}">
                <a16:creationId xmlns:a16="http://schemas.microsoft.com/office/drawing/2014/main" id="{D03994B4-3B4F-3D9A-FA9F-871C35C7D14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69" name="Shape 69">
            <a:extLst>
              <a:ext uri="{FF2B5EF4-FFF2-40B4-BE49-F238E27FC236}">
                <a16:creationId xmlns:a16="http://schemas.microsoft.com/office/drawing/2014/main" id="{804AAE4E-BCCD-2EAD-A950-9B2E640D962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70" name="Shape 70">
            <a:extLst>
              <a:ext uri="{FF2B5EF4-FFF2-40B4-BE49-F238E27FC236}">
                <a16:creationId xmlns:a16="http://schemas.microsoft.com/office/drawing/2014/main" id="{244ECC2C-628E-3F9F-C213-49A391625A6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71" name="Shape 71">
            <a:extLst>
              <a:ext uri="{FF2B5EF4-FFF2-40B4-BE49-F238E27FC236}">
                <a16:creationId xmlns:a16="http://schemas.microsoft.com/office/drawing/2014/main" id="{2E34EB3B-8964-8226-C7B8-F3F8E295DA4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72" name="Shape 72">
            <a:extLst>
              <a:ext uri="{FF2B5EF4-FFF2-40B4-BE49-F238E27FC236}">
                <a16:creationId xmlns:a16="http://schemas.microsoft.com/office/drawing/2014/main" id="{60186D12-307D-D3C5-67D8-495B6017F37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73" name="Shape 73">
            <a:extLst>
              <a:ext uri="{FF2B5EF4-FFF2-40B4-BE49-F238E27FC236}">
                <a16:creationId xmlns:a16="http://schemas.microsoft.com/office/drawing/2014/main" id="{7D692E88-8E3D-BAD8-CA91-371904A5782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74" name="Shape 74">
            <a:extLst>
              <a:ext uri="{FF2B5EF4-FFF2-40B4-BE49-F238E27FC236}">
                <a16:creationId xmlns:a16="http://schemas.microsoft.com/office/drawing/2014/main" id="{33324ADD-2BEE-923D-AFF1-C811C122993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75" name="Shape 75">
            <a:extLst>
              <a:ext uri="{FF2B5EF4-FFF2-40B4-BE49-F238E27FC236}">
                <a16:creationId xmlns:a16="http://schemas.microsoft.com/office/drawing/2014/main" id="{651863F9-64E8-C5CB-1618-1F916811369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476" name="Shape 76">
            <a:extLst>
              <a:ext uri="{FF2B5EF4-FFF2-40B4-BE49-F238E27FC236}">
                <a16:creationId xmlns:a16="http://schemas.microsoft.com/office/drawing/2014/main" id="{7CB2A4F3-DFC5-4D25-0CC4-99B1AB0C095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777</xdr:row>
      <xdr:rowOff>2978</xdr:rowOff>
    </xdr:from>
    <xdr:ext cx="33655" cy="33655"/>
    <xdr:grpSp>
      <xdr:nvGrpSpPr>
        <xdr:cNvPr id="6477" name="Group 2">
          <a:extLst>
            <a:ext uri="{FF2B5EF4-FFF2-40B4-BE49-F238E27FC236}">
              <a16:creationId xmlns:a16="http://schemas.microsoft.com/office/drawing/2014/main" id="{9BA9F118-803D-42CC-990A-07C371116FD3}"/>
            </a:ext>
          </a:extLst>
        </xdr:cNvPr>
        <xdr:cNvGrpSpPr/>
      </xdr:nvGrpSpPr>
      <xdr:grpSpPr>
        <a:xfrm>
          <a:off x="4603072" y="143371404"/>
          <a:ext cx="33655" cy="33655"/>
          <a:chOff x="0" y="0"/>
          <a:chExt cx="33655" cy="33655"/>
        </a:xfrm>
      </xdr:grpSpPr>
      <xdr:sp macro="" textlink="">
        <xdr:nvSpPr>
          <xdr:cNvPr id="6478" name="Shape 3">
            <a:extLst>
              <a:ext uri="{FF2B5EF4-FFF2-40B4-BE49-F238E27FC236}">
                <a16:creationId xmlns:a16="http://schemas.microsoft.com/office/drawing/2014/main" id="{DD3C2A78-7214-0093-15D0-E980E8C7A14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79" name="Shape 4">
            <a:extLst>
              <a:ext uri="{FF2B5EF4-FFF2-40B4-BE49-F238E27FC236}">
                <a16:creationId xmlns:a16="http://schemas.microsoft.com/office/drawing/2014/main" id="{B65445CA-4D8A-39BA-D156-4F4C4C1753C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80" name="Shape 5">
            <a:extLst>
              <a:ext uri="{FF2B5EF4-FFF2-40B4-BE49-F238E27FC236}">
                <a16:creationId xmlns:a16="http://schemas.microsoft.com/office/drawing/2014/main" id="{E07046A8-3181-E593-7A8F-8E5739C4BCA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81" name="Shape 6">
            <a:extLst>
              <a:ext uri="{FF2B5EF4-FFF2-40B4-BE49-F238E27FC236}">
                <a16:creationId xmlns:a16="http://schemas.microsoft.com/office/drawing/2014/main" id="{F082420D-22DE-9870-88EC-92946C10EE0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82" name="Shape 7">
            <a:extLst>
              <a:ext uri="{FF2B5EF4-FFF2-40B4-BE49-F238E27FC236}">
                <a16:creationId xmlns:a16="http://schemas.microsoft.com/office/drawing/2014/main" id="{D3D516A1-0BF6-AC4F-7BF6-59061D05F8A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83" name="Shape 8">
            <a:extLst>
              <a:ext uri="{FF2B5EF4-FFF2-40B4-BE49-F238E27FC236}">
                <a16:creationId xmlns:a16="http://schemas.microsoft.com/office/drawing/2014/main" id="{4F5484CB-E837-29C7-2FC6-96EFB9F2E8C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84" name="Shape 9">
            <a:extLst>
              <a:ext uri="{FF2B5EF4-FFF2-40B4-BE49-F238E27FC236}">
                <a16:creationId xmlns:a16="http://schemas.microsoft.com/office/drawing/2014/main" id="{CCE06F2C-8C69-4071-EDA1-42854CCF714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85" name="Shape 10">
            <a:extLst>
              <a:ext uri="{FF2B5EF4-FFF2-40B4-BE49-F238E27FC236}">
                <a16:creationId xmlns:a16="http://schemas.microsoft.com/office/drawing/2014/main" id="{843533B5-D208-22E4-6D40-59410B500CD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86" name="Shape 11">
            <a:extLst>
              <a:ext uri="{FF2B5EF4-FFF2-40B4-BE49-F238E27FC236}">
                <a16:creationId xmlns:a16="http://schemas.microsoft.com/office/drawing/2014/main" id="{18D04746-EF04-7925-B0B4-258EB7B0725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87" name="Shape 12">
            <a:extLst>
              <a:ext uri="{FF2B5EF4-FFF2-40B4-BE49-F238E27FC236}">
                <a16:creationId xmlns:a16="http://schemas.microsoft.com/office/drawing/2014/main" id="{7B79C79B-8080-22DA-E58D-0D1708CC5DF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88" name="Shape 13">
            <a:extLst>
              <a:ext uri="{FF2B5EF4-FFF2-40B4-BE49-F238E27FC236}">
                <a16:creationId xmlns:a16="http://schemas.microsoft.com/office/drawing/2014/main" id="{44321869-A0A5-D474-040A-8E121F64FF3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89" name="Shape 14">
            <a:extLst>
              <a:ext uri="{FF2B5EF4-FFF2-40B4-BE49-F238E27FC236}">
                <a16:creationId xmlns:a16="http://schemas.microsoft.com/office/drawing/2014/main" id="{65167B39-54B3-3F82-6F61-83173126C3E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90" name="Shape 15">
            <a:extLst>
              <a:ext uri="{FF2B5EF4-FFF2-40B4-BE49-F238E27FC236}">
                <a16:creationId xmlns:a16="http://schemas.microsoft.com/office/drawing/2014/main" id="{25A24ECB-8381-D13B-0841-5EF4784AA54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91" name="Shape 16">
            <a:extLst>
              <a:ext uri="{FF2B5EF4-FFF2-40B4-BE49-F238E27FC236}">
                <a16:creationId xmlns:a16="http://schemas.microsoft.com/office/drawing/2014/main" id="{71887985-883B-24A2-49D4-F62BDD05A4E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777</xdr:row>
      <xdr:rowOff>3246</xdr:rowOff>
    </xdr:from>
    <xdr:ext cx="33655" cy="33655"/>
    <xdr:grpSp>
      <xdr:nvGrpSpPr>
        <xdr:cNvPr id="6492" name="Group 17">
          <a:extLst>
            <a:ext uri="{FF2B5EF4-FFF2-40B4-BE49-F238E27FC236}">
              <a16:creationId xmlns:a16="http://schemas.microsoft.com/office/drawing/2014/main" id="{419AB0C1-B3F5-48B4-A0C0-2F56E120F855}"/>
            </a:ext>
          </a:extLst>
        </xdr:cNvPr>
        <xdr:cNvGrpSpPr/>
      </xdr:nvGrpSpPr>
      <xdr:grpSpPr>
        <a:xfrm>
          <a:off x="4603072" y="143371672"/>
          <a:ext cx="33655" cy="33655"/>
          <a:chOff x="0" y="0"/>
          <a:chExt cx="33655" cy="33655"/>
        </a:xfrm>
      </xdr:grpSpPr>
      <xdr:sp macro="" textlink="">
        <xdr:nvSpPr>
          <xdr:cNvPr id="6493" name="Shape 18">
            <a:extLst>
              <a:ext uri="{FF2B5EF4-FFF2-40B4-BE49-F238E27FC236}">
                <a16:creationId xmlns:a16="http://schemas.microsoft.com/office/drawing/2014/main" id="{D39A1383-AECE-1056-97EA-7D325AB2454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94" name="Shape 19">
            <a:extLst>
              <a:ext uri="{FF2B5EF4-FFF2-40B4-BE49-F238E27FC236}">
                <a16:creationId xmlns:a16="http://schemas.microsoft.com/office/drawing/2014/main" id="{CC4D6F5E-1E70-AB0A-C2FA-01254A4CD65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95" name="Shape 20">
            <a:extLst>
              <a:ext uri="{FF2B5EF4-FFF2-40B4-BE49-F238E27FC236}">
                <a16:creationId xmlns:a16="http://schemas.microsoft.com/office/drawing/2014/main" id="{22A92A83-13F8-E741-4D09-18466CC1B61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96" name="Shape 21">
            <a:extLst>
              <a:ext uri="{FF2B5EF4-FFF2-40B4-BE49-F238E27FC236}">
                <a16:creationId xmlns:a16="http://schemas.microsoft.com/office/drawing/2014/main" id="{26BF2DB1-F82B-7F6A-C19A-3879A6E2760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97" name="Shape 22">
            <a:extLst>
              <a:ext uri="{FF2B5EF4-FFF2-40B4-BE49-F238E27FC236}">
                <a16:creationId xmlns:a16="http://schemas.microsoft.com/office/drawing/2014/main" id="{2712D35A-8007-4E2F-6DC4-C5953F88EA5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498" name="Shape 23">
            <a:extLst>
              <a:ext uri="{FF2B5EF4-FFF2-40B4-BE49-F238E27FC236}">
                <a16:creationId xmlns:a16="http://schemas.microsoft.com/office/drawing/2014/main" id="{8EE319CD-DCB6-7A50-5117-97EEBBA2A17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499" name="Shape 24">
            <a:extLst>
              <a:ext uri="{FF2B5EF4-FFF2-40B4-BE49-F238E27FC236}">
                <a16:creationId xmlns:a16="http://schemas.microsoft.com/office/drawing/2014/main" id="{8378DC71-9E87-E54E-EA50-24AEDEDC05B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00" name="Shape 25">
            <a:extLst>
              <a:ext uri="{FF2B5EF4-FFF2-40B4-BE49-F238E27FC236}">
                <a16:creationId xmlns:a16="http://schemas.microsoft.com/office/drawing/2014/main" id="{3128494E-2DFE-7EEC-FA4F-96CB450DB17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01" name="Shape 26">
            <a:extLst>
              <a:ext uri="{FF2B5EF4-FFF2-40B4-BE49-F238E27FC236}">
                <a16:creationId xmlns:a16="http://schemas.microsoft.com/office/drawing/2014/main" id="{F5A2CFE2-7499-B4A0-B69C-E3128620389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02" name="Shape 27">
            <a:extLst>
              <a:ext uri="{FF2B5EF4-FFF2-40B4-BE49-F238E27FC236}">
                <a16:creationId xmlns:a16="http://schemas.microsoft.com/office/drawing/2014/main" id="{C329A69B-4BFC-9361-A367-A2AE533CB50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03" name="Shape 28">
            <a:extLst>
              <a:ext uri="{FF2B5EF4-FFF2-40B4-BE49-F238E27FC236}">
                <a16:creationId xmlns:a16="http://schemas.microsoft.com/office/drawing/2014/main" id="{FBBBE196-8481-4623-F0D3-EC45A9C7655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04" name="Shape 29">
            <a:extLst>
              <a:ext uri="{FF2B5EF4-FFF2-40B4-BE49-F238E27FC236}">
                <a16:creationId xmlns:a16="http://schemas.microsoft.com/office/drawing/2014/main" id="{8668DD51-6C05-5405-0B12-7ACC0ABCC20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05" name="Shape 30">
            <a:extLst>
              <a:ext uri="{FF2B5EF4-FFF2-40B4-BE49-F238E27FC236}">
                <a16:creationId xmlns:a16="http://schemas.microsoft.com/office/drawing/2014/main" id="{7E1CFFB9-8C1B-86FF-82F8-62C9ECEA6CF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06" name="Shape 31">
            <a:extLst>
              <a:ext uri="{FF2B5EF4-FFF2-40B4-BE49-F238E27FC236}">
                <a16:creationId xmlns:a16="http://schemas.microsoft.com/office/drawing/2014/main" id="{4AEC9709-5001-C753-6759-90B224C7F78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777</xdr:row>
      <xdr:rowOff>3703</xdr:rowOff>
    </xdr:from>
    <xdr:ext cx="33655" cy="33655"/>
    <xdr:grpSp>
      <xdr:nvGrpSpPr>
        <xdr:cNvPr id="6507" name="Group 32">
          <a:extLst>
            <a:ext uri="{FF2B5EF4-FFF2-40B4-BE49-F238E27FC236}">
              <a16:creationId xmlns:a16="http://schemas.microsoft.com/office/drawing/2014/main" id="{DEDC450D-A5BD-4617-B95A-210EF2088D19}"/>
            </a:ext>
          </a:extLst>
        </xdr:cNvPr>
        <xdr:cNvGrpSpPr/>
      </xdr:nvGrpSpPr>
      <xdr:grpSpPr>
        <a:xfrm>
          <a:off x="4603072" y="143372129"/>
          <a:ext cx="33655" cy="33655"/>
          <a:chOff x="0" y="0"/>
          <a:chExt cx="33655" cy="33655"/>
        </a:xfrm>
      </xdr:grpSpPr>
      <xdr:sp macro="" textlink="">
        <xdr:nvSpPr>
          <xdr:cNvPr id="6508" name="Shape 33">
            <a:extLst>
              <a:ext uri="{FF2B5EF4-FFF2-40B4-BE49-F238E27FC236}">
                <a16:creationId xmlns:a16="http://schemas.microsoft.com/office/drawing/2014/main" id="{DFA7C544-1AE3-D4A3-8DA9-DFA76987615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09" name="Shape 34">
            <a:extLst>
              <a:ext uri="{FF2B5EF4-FFF2-40B4-BE49-F238E27FC236}">
                <a16:creationId xmlns:a16="http://schemas.microsoft.com/office/drawing/2014/main" id="{FCE7F050-B757-8D0B-079A-49EF5698F88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10" name="Shape 35">
            <a:extLst>
              <a:ext uri="{FF2B5EF4-FFF2-40B4-BE49-F238E27FC236}">
                <a16:creationId xmlns:a16="http://schemas.microsoft.com/office/drawing/2014/main" id="{05CC7A64-9337-71F3-D32A-2B971EE6B0A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11" name="Shape 36">
            <a:extLst>
              <a:ext uri="{FF2B5EF4-FFF2-40B4-BE49-F238E27FC236}">
                <a16:creationId xmlns:a16="http://schemas.microsoft.com/office/drawing/2014/main" id="{5E9C89E4-4451-CF6B-D4D5-B8541B7272C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12" name="Shape 37">
            <a:extLst>
              <a:ext uri="{FF2B5EF4-FFF2-40B4-BE49-F238E27FC236}">
                <a16:creationId xmlns:a16="http://schemas.microsoft.com/office/drawing/2014/main" id="{751DDE6D-6A2A-DB60-3887-5766512DE22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13" name="Shape 38">
            <a:extLst>
              <a:ext uri="{FF2B5EF4-FFF2-40B4-BE49-F238E27FC236}">
                <a16:creationId xmlns:a16="http://schemas.microsoft.com/office/drawing/2014/main" id="{F4E0D5FD-DBE4-5773-431B-BB7C54100FF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14" name="Shape 39">
            <a:extLst>
              <a:ext uri="{FF2B5EF4-FFF2-40B4-BE49-F238E27FC236}">
                <a16:creationId xmlns:a16="http://schemas.microsoft.com/office/drawing/2014/main" id="{141A740A-2677-997E-FAB0-0B548E703F0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15" name="Shape 40">
            <a:extLst>
              <a:ext uri="{FF2B5EF4-FFF2-40B4-BE49-F238E27FC236}">
                <a16:creationId xmlns:a16="http://schemas.microsoft.com/office/drawing/2014/main" id="{74A56A51-0498-1754-A77C-211E8669A06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16" name="Shape 41">
            <a:extLst>
              <a:ext uri="{FF2B5EF4-FFF2-40B4-BE49-F238E27FC236}">
                <a16:creationId xmlns:a16="http://schemas.microsoft.com/office/drawing/2014/main" id="{2E728FBA-9B65-BF2B-B470-D619BEB0219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17" name="Shape 42">
            <a:extLst>
              <a:ext uri="{FF2B5EF4-FFF2-40B4-BE49-F238E27FC236}">
                <a16:creationId xmlns:a16="http://schemas.microsoft.com/office/drawing/2014/main" id="{D61405A9-92EC-90D7-0CD4-8E545107B14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18" name="Shape 43">
            <a:extLst>
              <a:ext uri="{FF2B5EF4-FFF2-40B4-BE49-F238E27FC236}">
                <a16:creationId xmlns:a16="http://schemas.microsoft.com/office/drawing/2014/main" id="{A4B5CA5E-FABB-5948-B257-5C9FA29B39C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19" name="Shape 44">
            <a:extLst>
              <a:ext uri="{FF2B5EF4-FFF2-40B4-BE49-F238E27FC236}">
                <a16:creationId xmlns:a16="http://schemas.microsoft.com/office/drawing/2014/main" id="{6A98E223-A16C-B570-0D03-A2575E3C340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20" name="Shape 45">
            <a:extLst>
              <a:ext uri="{FF2B5EF4-FFF2-40B4-BE49-F238E27FC236}">
                <a16:creationId xmlns:a16="http://schemas.microsoft.com/office/drawing/2014/main" id="{4A3181A9-301F-3C58-4900-6E1CA8D9E67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21" name="Shape 46">
            <a:extLst>
              <a:ext uri="{FF2B5EF4-FFF2-40B4-BE49-F238E27FC236}">
                <a16:creationId xmlns:a16="http://schemas.microsoft.com/office/drawing/2014/main" id="{CE0E3E37-9B11-C7D5-0863-92D5A04F952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777</xdr:row>
      <xdr:rowOff>3409</xdr:rowOff>
    </xdr:from>
    <xdr:ext cx="33655" cy="33655"/>
    <xdr:grpSp>
      <xdr:nvGrpSpPr>
        <xdr:cNvPr id="6522" name="Group 47">
          <a:extLst>
            <a:ext uri="{FF2B5EF4-FFF2-40B4-BE49-F238E27FC236}">
              <a16:creationId xmlns:a16="http://schemas.microsoft.com/office/drawing/2014/main" id="{202BE0E7-CFE0-4720-BC3C-9FEE5592C1BA}"/>
            </a:ext>
          </a:extLst>
        </xdr:cNvPr>
        <xdr:cNvGrpSpPr/>
      </xdr:nvGrpSpPr>
      <xdr:grpSpPr>
        <a:xfrm>
          <a:off x="4603072" y="143371835"/>
          <a:ext cx="33655" cy="33655"/>
          <a:chOff x="0" y="0"/>
          <a:chExt cx="33655" cy="33655"/>
        </a:xfrm>
      </xdr:grpSpPr>
      <xdr:sp macro="" textlink="">
        <xdr:nvSpPr>
          <xdr:cNvPr id="6523" name="Shape 48">
            <a:extLst>
              <a:ext uri="{FF2B5EF4-FFF2-40B4-BE49-F238E27FC236}">
                <a16:creationId xmlns:a16="http://schemas.microsoft.com/office/drawing/2014/main" id="{9BF92B23-4A2F-065A-6646-5728D492DE0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24" name="Shape 49">
            <a:extLst>
              <a:ext uri="{FF2B5EF4-FFF2-40B4-BE49-F238E27FC236}">
                <a16:creationId xmlns:a16="http://schemas.microsoft.com/office/drawing/2014/main" id="{9C87104A-96EF-E67D-51EC-CD16B37E11E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25" name="Shape 50">
            <a:extLst>
              <a:ext uri="{FF2B5EF4-FFF2-40B4-BE49-F238E27FC236}">
                <a16:creationId xmlns:a16="http://schemas.microsoft.com/office/drawing/2014/main" id="{6B050214-9DC7-0671-5C14-A47642E3112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26" name="Shape 51">
            <a:extLst>
              <a:ext uri="{FF2B5EF4-FFF2-40B4-BE49-F238E27FC236}">
                <a16:creationId xmlns:a16="http://schemas.microsoft.com/office/drawing/2014/main" id="{B84DBD30-1D09-F645-33EC-FC546EF94DF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27" name="Shape 52">
            <a:extLst>
              <a:ext uri="{FF2B5EF4-FFF2-40B4-BE49-F238E27FC236}">
                <a16:creationId xmlns:a16="http://schemas.microsoft.com/office/drawing/2014/main" id="{666CF43E-4FDE-4B01-20E9-CE97D4E8E41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28" name="Shape 53">
            <a:extLst>
              <a:ext uri="{FF2B5EF4-FFF2-40B4-BE49-F238E27FC236}">
                <a16:creationId xmlns:a16="http://schemas.microsoft.com/office/drawing/2014/main" id="{D1708134-C375-51CD-B092-EE81F437681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29" name="Shape 54">
            <a:extLst>
              <a:ext uri="{FF2B5EF4-FFF2-40B4-BE49-F238E27FC236}">
                <a16:creationId xmlns:a16="http://schemas.microsoft.com/office/drawing/2014/main" id="{A5D72769-D433-0AF0-4605-8817B3D78B8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30" name="Shape 55">
            <a:extLst>
              <a:ext uri="{FF2B5EF4-FFF2-40B4-BE49-F238E27FC236}">
                <a16:creationId xmlns:a16="http://schemas.microsoft.com/office/drawing/2014/main" id="{BA523B92-FAB0-C4AA-67E9-1FA1B85317E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31" name="Shape 56">
            <a:extLst>
              <a:ext uri="{FF2B5EF4-FFF2-40B4-BE49-F238E27FC236}">
                <a16:creationId xmlns:a16="http://schemas.microsoft.com/office/drawing/2014/main" id="{62549175-C01C-4DF3-A2AD-44DE076A8C5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32" name="Shape 57">
            <a:extLst>
              <a:ext uri="{FF2B5EF4-FFF2-40B4-BE49-F238E27FC236}">
                <a16:creationId xmlns:a16="http://schemas.microsoft.com/office/drawing/2014/main" id="{173BFCE5-DCE2-BDA2-AE85-B64400A8545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33" name="Shape 58">
            <a:extLst>
              <a:ext uri="{FF2B5EF4-FFF2-40B4-BE49-F238E27FC236}">
                <a16:creationId xmlns:a16="http://schemas.microsoft.com/office/drawing/2014/main" id="{3288DE84-98EE-E157-5AB6-C97B70F7FBE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34" name="Shape 59">
            <a:extLst>
              <a:ext uri="{FF2B5EF4-FFF2-40B4-BE49-F238E27FC236}">
                <a16:creationId xmlns:a16="http://schemas.microsoft.com/office/drawing/2014/main" id="{35BD53DC-8ADA-EA5C-FA87-16042A9F96B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35" name="Shape 60">
            <a:extLst>
              <a:ext uri="{FF2B5EF4-FFF2-40B4-BE49-F238E27FC236}">
                <a16:creationId xmlns:a16="http://schemas.microsoft.com/office/drawing/2014/main" id="{C77B2075-2828-26D3-D83A-5E5D85D5E0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36" name="Shape 61">
            <a:extLst>
              <a:ext uri="{FF2B5EF4-FFF2-40B4-BE49-F238E27FC236}">
                <a16:creationId xmlns:a16="http://schemas.microsoft.com/office/drawing/2014/main" id="{DEA1A5AD-09C0-F279-748A-34AC2C88C21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777</xdr:row>
      <xdr:rowOff>3962</xdr:rowOff>
    </xdr:from>
    <xdr:ext cx="33655" cy="33655"/>
    <xdr:grpSp>
      <xdr:nvGrpSpPr>
        <xdr:cNvPr id="6537" name="Group 62">
          <a:extLst>
            <a:ext uri="{FF2B5EF4-FFF2-40B4-BE49-F238E27FC236}">
              <a16:creationId xmlns:a16="http://schemas.microsoft.com/office/drawing/2014/main" id="{1DC57FDF-4034-4287-BB13-CA13B68D9F2B}"/>
            </a:ext>
          </a:extLst>
        </xdr:cNvPr>
        <xdr:cNvGrpSpPr/>
      </xdr:nvGrpSpPr>
      <xdr:grpSpPr>
        <a:xfrm>
          <a:off x="4603072" y="143372388"/>
          <a:ext cx="33655" cy="33655"/>
          <a:chOff x="0" y="0"/>
          <a:chExt cx="33655" cy="33655"/>
        </a:xfrm>
      </xdr:grpSpPr>
      <xdr:sp macro="" textlink="">
        <xdr:nvSpPr>
          <xdr:cNvPr id="6538" name="Shape 63">
            <a:extLst>
              <a:ext uri="{FF2B5EF4-FFF2-40B4-BE49-F238E27FC236}">
                <a16:creationId xmlns:a16="http://schemas.microsoft.com/office/drawing/2014/main" id="{7220F64C-9B33-037B-7AC8-A6206DABEEC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39" name="Shape 64">
            <a:extLst>
              <a:ext uri="{FF2B5EF4-FFF2-40B4-BE49-F238E27FC236}">
                <a16:creationId xmlns:a16="http://schemas.microsoft.com/office/drawing/2014/main" id="{AC531B9D-8AEB-25D5-D683-4EEC372B81D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540" name="Shape 65">
            <a:extLst>
              <a:ext uri="{FF2B5EF4-FFF2-40B4-BE49-F238E27FC236}">
                <a16:creationId xmlns:a16="http://schemas.microsoft.com/office/drawing/2014/main" id="{C1F11744-3657-199C-514D-57C40EFFB48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41" name="Shape 66">
            <a:extLst>
              <a:ext uri="{FF2B5EF4-FFF2-40B4-BE49-F238E27FC236}">
                <a16:creationId xmlns:a16="http://schemas.microsoft.com/office/drawing/2014/main" id="{2D06065E-669C-79F0-1312-499BB95B09B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542" name="Shape 67">
            <a:extLst>
              <a:ext uri="{FF2B5EF4-FFF2-40B4-BE49-F238E27FC236}">
                <a16:creationId xmlns:a16="http://schemas.microsoft.com/office/drawing/2014/main" id="{C43A8026-A3F9-7039-D724-5F4147E040E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43" name="Shape 68">
            <a:extLst>
              <a:ext uri="{FF2B5EF4-FFF2-40B4-BE49-F238E27FC236}">
                <a16:creationId xmlns:a16="http://schemas.microsoft.com/office/drawing/2014/main" id="{3E5D037A-C583-658F-AE9C-8DDA934B9F4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544" name="Shape 69">
            <a:extLst>
              <a:ext uri="{FF2B5EF4-FFF2-40B4-BE49-F238E27FC236}">
                <a16:creationId xmlns:a16="http://schemas.microsoft.com/office/drawing/2014/main" id="{940320DA-3BC6-446A-28BF-F0897A07049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45" name="Shape 70">
            <a:extLst>
              <a:ext uri="{FF2B5EF4-FFF2-40B4-BE49-F238E27FC236}">
                <a16:creationId xmlns:a16="http://schemas.microsoft.com/office/drawing/2014/main" id="{88E48188-E004-FAC8-9045-546768C7EB2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546" name="Shape 71">
            <a:extLst>
              <a:ext uri="{FF2B5EF4-FFF2-40B4-BE49-F238E27FC236}">
                <a16:creationId xmlns:a16="http://schemas.microsoft.com/office/drawing/2014/main" id="{5AD74922-FADA-B1FF-E956-ACF0666A32F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47" name="Shape 72">
            <a:extLst>
              <a:ext uri="{FF2B5EF4-FFF2-40B4-BE49-F238E27FC236}">
                <a16:creationId xmlns:a16="http://schemas.microsoft.com/office/drawing/2014/main" id="{3D51729A-2776-B552-8DA7-C15320C66B6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548" name="Shape 73">
            <a:extLst>
              <a:ext uri="{FF2B5EF4-FFF2-40B4-BE49-F238E27FC236}">
                <a16:creationId xmlns:a16="http://schemas.microsoft.com/office/drawing/2014/main" id="{D5D56AAC-8D75-A825-CB91-52573374440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49" name="Shape 74">
            <a:extLst>
              <a:ext uri="{FF2B5EF4-FFF2-40B4-BE49-F238E27FC236}">
                <a16:creationId xmlns:a16="http://schemas.microsoft.com/office/drawing/2014/main" id="{FD1C71DC-9675-C5EB-5619-13FC1C1B905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550" name="Shape 75">
            <a:extLst>
              <a:ext uri="{FF2B5EF4-FFF2-40B4-BE49-F238E27FC236}">
                <a16:creationId xmlns:a16="http://schemas.microsoft.com/office/drawing/2014/main" id="{F9A7F37B-5E22-5212-75FD-0535F0F2194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551" name="Shape 76">
            <a:extLst>
              <a:ext uri="{FF2B5EF4-FFF2-40B4-BE49-F238E27FC236}">
                <a16:creationId xmlns:a16="http://schemas.microsoft.com/office/drawing/2014/main" id="{F0431F0D-E753-BF02-D0F4-85AEAFC8FA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777</xdr:row>
      <xdr:rowOff>2978</xdr:rowOff>
    </xdr:from>
    <xdr:ext cx="33655" cy="33655"/>
    <xdr:grpSp>
      <xdr:nvGrpSpPr>
        <xdr:cNvPr id="6552" name="Group 2">
          <a:extLst>
            <a:ext uri="{FF2B5EF4-FFF2-40B4-BE49-F238E27FC236}">
              <a16:creationId xmlns:a16="http://schemas.microsoft.com/office/drawing/2014/main" id="{7728F8F1-7FEE-481B-A4AF-471BF6306C00}"/>
            </a:ext>
          </a:extLst>
        </xdr:cNvPr>
        <xdr:cNvGrpSpPr/>
      </xdr:nvGrpSpPr>
      <xdr:grpSpPr>
        <a:xfrm>
          <a:off x="4603072" y="143371404"/>
          <a:ext cx="33655" cy="33655"/>
          <a:chOff x="0" y="0"/>
          <a:chExt cx="33655" cy="33655"/>
        </a:xfrm>
      </xdr:grpSpPr>
      <xdr:sp macro="" textlink="">
        <xdr:nvSpPr>
          <xdr:cNvPr id="6553" name="Shape 3">
            <a:extLst>
              <a:ext uri="{FF2B5EF4-FFF2-40B4-BE49-F238E27FC236}">
                <a16:creationId xmlns:a16="http://schemas.microsoft.com/office/drawing/2014/main" id="{76C866A7-473B-D0DA-64FF-95C1583B4F0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54" name="Shape 4">
            <a:extLst>
              <a:ext uri="{FF2B5EF4-FFF2-40B4-BE49-F238E27FC236}">
                <a16:creationId xmlns:a16="http://schemas.microsoft.com/office/drawing/2014/main" id="{F90EF30A-D703-65A0-BA0B-43416AB3A0B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55" name="Shape 5">
            <a:extLst>
              <a:ext uri="{FF2B5EF4-FFF2-40B4-BE49-F238E27FC236}">
                <a16:creationId xmlns:a16="http://schemas.microsoft.com/office/drawing/2014/main" id="{96418766-B42F-63D6-F1E9-8222BE82D11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56" name="Shape 6">
            <a:extLst>
              <a:ext uri="{FF2B5EF4-FFF2-40B4-BE49-F238E27FC236}">
                <a16:creationId xmlns:a16="http://schemas.microsoft.com/office/drawing/2014/main" id="{1005AEDF-87C8-DAF7-B25E-1D3D0745F93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57" name="Shape 7">
            <a:extLst>
              <a:ext uri="{FF2B5EF4-FFF2-40B4-BE49-F238E27FC236}">
                <a16:creationId xmlns:a16="http://schemas.microsoft.com/office/drawing/2014/main" id="{D4ED649A-8005-F948-3DC7-C123A71420A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58" name="Shape 8">
            <a:extLst>
              <a:ext uri="{FF2B5EF4-FFF2-40B4-BE49-F238E27FC236}">
                <a16:creationId xmlns:a16="http://schemas.microsoft.com/office/drawing/2014/main" id="{D1B8AF95-7872-6F8F-0E65-37CD77B548B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59" name="Shape 9">
            <a:extLst>
              <a:ext uri="{FF2B5EF4-FFF2-40B4-BE49-F238E27FC236}">
                <a16:creationId xmlns:a16="http://schemas.microsoft.com/office/drawing/2014/main" id="{E86CB25F-D253-1945-7C10-9AA8DD991EF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60" name="Shape 10">
            <a:extLst>
              <a:ext uri="{FF2B5EF4-FFF2-40B4-BE49-F238E27FC236}">
                <a16:creationId xmlns:a16="http://schemas.microsoft.com/office/drawing/2014/main" id="{E8509654-3E69-826B-8D90-40808D6B9E8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61" name="Shape 11">
            <a:extLst>
              <a:ext uri="{FF2B5EF4-FFF2-40B4-BE49-F238E27FC236}">
                <a16:creationId xmlns:a16="http://schemas.microsoft.com/office/drawing/2014/main" id="{0003E5F0-42DF-766C-A503-BBE5C202995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62" name="Shape 12">
            <a:extLst>
              <a:ext uri="{FF2B5EF4-FFF2-40B4-BE49-F238E27FC236}">
                <a16:creationId xmlns:a16="http://schemas.microsoft.com/office/drawing/2014/main" id="{3D02E759-9E7D-DFCC-53C9-F0D09E8DFF9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63" name="Shape 13">
            <a:extLst>
              <a:ext uri="{FF2B5EF4-FFF2-40B4-BE49-F238E27FC236}">
                <a16:creationId xmlns:a16="http://schemas.microsoft.com/office/drawing/2014/main" id="{3F101473-BA40-BF83-AF18-7036EF4E2F4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64" name="Shape 14">
            <a:extLst>
              <a:ext uri="{FF2B5EF4-FFF2-40B4-BE49-F238E27FC236}">
                <a16:creationId xmlns:a16="http://schemas.microsoft.com/office/drawing/2014/main" id="{0CDC2714-EE04-952C-B13C-EBDD100D998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65" name="Shape 15">
            <a:extLst>
              <a:ext uri="{FF2B5EF4-FFF2-40B4-BE49-F238E27FC236}">
                <a16:creationId xmlns:a16="http://schemas.microsoft.com/office/drawing/2014/main" id="{81762C09-2FC4-9488-4E6F-66AB74CB679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66" name="Shape 16">
            <a:extLst>
              <a:ext uri="{FF2B5EF4-FFF2-40B4-BE49-F238E27FC236}">
                <a16:creationId xmlns:a16="http://schemas.microsoft.com/office/drawing/2014/main" id="{48BA3FEC-C55D-8AEF-78AD-FAE78B3FF41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777</xdr:row>
      <xdr:rowOff>3246</xdr:rowOff>
    </xdr:from>
    <xdr:ext cx="33655" cy="33655"/>
    <xdr:grpSp>
      <xdr:nvGrpSpPr>
        <xdr:cNvPr id="6567" name="Group 17">
          <a:extLst>
            <a:ext uri="{FF2B5EF4-FFF2-40B4-BE49-F238E27FC236}">
              <a16:creationId xmlns:a16="http://schemas.microsoft.com/office/drawing/2014/main" id="{5FC890EB-3495-4B79-960F-DB8A6B981C16}"/>
            </a:ext>
          </a:extLst>
        </xdr:cNvPr>
        <xdr:cNvGrpSpPr/>
      </xdr:nvGrpSpPr>
      <xdr:grpSpPr>
        <a:xfrm>
          <a:off x="4603072" y="143371672"/>
          <a:ext cx="33655" cy="33655"/>
          <a:chOff x="0" y="0"/>
          <a:chExt cx="33655" cy="33655"/>
        </a:xfrm>
      </xdr:grpSpPr>
      <xdr:sp macro="" textlink="">
        <xdr:nvSpPr>
          <xdr:cNvPr id="6568" name="Shape 18">
            <a:extLst>
              <a:ext uri="{FF2B5EF4-FFF2-40B4-BE49-F238E27FC236}">
                <a16:creationId xmlns:a16="http://schemas.microsoft.com/office/drawing/2014/main" id="{AAAD643E-3F47-A6E1-E2A4-9A2ABB73056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69" name="Shape 19">
            <a:extLst>
              <a:ext uri="{FF2B5EF4-FFF2-40B4-BE49-F238E27FC236}">
                <a16:creationId xmlns:a16="http://schemas.microsoft.com/office/drawing/2014/main" id="{FFD5C498-FFA2-E6C5-CD78-EFC1F4FEAAB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70" name="Shape 20">
            <a:extLst>
              <a:ext uri="{FF2B5EF4-FFF2-40B4-BE49-F238E27FC236}">
                <a16:creationId xmlns:a16="http://schemas.microsoft.com/office/drawing/2014/main" id="{3EB74C18-9F1C-416B-5841-54BF2AF2E60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71" name="Shape 21">
            <a:extLst>
              <a:ext uri="{FF2B5EF4-FFF2-40B4-BE49-F238E27FC236}">
                <a16:creationId xmlns:a16="http://schemas.microsoft.com/office/drawing/2014/main" id="{FB725132-BBAE-47E9-CF21-F8BB2F286A3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72" name="Shape 22">
            <a:extLst>
              <a:ext uri="{FF2B5EF4-FFF2-40B4-BE49-F238E27FC236}">
                <a16:creationId xmlns:a16="http://schemas.microsoft.com/office/drawing/2014/main" id="{A607BE1B-8964-05A3-73E8-8BD65595BCD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73" name="Shape 23">
            <a:extLst>
              <a:ext uri="{FF2B5EF4-FFF2-40B4-BE49-F238E27FC236}">
                <a16:creationId xmlns:a16="http://schemas.microsoft.com/office/drawing/2014/main" id="{9E586190-FCC4-8A7A-8402-2B09B8877BD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74" name="Shape 24">
            <a:extLst>
              <a:ext uri="{FF2B5EF4-FFF2-40B4-BE49-F238E27FC236}">
                <a16:creationId xmlns:a16="http://schemas.microsoft.com/office/drawing/2014/main" id="{DD603ECC-F90D-20A8-F1A6-AC585E990D8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75" name="Shape 25">
            <a:extLst>
              <a:ext uri="{FF2B5EF4-FFF2-40B4-BE49-F238E27FC236}">
                <a16:creationId xmlns:a16="http://schemas.microsoft.com/office/drawing/2014/main" id="{88BF5669-480F-F209-9A9F-42C1CDBA986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76" name="Shape 26">
            <a:extLst>
              <a:ext uri="{FF2B5EF4-FFF2-40B4-BE49-F238E27FC236}">
                <a16:creationId xmlns:a16="http://schemas.microsoft.com/office/drawing/2014/main" id="{A03C32D8-BE04-F7DA-5D34-D193AA2CDCD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77" name="Shape 27">
            <a:extLst>
              <a:ext uri="{FF2B5EF4-FFF2-40B4-BE49-F238E27FC236}">
                <a16:creationId xmlns:a16="http://schemas.microsoft.com/office/drawing/2014/main" id="{B1AA3A6C-32D9-C5F1-6FD7-EDAD540F266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78" name="Shape 28">
            <a:extLst>
              <a:ext uri="{FF2B5EF4-FFF2-40B4-BE49-F238E27FC236}">
                <a16:creationId xmlns:a16="http://schemas.microsoft.com/office/drawing/2014/main" id="{2F703189-8AC2-9EF6-6AA7-0D49EDEBBD6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79" name="Shape 29">
            <a:extLst>
              <a:ext uri="{FF2B5EF4-FFF2-40B4-BE49-F238E27FC236}">
                <a16:creationId xmlns:a16="http://schemas.microsoft.com/office/drawing/2014/main" id="{B2E20544-B962-8CE2-4065-C9C9D0D5D58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80" name="Shape 30">
            <a:extLst>
              <a:ext uri="{FF2B5EF4-FFF2-40B4-BE49-F238E27FC236}">
                <a16:creationId xmlns:a16="http://schemas.microsoft.com/office/drawing/2014/main" id="{0635ECB8-43A9-F336-1002-7B336EB23CC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81" name="Shape 31">
            <a:extLst>
              <a:ext uri="{FF2B5EF4-FFF2-40B4-BE49-F238E27FC236}">
                <a16:creationId xmlns:a16="http://schemas.microsoft.com/office/drawing/2014/main" id="{C3641555-0AE0-54C5-A090-24F4BF05191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777</xdr:row>
      <xdr:rowOff>3703</xdr:rowOff>
    </xdr:from>
    <xdr:ext cx="33655" cy="33655"/>
    <xdr:grpSp>
      <xdr:nvGrpSpPr>
        <xdr:cNvPr id="6582" name="Group 32">
          <a:extLst>
            <a:ext uri="{FF2B5EF4-FFF2-40B4-BE49-F238E27FC236}">
              <a16:creationId xmlns:a16="http://schemas.microsoft.com/office/drawing/2014/main" id="{75EFCB62-50FA-4743-AB21-5048A6499554}"/>
            </a:ext>
          </a:extLst>
        </xdr:cNvPr>
        <xdr:cNvGrpSpPr/>
      </xdr:nvGrpSpPr>
      <xdr:grpSpPr>
        <a:xfrm>
          <a:off x="4603072" y="143372129"/>
          <a:ext cx="33655" cy="33655"/>
          <a:chOff x="0" y="0"/>
          <a:chExt cx="33655" cy="33655"/>
        </a:xfrm>
      </xdr:grpSpPr>
      <xdr:sp macro="" textlink="">
        <xdr:nvSpPr>
          <xdr:cNvPr id="6583" name="Shape 33">
            <a:extLst>
              <a:ext uri="{FF2B5EF4-FFF2-40B4-BE49-F238E27FC236}">
                <a16:creationId xmlns:a16="http://schemas.microsoft.com/office/drawing/2014/main" id="{05784B42-DA3F-A62C-F511-BECE499BEA8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84" name="Shape 34">
            <a:extLst>
              <a:ext uri="{FF2B5EF4-FFF2-40B4-BE49-F238E27FC236}">
                <a16:creationId xmlns:a16="http://schemas.microsoft.com/office/drawing/2014/main" id="{8D018D90-12F3-1753-C6C6-A44685FB276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85" name="Shape 35">
            <a:extLst>
              <a:ext uri="{FF2B5EF4-FFF2-40B4-BE49-F238E27FC236}">
                <a16:creationId xmlns:a16="http://schemas.microsoft.com/office/drawing/2014/main" id="{F47EE4D2-6292-F9BB-69CD-A007B676A50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86" name="Shape 36">
            <a:extLst>
              <a:ext uri="{FF2B5EF4-FFF2-40B4-BE49-F238E27FC236}">
                <a16:creationId xmlns:a16="http://schemas.microsoft.com/office/drawing/2014/main" id="{1A36DBC7-E755-2945-A47D-BE9D079CCCC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87" name="Shape 37">
            <a:extLst>
              <a:ext uri="{FF2B5EF4-FFF2-40B4-BE49-F238E27FC236}">
                <a16:creationId xmlns:a16="http://schemas.microsoft.com/office/drawing/2014/main" id="{972E3AA7-022D-1BCF-6D06-C7940873AA0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88" name="Shape 38">
            <a:extLst>
              <a:ext uri="{FF2B5EF4-FFF2-40B4-BE49-F238E27FC236}">
                <a16:creationId xmlns:a16="http://schemas.microsoft.com/office/drawing/2014/main" id="{124C7312-8292-A9DD-981F-4C3AE7655DF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89" name="Shape 39">
            <a:extLst>
              <a:ext uri="{FF2B5EF4-FFF2-40B4-BE49-F238E27FC236}">
                <a16:creationId xmlns:a16="http://schemas.microsoft.com/office/drawing/2014/main" id="{3929E412-F1D8-AC65-68B9-5AAD9C22ED0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90" name="Shape 40">
            <a:extLst>
              <a:ext uri="{FF2B5EF4-FFF2-40B4-BE49-F238E27FC236}">
                <a16:creationId xmlns:a16="http://schemas.microsoft.com/office/drawing/2014/main" id="{20DAF6C7-61BB-4A52-2DF4-2C6A9273391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91" name="Shape 41">
            <a:extLst>
              <a:ext uri="{FF2B5EF4-FFF2-40B4-BE49-F238E27FC236}">
                <a16:creationId xmlns:a16="http://schemas.microsoft.com/office/drawing/2014/main" id="{BC137621-943F-0506-B127-EE5779AFF2D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92" name="Shape 42">
            <a:extLst>
              <a:ext uri="{FF2B5EF4-FFF2-40B4-BE49-F238E27FC236}">
                <a16:creationId xmlns:a16="http://schemas.microsoft.com/office/drawing/2014/main" id="{61810FCF-A2AB-DCCE-DBE4-8054AD264D8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93" name="Shape 43">
            <a:extLst>
              <a:ext uri="{FF2B5EF4-FFF2-40B4-BE49-F238E27FC236}">
                <a16:creationId xmlns:a16="http://schemas.microsoft.com/office/drawing/2014/main" id="{AEDE0C2C-9B87-5808-D03A-7F8A1E77977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94" name="Shape 44">
            <a:extLst>
              <a:ext uri="{FF2B5EF4-FFF2-40B4-BE49-F238E27FC236}">
                <a16:creationId xmlns:a16="http://schemas.microsoft.com/office/drawing/2014/main" id="{EBE08BBC-0712-2977-E016-271251E737D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95" name="Shape 45">
            <a:extLst>
              <a:ext uri="{FF2B5EF4-FFF2-40B4-BE49-F238E27FC236}">
                <a16:creationId xmlns:a16="http://schemas.microsoft.com/office/drawing/2014/main" id="{590D5C17-7BD6-3D5C-1BCF-6EE8E12126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596" name="Shape 46">
            <a:extLst>
              <a:ext uri="{FF2B5EF4-FFF2-40B4-BE49-F238E27FC236}">
                <a16:creationId xmlns:a16="http://schemas.microsoft.com/office/drawing/2014/main" id="{B071E7EF-1BBA-937A-C6AA-DC62564AE18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777</xdr:row>
      <xdr:rowOff>3409</xdr:rowOff>
    </xdr:from>
    <xdr:ext cx="33655" cy="33655"/>
    <xdr:grpSp>
      <xdr:nvGrpSpPr>
        <xdr:cNvPr id="6597" name="Group 47">
          <a:extLst>
            <a:ext uri="{FF2B5EF4-FFF2-40B4-BE49-F238E27FC236}">
              <a16:creationId xmlns:a16="http://schemas.microsoft.com/office/drawing/2014/main" id="{2FB3BFB5-5E3C-4528-B1C4-D61830588B24}"/>
            </a:ext>
          </a:extLst>
        </xdr:cNvPr>
        <xdr:cNvGrpSpPr/>
      </xdr:nvGrpSpPr>
      <xdr:grpSpPr>
        <a:xfrm>
          <a:off x="4603072" y="143371835"/>
          <a:ext cx="33655" cy="33655"/>
          <a:chOff x="0" y="0"/>
          <a:chExt cx="33655" cy="33655"/>
        </a:xfrm>
      </xdr:grpSpPr>
      <xdr:sp macro="" textlink="">
        <xdr:nvSpPr>
          <xdr:cNvPr id="6598" name="Shape 48">
            <a:extLst>
              <a:ext uri="{FF2B5EF4-FFF2-40B4-BE49-F238E27FC236}">
                <a16:creationId xmlns:a16="http://schemas.microsoft.com/office/drawing/2014/main" id="{89246295-CF87-7B19-D754-CDEF2D40715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599" name="Shape 49">
            <a:extLst>
              <a:ext uri="{FF2B5EF4-FFF2-40B4-BE49-F238E27FC236}">
                <a16:creationId xmlns:a16="http://schemas.microsoft.com/office/drawing/2014/main" id="{1190215B-5079-C4BD-20D8-45A09950CEB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00" name="Shape 50">
            <a:extLst>
              <a:ext uri="{FF2B5EF4-FFF2-40B4-BE49-F238E27FC236}">
                <a16:creationId xmlns:a16="http://schemas.microsoft.com/office/drawing/2014/main" id="{F834B0DF-7711-58D5-A933-C96F6C32369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01" name="Shape 51">
            <a:extLst>
              <a:ext uri="{FF2B5EF4-FFF2-40B4-BE49-F238E27FC236}">
                <a16:creationId xmlns:a16="http://schemas.microsoft.com/office/drawing/2014/main" id="{7170CF9E-B52B-7975-EBA3-303E4F9D69A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02" name="Shape 52">
            <a:extLst>
              <a:ext uri="{FF2B5EF4-FFF2-40B4-BE49-F238E27FC236}">
                <a16:creationId xmlns:a16="http://schemas.microsoft.com/office/drawing/2014/main" id="{F85E4909-C343-7B21-563B-D99EEC1958A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03" name="Shape 53">
            <a:extLst>
              <a:ext uri="{FF2B5EF4-FFF2-40B4-BE49-F238E27FC236}">
                <a16:creationId xmlns:a16="http://schemas.microsoft.com/office/drawing/2014/main" id="{51C1D1E5-8D33-D759-B704-F5FD6CA9203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04" name="Shape 54">
            <a:extLst>
              <a:ext uri="{FF2B5EF4-FFF2-40B4-BE49-F238E27FC236}">
                <a16:creationId xmlns:a16="http://schemas.microsoft.com/office/drawing/2014/main" id="{178E361A-68E3-80E4-C4E9-5CF2D16732F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05" name="Shape 55">
            <a:extLst>
              <a:ext uri="{FF2B5EF4-FFF2-40B4-BE49-F238E27FC236}">
                <a16:creationId xmlns:a16="http://schemas.microsoft.com/office/drawing/2014/main" id="{70105B8E-703B-3CC2-4074-F2C534A331C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06" name="Shape 56">
            <a:extLst>
              <a:ext uri="{FF2B5EF4-FFF2-40B4-BE49-F238E27FC236}">
                <a16:creationId xmlns:a16="http://schemas.microsoft.com/office/drawing/2014/main" id="{16AE0275-6A37-3C5E-47C7-747DED8839C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07" name="Shape 57">
            <a:extLst>
              <a:ext uri="{FF2B5EF4-FFF2-40B4-BE49-F238E27FC236}">
                <a16:creationId xmlns:a16="http://schemas.microsoft.com/office/drawing/2014/main" id="{25DE2F4D-A37E-72BA-AFC3-29B649448DE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08" name="Shape 58">
            <a:extLst>
              <a:ext uri="{FF2B5EF4-FFF2-40B4-BE49-F238E27FC236}">
                <a16:creationId xmlns:a16="http://schemas.microsoft.com/office/drawing/2014/main" id="{F24D6E06-4F7C-AA69-013A-FC9E7F7B5F0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09" name="Shape 59">
            <a:extLst>
              <a:ext uri="{FF2B5EF4-FFF2-40B4-BE49-F238E27FC236}">
                <a16:creationId xmlns:a16="http://schemas.microsoft.com/office/drawing/2014/main" id="{02F0B629-45BD-CFBB-3D78-42CD659089E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10" name="Shape 60">
            <a:extLst>
              <a:ext uri="{FF2B5EF4-FFF2-40B4-BE49-F238E27FC236}">
                <a16:creationId xmlns:a16="http://schemas.microsoft.com/office/drawing/2014/main" id="{8090B3EE-A785-7F94-7DA5-10D276DC40A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11" name="Shape 61">
            <a:extLst>
              <a:ext uri="{FF2B5EF4-FFF2-40B4-BE49-F238E27FC236}">
                <a16:creationId xmlns:a16="http://schemas.microsoft.com/office/drawing/2014/main" id="{C67E0AEA-F979-255A-678C-17BD3DB1870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777</xdr:row>
      <xdr:rowOff>3962</xdr:rowOff>
    </xdr:from>
    <xdr:ext cx="33655" cy="33655"/>
    <xdr:grpSp>
      <xdr:nvGrpSpPr>
        <xdr:cNvPr id="6612" name="Group 62">
          <a:extLst>
            <a:ext uri="{FF2B5EF4-FFF2-40B4-BE49-F238E27FC236}">
              <a16:creationId xmlns:a16="http://schemas.microsoft.com/office/drawing/2014/main" id="{9F8FEB6C-3B10-4DC9-9DB3-A34E1B27DB28}"/>
            </a:ext>
          </a:extLst>
        </xdr:cNvPr>
        <xdr:cNvGrpSpPr/>
      </xdr:nvGrpSpPr>
      <xdr:grpSpPr>
        <a:xfrm>
          <a:off x="4603072" y="143372388"/>
          <a:ext cx="33655" cy="33655"/>
          <a:chOff x="0" y="0"/>
          <a:chExt cx="33655" cy="33655"/>
        </a:xfrm>
      </xdr:grpSpPr>
      <xdr:sp macro="" textlink="">
        <xdr:nvSpPr>
          <xdr:cNvPr id="6613" name="Shape 63">
            <a:extLst>
              <a:ext uri="{FF2B5EF4-FFF2-40B4-BE49-F238E27FC236}">
                <a16:creationId xmlns:a16="http://schemas.microsoft.com/office/drawing/2014/main" id="{4CA74483-558C-AAF5-44C9-EA5CFC78901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14" name="Shape 64">
            <a:extLst>
              <a:ext uri="{FF2B5EF4-FFF2-40B4-BE49-F238E27FC236}">
                <a16:creationId xmlns:a16="http://schemas.microsoft.com/office/drawing/2014/main" id="{879AAC17-7314-EF05-2164-8808A86CF7F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15" name="Shape 65">
            <a:extLst>
              <a:ext uri="{FF2B5EF4-FFF2-40B4-BE49-F238E27FC236}">
                <a16:creationId xmlns:a16="http://schemas.microsoft.com/office/drawing/2014/main" id="{2A9CB2A9-2500-2D6E-3C36-E1580522C6F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16" name="Shape 66">
            <a:extLst>
              <a:ext uri="{FF2B5EF4-FFF2-40B4-BE49-F238E27FC236}">
                <a16:creationId xmlns:a16="http://schemas.microsoft.com/office/drawing/2014/main" id="{B7F754A4-0BA8-60C9-74F1-152D9E20BA4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17" name="Shape 67">
            <a:extLst>
              <a:ext uri="{FF2B5EF4-FFF2-40B4-BE49-F238E27FC236}">
                <a16:creationId xmlns:a16="http://schemas.microsoft.com/office/drawing/2014/main" id="{E0139176-178E-7D80-CC2E-2380727DE0A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18" name="Shape 68">
            <a:extLst>
              <a:ext uri="{FF2B5EF4-FFF2-40B4-BE49-F238E27FC236}">
                <a16:creationId xmlns:a16="http://schemas.microsoft.com/office/drawing/2014/main" id="{457BBB01-377C-C429-76CB-9DD237ACAF5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19" name="Shape 69">
            <a:extLst>
              <a:ext uri="{FF2B5EF4-FFF2-40B4-BE49-F238E27FC236}">
                <a16:creationId xmlns:a16="http://schemas.microsoft.com/office/drawing/2014/main" id="{3E231C80-85EF-4811-C8E2-16C78704FA4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20" name="Shape 70">
            <a:extLst>
              <a:ext uri="{FF2B5EF4-FFF2-40B4-BE49-F238E27FC236}">
                <a16:creationId xmlns:a16="http://schemas.microsoft.com/office/drawing/2014/main" id="{173CCBD4-99D3-A3B2-C31F-CCEA427ACFF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21" name="Shape 71">
            <a:extLst>
              <a:ext uri="{FF2B5EF4-FFF2-40B4-BE49-F238E27FC236}">
                <a16:creationId xmlns:a16="http://schemas.microsoft.com/office/drawing/2014/main" id="{5DED5272-7EBC-1F11-9DC8-0E1FFAF11A6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22" name="Shape 72">
            <a:extLst>
              <a:ext uri="{FF2B5EF4-FFF2-40B4-BE49-F238E27FC236}">
                <a16:creationId xmlns:a16="http://schemas.microsoft.com/office/drawing/2014/main" id="{8980C67B-4C46-D6A4-0B62-0016B2A9CE1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23" name="Shape 73">
            <a:extLst>
              <a:ext uri="{FF2B5EF4-FFF2-40B4-BE49-F238E27FC236}">
                <a16:creationId xmlns:a16="http://schemas.microsoft.com/office/drawing/2014/main" id="{10BEAB06-97EA-9AE0-CF65-A7F18D3077A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24" name="Shape 74">
            <a:extLst>
              <a:ext uri="{FF2B5EF4-FFF2-40B4-BE49-F238E27FC236}">
                <a16:creationId xmlns:a16="http://schemas.microsoft.com/office/drawing/2014/main" id="{BDF89DF3-1E60-04CD-B404-678D121D659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25" name="Shape 75">
            <a:extLst>
              <a:ext uri="{FF2B5EF4-FFF2-40B4-BE49-F238E27FC236}">
                <a16:creationId xmlns:a16="http://schemas.microsoft.com/office/drawing/2014/main" id="{0B5F78B6-9840-81DB-1B29-80525299DF1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26" name="Shape 76">
            <a:extLst>
              <a:ext uri="{FF2B5EF4-FFF2-40B4-BE49-F238E27FC236}">
                <a16:creationId xmlns:a16="http://schemas.microsoft.com/office/drawing/2014/main" id="{EB0DDAB2-F52D-4930-445D-612D9ADE14F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788</xdr:row>
      <xdr:rowOff>2978</xdr:rowOff>
    </xdr:from>
    <xdr:ext cx="33655" cy="33655"/>
    <xdr:grpSp>
      <xdr:nvGrpSpPr>
        <xdr:cNvPr id="6627" name="Group 2">
          <a:extLst>
            <a:ext uri="{FF2B5EF4-FFF2-40B4-BE49-F238E27FC236}">
              <a16:creationId xmlns:a16="http://schemas.microsoft.com/office/drawing/2014/main" id="{2FDF0B66-45AD-4885-8148-27F3707FAF27}"/>
            </a:ext>
          </a:extLst>
        </xdr:cNvPr>
        <xdr:cNvGrpSpPr/>
      </xdr:nvGrpSpPr>
      <xdr:grpSpPr>
        <a:xfrm>
          <a:off x="4603072" y="145357601"/>
          <a:ext cx="33655" cy="33655"/>
          <a:chOff x="0" y="0"/>
          <a:chExt cx="33655" cy="33655"/>
        </a:xfrm>
      </xdr:grpSpPr>
      <xdr:sp macro="" textlink="">
        <xdr:nvSpPr>
          <xdr:cNvPr id="6628" name="Shape 3">
            <a:extLst>
              <a:ext uri="{FF2B5EF4-FFF2-40B4-BE49-F238E27FC236}">
                <a16:creationId xmlns:a16="http://schemas.microsoft.com/office/drawing/2014/main" id="{8AA1EBF4-6552-FC0F-7515-FE2612CE60D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29" name="Shape 4">
            <a:extLst>
              <a:ext uri="{FF2B5EF4-FFF2-40B4-BE49-F238E27FC236}">
                <a16:creationId xmlns:a16="http://schemas.microsoft.com/office/drawing/2014/main" id="{EA1A6B57-0871-DB6D-14D5-A47E5786A6D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30" name="Shape 5">
            <a:extLst>
              <a:ext uri="{FF2B5EF4-FFF2-40B4-BE49-F238E27FC236}">
                <a16:creationId xmlns:a16="http://schemas.microsoft.com/office/drawing/2014/main" id="{6F421140-A5EB-8AB2-15A5-C6D60514F6A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31" name="Shape 6">
            <a:extLst>
              <a:ext uri="{FF2B5EF4-FFF2-40B4-BE49-F238E27FC236}">
                <a16:creationId xmlns:a16="http://schemas.microsoft.com/office/drawing/2014/main" id="{9B96572B-A8CB-2D9C-5739-3943ADCB128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32" name="Shape 7">
            <a:extLst>
              <a:ext uri="{FF2B5EF4-FFF2-40B4-BE49-F238E27FC236}">
                <a16:creationId xmlns:a16="http://schemas.microsoft.com/office/drawing/2014/main" id="{3A0C679E-F9A3-418F-2CD3-26E8909897A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33" name="Shape 8">
            <a:extLst>
              <a:ext uri="{FF2B5EF4-FFF2-40B4-BE49-F238E27FC236}">
                <a16:creationId xmlns:a16="http://schemas.microsoft.com/office/drawing/2014/main" id="{84E0047D-4E4D-2D0A-DDBF-C01AF2E90B4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34" name="Shape 9">
            <a:extLst>
              <a:ext uri="{FF2B5EF4-FFF2-40B4-BE49-F238E27FC236}">
                <a16:creationId xmlns:a16="http://schemas.microsoft.com/office/drawing/2014/main" id="{49E1E8C9-0D53-1D4A-3320-3634D91C13A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35" name="Shape 10">
            <a:extLst>
              <a:ext uri="{FF2B5EF4-FFF2-40B4-BE49-F238E27FC236}">
                <a16:creationId xmlns:a16="http://schemas.microsoft.com/office/drawing/2014/main" id="{6DB9D2D3-9695-BCDF-169D-5B48CC1F5B9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36" name="Shape 11">
            <a:extLst>
              <a:ext uri="{FF2B5EF4-FFF2-40B4-BE49-F238E27FC236}">
                <a16:creationId xmlns:a16="http://schemas.microsoft.com/office/drawing/2014/main" id="{C38F3F38-6B69-FA1B-DC40-1A76EF56020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37" name="Shape 12">
            <a:extLst>
              <a:ext uri="{FF2B5EF4-FFF2-40B4-BE49-F238E27FC236}">
                <a16:creationId xmlns:a16="http://schemas.microsoft.com/office/drawing/2014/main" id="{9EA0D480-2588-B074-2DDF-5DD25FAF61F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38" name="Shape 13">
            <a:extLst>
              <a:ext uri="{FF2B5EF4-FFF2-40B4-BE49-F238E27FC236}">
                <a16:creationId xmlns:a16="http://schemas.microsoft.com/office/drawing/2014/main" id="{A5FCB821-AB51-15FF-31EC-803A9A089E3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39" name="Shape 14">
            <a:extLst>
              <a:ext uri="{FF2B5EF4-FFF2-40B4-BE49-F238E27FC236}">
                <a16:creationId xmlns:a16="http://schemas.microsoft.com/office/drawing/2014/main" id="{FDFB37E3-CA74-7155-FFB3-86EC6808765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40" name="Shape 15">
            <a:extLst>
              <a:ext uri="{FF2B5EF4-FFF2-40B4-BE49-F238E27FC236}">
                <a16:creationId xmlns:a16="http://schemas.microsoft.com/office/drawing/2014/main" id="{073F252E-3438-F637-D1CF-29E1BD60DE2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41" name="Shape 16">
            <a:extLst>
              <a:ext uri="{FF2B5EF4-FFF2-40B4-BE49-F238E27FC236}">
                <a16:creationId xmlns:a16="http://schemas.microsoft.com/office/drawing/2014/main" id="{0E45AFB5-C964-B646-94AE-5B22AA4C3B8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788</xdr:row>
      <xdr:rowOff>3246</xdr:rowOff>
    </xdr:from>
    <xdr:ext cx="33655" cy="33655"/>
    <xdr:grpSp>
      <xdr:nvGrpSpPr>
        <xdr:cNvPr id="6642" name="Group 17">
          <a:extLst>
            <a:ext uri="{FF2B5EF4-FFF2-40B4-BE49-F238E27FC236}">
              <a16:creationId xmlns:a16="http://schemas.microsoft.com/office/drawing/2014/main" id="{F3490E72-37C4-4A54-9392-5A3963FBADA2}"/>
            </a:ext>
          </a:extLst>
        </xdr:cNvPr>
        <xdr:cNvGrpSpPr/>
      </xdr:nvGrpSpPr>
      <xdr:grpSpPr>
        <a:xfrm>
          <a:off x="4603072" y="145357869"/>
          <a:ext cx="33655" cy="33655"/>
          <a:chOff x="0" y="0"/>
          <a:chExt cx="33655" cy="33655"/>
        </a:xfrm>
      </xdr:grpSpPr>
      <xdr:sp macro="" textlink="">
        <xdr:nvSpPr>
          <xdr:cNvPr id="6643" name="Shape 18">
            <a:extLst>
              <a:ext uri="{FF2B5EF4-FFF2-40B4-BE49-F238E27FC236}">
                <a16:creationId xmlns:a16="http://schemas.microsoft.com/office/drawing/2014/main" id="{6B91B500-0E59-009A-FD42-F8B6D9E98C1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44" name="Shape 19">
            <a:extLst>
              <a:ext uri="{FF2B5EF4-FFF2-40B4-BE49-F238E27FC236}">
                <a16:creationId xmlns:a16="http://schemas.microsoft.com/office/drawing/2014/main" id="{DA394D94-7845-2B42-394E-D958042A32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45" name="Shape 20">
            <a:extLst>
              <a:ext uri="{FF2B5EF4-FFF2-40B4-BE49-F238E27FC236}">
                <a16:creationId xmlns:a16="http://schemas.microsoft.com/office/drawing/2014/main" id="{82DFF82E-55B0-0864-A43E-4294FB5FD8F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46" name="Shape 21">
            <a:extLst>
              <a:ext uri="{FF2B5EF4-FFF2-40B4-BE49-F238E27FC236}">
                <a16:creationId xmlns:a16="http://schemas.microsoft.com/office/drawing/2014/main" id="{0AEFBCA6-A56C-9CA4-4F25-1B048C86BDF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47" name="Shape 22">
            <a:extLst>
              <a:ext uri="{FF2B5EF4-FFF2-40B4-BE49-F238E27FC236}">
                <a16:creationId xmlns:a16="http://schemas.microsoft.com/office/drawing/2014/main" id="{605CBD08-F68F-3690-FCF9-E80B95C23F5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48" name="Shape 23">
            <a:extLst>
              <a:ext uri="{FF2B5EF4-FFF2-40B4-BE49-F238E27FC236}">
                <a16:creationId xmlns:a16="http://schemas.microsoft.com/office/drawing/2014/main" id="{3C082FD6-98BC-1E7B-89D4-2AD9A08F3B6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49" name="Shape 24">
            <a:extLst>
              <a:ext uri="{FF2B5EF4-FFF2-40B4-BE49-F238E27FC236}">
                <a16:creationId xmlns:a16="http://schemas.microsoft.com/office/drawing/2014/main" id="{CAF7B2CF-8ABE-CCE9-5BC6-700FF247C86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50" name="Shape 25">
            <a:extLst>
              <a:ext uri="{FF2B5EF4-FFF2-40B4-BE49-F238E27FC236}">
                <a16:creationId xmlns:a16="http://schemas.microsoft.com/office/drawing/2014/main" id="{D98E3C0F-78EB-3420-00A0-A758BE04BDE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51" name="Shape 26">
            <a:extLst>
              <a:ext uri="{FF2B5EF4-FFF2-40B4-BE49-F238E27FC236}">
                <a16:creationId xmlns:a16="http://schemas.microsoft.com/office/drawing/2014/main" id="{870D49C2-19A5-AD5A-6B94-F89946734D9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52" name="Shape 27">
            <a:extLst>
              <a:ext uri="{FF2B5EF4-FFF2-40B4-BE49-F238E27FC236}">
                <a16:creationId xmlns:a16="http://schemas.microsoft.com/office/drawing/2014/main" id="{D34B5D19-53C6-1F5B-FCC6-B0AE4672509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53" name="Shape 28">
            <a:extLst>
              <a:ext uri="{FF2B5EF4-FFF2-40B4-BE49-F238E27FC236}">
                <a16:creationId xmlns:a16="http://schemas.microsoft.com/office/drawing/2014/main" id="{709A7693-D4D4-03C9-5E44-4370FE48C3B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54" name="Shape 29">
            <a:extLst>
              <a:ext uri="{FF2B5EF4-FFF2-40B4-BE49-F238E27FC236}">
                <a16:creationId xmlns:a16="http://schemas.microsoft.com/office/drawing/2014/main" id="{81A17FF2-149A-7F76-69AA-06E22CC0851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55" name="Shape 30">
            <a:extLst>
              <a:ext uri="{FF2B5EF4-FFF2-40B4-BE49-F238E27FC236}">
                <a16:creationId xmlns:a16="http://schemas.microsoft.com/office/drawing/2014/main" id="{1B5499EA-F3E7-4508-2D23-0A12FFF5433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56" name="Shape 31">
            <a:extLst>
              <a:ext uri="{FF2B5EF4-FFF2-40B4-BE49-F238E27FC236}">
                <a16:creationId xmlns:a16="http://schemas.microsoft.com/office/drawing/2014/main" id="{9B5C3B61-DBA4-92D7-B51B-D6B7534B320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788</xdr:row>
      <xdr:rowOff>3703</xdr:rowOff>
    </xdr:from>
    <xdr:ext cx="33655" cy="33655"/>
    <xdr:grpSp>
      <xdr:nvGrpSpPr>
        <xdr:cNvPr id="6657" name="Group 32">
          <a:extLst>
            <a:ext uri="{FF2B5EF4-FFF2-40B4-BE49-F238E27FC236}">
              <a16:creationId xmlns:a16="http://schemas.microsoft.com/office/drawing/2014/main" id="{84C11E0F-6BD3-4E48-A028-BC233EB24DB4}"/>
            </a:ext>
          </a:extLst>
        </xdr:cNvPr>
        <xdr:cNvGrpSpPr/>
      </xdr:nvGrpSpPr>
      <xdr:grpSpPr>
        <a:xfrm>
          <a:off x="4603072" y="145358326"/>
          <a:ext cx="33655" cy="33655"/>
          <a:chOff x="0" y="0"/>
          <a:chExt cx="33655" cy="33655"/>
        </a:xfrm>
      </xdr:grpSpPr>
      <xdr:sp macro="" textlink="">
        <xdr:nvSpPr>
          <xdr:cNvPr id="6658" name="Shape 33">
            <a:extLst>
              <a:ext uri="{FF2B5EF4-FFF2-40B4-BE49-F238E27FC236}">
                <a16:creationId xmlns:a16="http://schemas.microsoft.com/office/drawing/2014/main" id="{E271AA0C-9187-86D4-07DE-CB4B9A9BEB6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59" name="Shape 34">
            <a:extLst>
              <a:ext uri="{FF2B5EF4-FFF2-40B4-BE49-F238E27FC236}">
                <a16:creationId xmlns:a16="http://schemas.microsoft.com/office/drawing/2014/main" id="{00AD8600-A254-5BB5-A1DC-E6602412DEA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60" name="Shape 35">
            <a:extLst>
              <a:ext uri="{FF2B5EF4-FFF2-40B4-BE49-F238E27FC236}">
                <a16:creationId xmlns:a16="http://schemas.microsoft.com/office/drawing/2014/main" id="{E6925527-AC27-6497-7C2E-CD5F9356960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61" name="Shape 36">
            <a:extLst>
              <a:ext uri="{FF2B5EF4-FFF2-40B4-BE49-F238E27FC236}">
                <a16:creationId xmlns:a16="http://schemas.microsoft.com/office/drawing/2014/main" id="{EC3D5F3E-263D-2423-8C68-5B5E32D3725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62" name="Shape 37">
            <a:extLst>
              <a:ext uri="{FF2B5EF4-FFF2-40B4-BE49-F238E27FC236}">
                <a16:creationId xmlns:a16="http://schemas.microsoft.com/office/drawing/2014/main" id="{C9E09057-3587-81DF-7917-64ED1D50171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63" name="Shape 38">
            <a:extLst>
              <a:ext uri="{FF2B5EF4-FFF2-40B4-BE49-F238E27FC236}">
                <a16:creationId xmlns:a16="http://schemas.microsoft.com/office/drawing/2014/main" id="{EDCB3AEE-67EA-8620-E477-C2C68D58F8C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64" name="Shape 39">
            <a:extLst>
              <a:ext uri="{FF2B5EF4-FFF2-40B4-BE49-F238E27FC236}">
                <a16:creationId xmlns:a16="http://schemas.microsoft.com/office/drawing/2014/main" id="{BBD9869C-0F1D-472D-CE11-7DC95BC7F72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65" name="Shape 40">
            <a:extLst>
              <a:ext uri="{FF2B5EF4-FFF2-40B4-BE49-F238E27FC236}">
                <a16:creationId xmlns:a16="http://schemas.microsoft.com/office/drawing/2014/main" id="{BF885F07-8B8F-3867-A1E5-D6ECE65E4A4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66" name="Shape 41">
            <a:extLst>
              <a:ext uri="{FF2B5EF4-FFF2-40B4-BE49-F238E27FC236}">
                <a16:creationId xmlns:a16="http://schemas.microsoft.com/office/drawing/2014/main" id="{B83EDCD9-6CEC-0709-923E-9AB03CA146B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67" name="Shape 42">
            <a:extLst>
              <a:ext uri="{FF2B5EF4-FFF2-40B4-BE49-F238E27FC236}">
                <a16:creationId xmlns:a16="http://schemas.microsoft.com/office/drawing/2014/main" id="{7122B66F-7BFF-1D81-3E74-8ED2D17530E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68" name="Shape 43">
            <a:extLst>
              <a:ext uri="{FF2B5EF4-FFF2-40B4-BE49-F238E27FC236}">
                <a16:creationId xmlns:a16="http://schemas.microsoft.com/office/drawing/2014/main" id="{B4AC01A0-EB81-A2A6-0674-A174DE13C98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69" name="Shape 44">
            <a:extLst>
              <a:ext uri="{FF2B5EF4-FFF2-40B4-BE49-F238E27FC236}">
                <a16:creationId xmlns:a16="http://schemas.microsoft.com/office/drawing/2014/main" id="{6EE41093-A10C-1B4D-CEA9-8E59EB512F0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70" name="Shape 45">
            <a:extLst>
              <a:ext uri="{FF2B5EF4-FFF2-40B4-BE49-F238E27FC236}">
                <a16:creationId xmlns:a16="http://schemas.microsoft.com/office/drawing/2014/main" id="{B4F32A2C-524A-EA0A-CF94-05A512164EF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71" name="Shape 46">
            <a:extLst>
              <a:ext uri="{FF2B5EF4-FFF2-40B4-BE49-F238E27FC236}">
                <a16:creationId xmlns:a16="http://schemas.microsoft.com/office/drawing/2014/main" id="{4669FCC3-76FE-FDE0-59D9-EAB2446CBE0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788</xdr:row>
      <xdr:rowOff>3409</xdr:rowOff>
    </xdr:from>
    <xdr:ext cx="33655" cy="33655"/>
    <xdr:grpSp>
      <xdr:nvGrpSpPr>
        <xdr:cNvPr id="6672" name="Group 47">
          <a:extLst>
            <a:ext uri="{FF2B5EF4-FFF2-40B4-BE49-F238E27FC236}">
              <a16:creationId xmlns:a16="http://schemas.microsoft.com/office/drawing/2014/main" id="{95FB7CAB-5B9F-4EEE-8B76-A7BE97F1A214}"/>
            </a:ext>
          </a:extLst>
        </xdr:cNvPr>
        <xdr:cNvGrpSpPr/>
      </xdr:nvGrpSpPr>
      <xdr:grpSpPr>
        <a:xfrm>
          <a:off x="4603072" y="145358032"/>
          <a:ext cx="33655" cy="33655"/>
          <a:chOff x="0" y="0"/>
          <a:chExt cx="33655" cy="33655"/>
        </a:xfrm>
      </xdr:grpSpPr>
      <xdr:sp macro="" textlink="">
        <xdr:nvSpPr>
          <xdr:cNvPr id="6673" name="Shape 48">
            <a:extLst>
              <a:ext uri="{FF2B5EF4-FFF2-40B4-BE49-F238E27FC236}">
                <a16:creationId xmlns:a16="http://schemas.microsoft.com/office/drawing/2014/main" id="{432D41AB-8E45-4710-CBE4-6E5A77D4142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74" name="Shape 49">
            <a:extLst>
              <a:ext uri="{FF2B5EF4-FFF2-40B4-BE49-F238E27FC236}">
                <a16:creationId xmlns:a16="http://schemas.microsoft.com/office/drawing/2014/main" id="{3B0E041C-BEA7-902F-5C68-403E114DD13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75" name="Shape 50">
            <a:extLst>
              <a:ext uri="{FF2B5EF4-FFF2-40B4-BE49-F238E27FC236}">
                <a16:creationId xmlns:a16="http://schemas.microsoft.com/office/drawing/2014/main" id="{814A6D5B-7B99-57DF-8FB1-EDDF2EC463D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76" name="Shape 51">
            <a:extLst>
              <a:ext uri="{FF2B5EF4-FFF2-40B4-BE49-F238E27FC236}">
                <a16:creationId xmlns:a16="http://schemas.microsoft.com/office/drawing/2014/main" id="{C011CC0E-E5B2-F3E5-15EC-293DAD640DB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77" name="Shape 52">
            <a:extLst>
              <a:ext uri="{FF2B5EF4-FFF2-40B4-BE49-F238E27FC236}">
                <a16:creationId xmlns:a16="http://schemas.microsoft.com/office/drawing/2014/main" id="{BF98A8B6-BA1F-058C-DFD1-31FA9461D75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78" name="Shape 53">
            <a:extLst>
              <a:ext uri="{FF2B5EF4-FFF2-40B4-BE49-F238E27FC236}">
                <a16:creationId xmlns:a16="http://schemas.microsoft.com/office/drawing/2014/main" id="{62A85AC2-A1CA-660D-40C0-D9408531E14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79" name="Shape 54">
            <a:extLst>
              <a:ext uri="{FF2B5EF4-FFF2-40B4-BE49-F238E27FC236}">
                <a16:creationId xmlns:a16="http://schemas.microsoft.com/office/drawing/2014/main" id="{0253547E-F404-3100-E9C7-8692E08DAB2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80" name="Shape 55">
            <a:extLst>
              <a:ext uri="{FF2B5EF4-FFF2-40B4-BE49-F238E27FC236}">
                <a16:creationId xmlns:a16="http://schemas.microsoft.com/office/drawing/2014/main" id="{4E3A9460-70EA-430B-F407-0D310BDB82F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81" name="Shape 56">
            <a:extLst>
              <a:ext uri="{FF2B5EF4-FFF2-40B4-BE49-F238E27FC236}">
                <a16:creationId xmlns:a16="http://schemas.microsoft.com/office/drawing/2014/main" id="{10AAC4EB-9439-D6F5-6768-CFCB48B4894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82" name="Shape 57">
            <a:extLst>
              <a:ext uri="{FF2B5EF4-FFF2-40B4-BE49-F238E27FC236}">
                <a16:creationId xmlns:a16="http://schemas.microsoft.com/office/drawing/2014/main" id="{CB22186D-61D0-A0A4-3587-F0FE1492FC8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83" name="Shape 58">
            <a:extLst>
              <a:ext uri="{FF2B5EF4-FFF2-40B4-BE49-F238E27FC236}">
                <a16:creationId xmlns:a16="http://schemas.microsoft.com/office/drawing/2014/main" id="{678819CA-34F7-7EB7-D643-D7B49D58AD6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84" name="Shape 59">
            <a:extLst>
              <a:ext uri="{FF2B5EF4-FFF2-40B4-BE49-F238E27FC236}">
                <a16:creationId xmlns:a16="http://schemas.microsoft.com/office/drawing/2014/main" id="{364FCED8-FCB7-08F0-494A-DAC23977838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85" name="Shape 60">
            <a:extLst>
              <a:ext uri="{FF2B5EF4-FFF2-40B4-BE49-F238E27FC236}">
                <a16:creationId xmlns:a16="http://schemas.microsoft.com/office/drawing/2014/main" id="{DF9C0DE2-253D-D9F0-4F12-E4160CD579A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686" name="Shape 61">
            <a:extLst>
              <a:ext uri="{FF2B5EF4-FFF2-40B4-BE49-F238E27FC236}">
                <a16:creationId xmlns:a16="http://schemas.microsoft.com/office/drawing/2014/main" id="{176CE3F4-7948-F755-1940-2C2F9D15DAC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788</xdr:row>
      <xdr:rowOff>3962</xdr:rowOff>
    </xdr:from>
    <xdr:ext cx="33655" cy="33655"/>
    <xdr:grpSp>
      <xdr:nvGrpSpPr>
        <xdr:cNvPr id="6687" name="Group 62">
          <a:extLst>
            <a:ext uri="{FF2B5EF4-FFF2-40B4-BE49-F238E27FC236}">
              <a16:creationId xmlns:a16="http://schemas.microsoft.com/office/drawing/2014/main" id="{0B40F102-DDDF-4838-9E0C-14EA3B7C87D3}"/>
            </a:ext>
          </a:extLst>
        </xdr:cNvPr>
        <xdr:cNvGrpSpPr/>
      </xdr:nvGrpSpPr>
      <xdr:grpSpPr>
        <a:xfrm>
          <a:off x="4603072" y="145358585"/>
          <a:ext cx="33655" cy="33655"/>
          <a:chOff x="0" y="0"/>
          <a:chExt cx="33655" cy="33655"/>
        </a:xfrm>
      </xdr:grpSpPr>
      <xdr:sp macro="" textlink="">
        <xdr:nvSpPr>
          <xdr:cNvPr id="6688" name="Shape 63">
            <a:extLst>
              <a:ext uri="{FF2B5EF4-FFF2-40B4-BE49-F238E27FC236}">
                <a16:creationId xmlns:a16="http://schemas.microsoft.com/office/drawing/2014/main" id="{F0874CC7-523F-796B-2520-589E9F8542C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89" name="Shape 64">
            <a:extLst>
              <a:ext uri="{FF2B5EF4-FFF2-40B4-BE49-F238E27FC236}">
                <a16:creationId xmlns:a16="http://schemas.microsoft.com/office/drawing/2014/main" id="{7F5FEEF0-CCF5-DBBF-9D40-C1830CB0261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90" name="Shape 65">
            <a:extLst>
              <a:ext uri="{FF2B5EF4-FFF2-40B4-BE49-F238E27FC236}">
                <a16:creationId xmlns:a16="http://schemas.microsoft.com/office/drawing/2014/main" id="{72C6E7C2-004F-5673-6AEC-5434205E69D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91" name="Shape 66">
            <a:extLst>
              <a:ext uri="{FF2B5EF4-FFF2-40B4-BE49-F238E27FC236}">
                <a16:creationId xmlns:a16="http://schemas.microsoft.com/office/drawing/2014/main" id="{405EEEDE-DDFD-2E25-7F1D-9E341B66014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92" name="Shape 67">
            <a:extLst>
              <a:ext uri="{FF2B5EF4-FFF2-40B4-BE49-F238E27FC236}">
                <a16:creationId xmlns:a16="http://schemas.microsoft.com/office/drawing/2014/main" id="{D350DDC3-7969-5AF8-2EA6-818A6FF7590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93" name="Shape 68">
            <a:extLst>
              <a:ext uri="{FF2B5EF4-FFF2-40B4-BE49-F238E27FC236}">
                <a16:creationId xmlns:a16="http://schemas.microsoft.com/office/drawing/2014/main" id="{DF9967D4-7652-7C05-CFEF-4817046D7D7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94" name="Shape 69">
            <a:extLst>
              <a:ext uri="{FF2B5EF4-FFF2-40B4-BE49-F238E27FC236}">
                <a16:creationId xmlns:a16="http://schemas.microsoft.com/office/drawing/2014/main" id="{7EE6E215-B480-9340-94F8-36F746387EA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95" name="Shape 70">
            <a:extLst>
              <a:ext uri="{FF2B5EF4-FFF2-40B4-BE49-F238E27FC236}">
                <a16:creationId xmlns:a16="http://schemas.microsoft.com/office/drawing/2014/main" id="{F9072D4A-70A0-3072-323E-76994B712B1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96" name="Shape 71">
            <a:extLst>
              <a:ext uri="{FF2B5EF4-FFF2-40B4-BE49-F238E27FC236}">
                <a16:creationId xmlns:a16="http://schemas.microsoft.com/office/drawing/2014/main" id="{691F329C-FA5C-B624-7113-657B12BC204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97" name="Shape 72">
            <a:extLst>
              <a:ext uri="{FF2B5EF4-FFF2-40B4-BE49-F238E27FC236}">
                <a16:creationId xmlns:a16="http://schemas.microsoft.com/office/drawing/2014/main" id="{239A6BAB-B454-4D7C-2B7E-8903268D084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698" name="Shape 73">
            <a:extLst>
              <a:ext uri="{FF2B5EF4-FFF2-40B4-BE49-F238E27FC236}">
                <a16:creationId xmlns:a16="http://schemas.microsoft.com/office/drawing/2014/main" id="{912390F0-9C61-E8F7-6179-EFC58F041EF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699" name="Shape 74">
            <a:extLst>
              <a:ext uri="{FF2B5EF4-FFF2-40B4-BE49-F238E27FC236}">
                <a16:creationId xmlns:a16="http://schemas.microsoft.com/office/drawing/2014/main" id="{215E19FE-03A5-543D-7C04-600DB347236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00" name="Shape 75">
            <a:extLst>
              <a:ext uri="{FF2B5EF4-FFF2-40B4-BE49-F238E27FC236}">
                <a16:creationId xmlns:a16="http://schemas.microsoft.com/office/drawing/2014/main" id="{BB911EFD-E238-375B-15C6-C7DB784F66B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01" name="Shape 76">
            <a:extLst>
              <a:ext uri="{FF2B5EF4-FFF2-40B4-BE49-F238E27FC236}">
                <a16:creationId xmlns:a16="http://schemas.microsoft.com/office/drawing/2014/main" id="{E5BF6B21-C581-8189-C237-5AC719DB8A8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788</xdr:row>
      <xdr:rowOff>2978</xdr:rowOff>
    </xdr:from>
    <xdr:ext cx="33655" cy="33655"/>
    <xdr:grpSp>
      <xdr:nvGrpSpPr>
        <xdr:cNvPr id="6702" name="Group 2">
          <a:extLst>
            <a:ext uri="{FF2B5EF4-FFF2-40B4-BE49-F238E27FC236}">
              <a16:creationId xmlns:a16="http://schemas.microsoft.com/office/drawing/2014/main" id="{D06AD2BB-1378-452A-A7BA-A1B2337405D9}"/>
            </a:ext>
          </a:extLst>
        </xdr:cNvPr>
        <xdr:cNvGrpSpPr/>
      </xdr:nvGrpSpPr>
      <xdr:grpSpPr>
        <a:xfrm>
          <a:off x="4603072" y="145357601"/>
          <a:ext cx="33655" cy="33655"/>
          <a:chOff x="0" y="0"/>
          <a:chExt cx="33655" cy="33655"/>
        </a:xfrm>
      </xdr:grpSpPr>
      <xdr:sp macro="" textlink="">
        <xdr:nvSpPr>
          <xdr:cNvPr id="6703" name="Shape 3">
            <a:extLst>
              <a:ext uri="{FF2B5EF4-FFF2-40B4-BE49-F238E27FC236}">
                <a16:creationId xmlns:a16="http://schemas.microsoft.com/office/drawing/2014/main" id="{AF099A0A-0E7B-EE58-D37B-DCADE1025F7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04" name="Shape 4">
            <a:extLst>
              <a:ext uri="{FF2B5EF4-FFF2-40B4-BE49-F238E27FC236}">
                <a16:creationId xmlns:a16="http://schemas.microsoft.com/office/drawing/2014/main" id="{43394538-CF57-0405-A562-8672E472391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05" name="Shape 5">
            <a:extLst>
              <a:ext uri="{FF2B5EF4-FFF2-40B4-BE49-F238E27FC236}">
                <a16:creationId xmlns:a16="http://schemas.microsoft.com/office/drawing/2014/main" id="{18CE6B75-B1CA-F967-8615-33561096999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06" name="Shape 6">
            <a:extLst>
              <a:ext uri="{FF2B5EF4-FFF2-40B4-BE49-F238E27FC236}">
                <a16:creationId xmlns:a16="http://schemas.microsoft.com/office/drawing/2014/main" id="{D436D87E-CF11-1D4F-5C39-810F79D91DF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07" name="Shape 7">
            <a:extLst>
              <a:ext uri="{FF2B5EF4-FFF2-40B4-BE49-F238E27FC236}">
                <a16:creationId xmlns:a16="http://schemas.microsoft.com/office/drawing/2014/main" id="{BEC47103-BE39-D208-4501-5E7F45DA1B8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08" name="Shape 8">
            <a:extLst>
              <a:ext uri="{FF2B5EF4-FFF2-40B4-BE49-F238E27FC236}">
                <a16:creationId xmlns:a16="http://schemas.microsoft.com/office/drawing/2014/main" id="{F37BE6FD-6949-B7ED-23C6-7BA1E0E3717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09" name="Shape 9">
            <a:extLst>
              <a:ext uri="{FF2B5EF4-FFF2-40B4-BE49-F238E27FC236}">
                <a16:creationId xmlns:a16="http://schemas.microsoft.com/office/drawing/2014/main" id="{FFE12099-F6DC-D039-2354-70791F9F6C6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10" name="Shape 10">
            <a:extLst>
              <a:ext uri="{FF2B5EF4-FFF2-40B4-BE49-F238E27FC236}">
                <a16:creationId xmlns:a16="http://schemas.microsoft.com/office/drawing/2014/main" id="{35CA661F-8E38-4BFF-8176-D109E60AA72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11" name="Shape 11">
            <a:extLst>
              <a:ext uri="{FF2B5EF4-FFF2-40B4-BE49-F238E27FC236}">
                <a16:creationId xmlns:a16="http://schemas.microsoft.com/office/drawing/2014/main" id="{B2B37CE9-7EBA-FB2B-DBEE-3CC56344311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12" name="Shape 12">
            <a:extLst>
              <a:ext uri="{FF2B5EF4-FFF2-40B4-BE49-F238E27FC236}">
                <a16:creationId xmlns:a16="http://schemas.microsoft.com/office/drawing/2014/main" id="{67D72615-F0DC-8E45-0FF0-A2675CB52D0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13" name="Shape 13">
            <a:extLst>
              <a:ext uri="{FF2B5EF4-FFF2-40B4-BE49-F238E27FC236}">
                <a16:creationId xmlns:a16="http://schemas.microsoft.com/office/drawing/2014/main" id="{DC95CA73-0FD1-2E33-3E35-4FF2DE4D19A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14" name="Shape 14">
            <a:extLst>
              <a:ext uri="{FF2B5EF4-FFF2-40B4-BE49-F238E27FC236}">
                <a16:creationId xmlns:a16="http://schemas.microsoft.com/office/drawing/2014/main" id="{58EBD611-A45A-285F-1656-3478DEEC844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15" name="Shape 15">
            <a:extLst>
              <a:ext uri="{FF2B5EF4-FFF2-40B4-BE49-F238E27FC236}">
                <a16:creationId xmlns:a16="http://schemas.microsoft.com/office/drawing/2014/main" id="{D9F2BB9F-9D47-9E5F-25AA-CA12752098E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16" name="Shape 16">
            <a:extLst>
              <a:ext uri="{FF2B5EF4-FFF2-40B4-BE49-F238E27FC236}">
                <a16:creationId xmlns:a16="http://schemas.microsoft.com/office/drawing/2014/main" id="{64D4A1A7-AA22-7B6D-603B-01596E9CCCC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788</xdr:row>
      <xdr:rowOff>3246</xdr:rowOff>
    </xdr:from>
    <xdr:ext cx="33655" cy="33655"/>
    <xdr:grpSp>
      <xdr:nvGrpSpPr>
        <xdr:cNvPr id="6717" name="Group 17">
          <a:extLst>
            <a:ext uri="{FF2B5EF4-FFF2-40B4-BE49-F238E27FC236}">
              <a16:creationId xmlns:a16="http://schemas.microsoft.com/office/drawing/2014/main" id="{DA698900-F2EE-4CCC-A484-E6588B5F30BE}"/>
            </a:ext>
          </a:extLst>
        </xdr:cNvPr>
        <xdr:cNvGrpSpPr/>
      </xdr:nvGrpSpPr>
      <xdr:grpSpPr>
        <a:xfrm>
          <a:off x="4603072" y="145357869"/>
          <a:ext cx="33655" cy="33655"/>
          <a:chOff x="0" y="0"/>
          <a:chExt cx="33655" cy="33655"/>
        </a:xfrm>
      </xdr:grpSpPr>
      <xdr:sp macro="" textlink="">
        <xdr:nvSpPr>
          <xdr:cNvPr id="6718" name="Shape 18">
            <a:extLst>
              <a:ext uri="{FF2B5EF4-FFF2-40B4-BE49-F238E27FC236}">
                <a16:creationId xmlns:a16="http://schemas.microsoft.com/office/drawing/2014/main" id="{62E0BB30-C29E-2CDE-8CF0-3EB00C1B8E7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19" name="Shape 19">
            <a:extLst>
              <a:ext uri="{FF2B5EF4-FFF2-40B4-BE49-F238E27FC236}">
                <a16:creationId xmlns:a16="http://schemas.microsoft.com/office/drawing/2014/main" id="{F5C12DCD-0D66-A39A-F56D-D69C81A0222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20" name="Shape 20">
            <a:extLst>
              <a:ext uri="{FF2B5EF4-FFF2-40B4-BE49-F238E27FC236}">
                <a16:creationId xmlns:a16="http://schemas.microsoft.com/office/drawing/2014/main" id="{77A8E4F0-2959-C456-9CB5-D67D4AC9395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21" name="Shape 21">
            <a:extLst>
              <a:ext uri="{FF2B5EF4-FFF2-40B4-BE49-F238E27FC236}">
                <a16:creationId xmlns:a16="http://schemas.microsoft.com/office/drawing/2014/main" id="{E7813EBF-4E38-2537-0655-306DF24596B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22" name="Shape 22">
            <a:extLst>
              <a:ext uri="{FF2B5EF4-FFF2-40B4-BE49-F238E27FC236}">
                <a16:creationId xmlns:a16="http://schemas.microsoft.com/office/drawing/2014/main" id="{6ADDA2DD-DA79-A606-6EB3-7F408E0EFD0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23" name="Shape 23">
            <a:extLst>
              <a:ext uri="{FF2B5EF4-FFF2-40B4-BE49-F238E27FC236}">
                <a16:creationId xmlns:a16="http://schemas.microsoft.com/office/drawing/2014/main" id="{708631C9-9795-F2DA-AA97-DEBF04791A3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24" name="Shape 24">
            <a:extLst>
              <a:ext uri="{FF2B5EF4-FFF2-40B4-BE49-F238E27FC236}">
                <a16:creationId xmlns:a16="http://schemas.microsoft.com/office/drawing/2014/main" id="{6E82412B-0B02-79EF-44F1-B00D5C15AAF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25" name="Shape 25">
            <a:extLst>
              <a:ext uri="{FF2B5EF4-FFF2-40B4-BE49-F238E27FC236}">
                <a16:creationId xmlns:a16="http://schemas.microsoft.com/office/drawing/2014/main" id="{012D1ABE-5CB6-882C-0126-797B1589A35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26" name="Shape 26">
            <a:extLst>
              <a:ext uri="{FF2B5EF4-FFF2-40B4-BE49-F238E27FC236}">
                <a16:creationId xmlns:a16="http://schemas.microsoft.com/office/drawing/2014/main" id="{0ED5FAC8-32B9-01B7-F43C-1FA78B94C3E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27" name="Shape 27">
            <a:extLst>
              <a:ext uri="{FF2B5EF4-FFF2-40B4-BE49-F238E27FC236}">
                <a16:creationId xmlns:a16="http://schemas.microsoft.com/office/drawing/2014/main" id="{98382365-2244-4AD1-2FAF-0857669E985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28" name="Shape 28">
            <a:extLst>
              <a:ext uri="{FF2B5EF4-FFF2-40B4-BE49-F238E27FC236}">
                <a16:creationId xmlns:a16="http://schemas.microsoft.com/office/drawing/2014/main" id="{DDCCC9E0-3E53-3EC2-C10F-5DEB38E7DE5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29" name="Shape 29">
            <a:extLst>
              <a:ext uri="{FF2B5EF4-FFF2-40B4-BE49-F238E27FC236}">
                <a16:creationId xmlns:a16="http://schemas.microsoft.com/office/drawing/2014/main" id="{8EF9F1FC-6205-D37F-0C7B-C54E4F236B4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30" name="Shape 30">
            <a:extLst>
              <a:ext uri="{FF2B5EF4-FFF2-40B4-BE49-F238E27FC236}">
                <a16:creationId xmlns:a16="http://schemas.microsoft.com/office/drawing/2014/main" id="{FD3BC3BD-39E0-A08A-E083-21CB629C234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31" name="Shape 31">
            <a:extLst>
              <a:ext uri="{FF2B5EF4-FFF2-40B4-BE49-F238E27FC236}">
                <a16:creationId xmlns:a16="http://schemas.microsoft.com/office/drawing/2014/main" id="{5441A446-2AE7-A527-F00D-AAAB53E5E4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788</xdr:row>
      <xdr:rowOff>3703</xdr:rowOff>
    </xdr:from>
    <xdr:ext cx="33655" cy="33655"/>
    <xdr:grpSp>
      <xdr:nvGrpSpPr>
        <xdr:cNvPr id="6732" name="Group 32">
          <a:extLst>
            <a:ext uri="{FF2B5EF4-FFF2-40B4-BE49-F238E27FC236}">
              <a16:creationId xmlns:a16="http://schemas.microsoft.com/office/drawing/2014/main" id="{A93D0926-1395-411F-AFE5-B61656E2A488}"/>
            </a:ext>
          </a:extLst>
        </xdr:cNvPr>
        <xdr:cNvGrpSpPr/>
      </xdr:nvGrpSpPr>
      <xdr:grpSpPr>
        <a:xfrm>
          <a:off x="4603072" y="145358326"/>
          <a:ext cx="33655" cy="33655"/>
          <a:chOff x="0" y="0"/>
          <a:chExt cx="33655" cy="33655"/>
        </a:xfrm>
      </xdr:grpSpPr>
      <xdr:sp macro="" textlink="">
        <xdr:nvSpPr>
          <xdr:cNvPr id="6733" name="Shape 33">
            <a:extLst>
              <a:ext uri="{FF2B5EF4-FFF2-40B4-BE49-F238E27FC236}">
                <a16:creationId xmlns:a16="http://schemas.microsoft.com/office/drawing/2014/main" id="{BE1AC43E-320B-6EBD-86E8-5AED1F8B0E9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34" name="Shape 34">
            <a:extLst>
              <a:ext uri="{FF2B5EF4-FFF2-40B4-BE49-F238E27FC236}">
                <a16:creationId xmlns:a16="http://schemas.microsoft.com/office/drawing/2014/main" id="{08D8AF61-9FF5-B5F8-F82B-88875992AD1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35" name="Shape 35">
            <a:extLst>
              <a:ext uri="{FF2B5EF4-FFF2-40B4-BE49-F238E27FC236}">
                <a16:creationId xmlns:a16="http://schemas.microsoft.com/office/drawing/2014/main" id="{437E75E3-B363-E1F0-0A99-C59025A3E22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36" name="Shape 36">
            <a:extLst>
              <a:ext uri="{FF2B5EF4-FFF2-40B4-BE49-F238E27FC236}">
                <a16:creationId xmlns:a16="http://schemas.microsoft.com/office/drawing/2014/main" id="{F2F655AA-37A4-FFDC-4AA5-0CB1B257A80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37" name="Shape 37">
            <a:extLst>
              <a:ext uri="{FF2B5EF4-FFF2-40B4-BE49-F238E27FC236}">
                <a16:creationId xmlns:a16="http://schemas.microsoft.com/office/drawing/2014/main" id="{12757BF4-E667-6464-5025-EB66357068A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38" name="Shape 38">
            <a:extLst>
              <a:ext uri="{FF2B5EF4-FFF2-40B4-BE49-F238E27FC236}">
                <a16:creationId xmlns:a16="http://schemas.microsoft.com/office/drawing/2014/main" id="{F6FA2C93-D144-1D71-9BC2-DBB6B5F2489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39" name="Shape 39">
            <a:extLst>
              <a:ext uri="{FF2B5EF4-FFF2-40B4-BE49-F238E27FC236}">
                <a16:creationId xmlns:a16="http://schemas.microsoft.com/office/drawing/2014/main" id="{FE2CAE40-51C1-808A-B542-C0BD6AA4BE4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40" name="Shape 40">
            <a:extLst>
              <a:ext uri="{FF2B5EF4-FFF2-40B4-BE49-F238E27FC236}">
                <a16:creationId xmlns:a16="http://schemas.microsoft.com/office/drawing/2014/main" id="{8AAA9DCA-E248-0AAD-1678-AAC0E2BA395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41" name="Shape 41">
            <a:extLst>
              <a:ext uri="{FF2B5EF4-FFF2-40B4-BE49-F238E27FC236}">
                <a16:creationId xmlns:a16="http://schemas.microsoft.com/office/drawing/2014/main" id="{88DF2C13-10D2-2EF1-50ED-077F05D8D3F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42" name="Shape 42">
            <a:extLst>
              <a:ext uri="{FF2B5EF4-FFF2-40B4-BE49-F238E27FC236}">
                <a16:creationId xmlns:a16="http://schemas.microsoft.com/office/drawing/2014/main" id="{542560AA-52A1-4409-A4C0-F6B42268650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43" name="Shape 43">
            <a:extLst>
              <a:ext uri="{FF2B5EF4-FFF2-40B4-BE49-F238E27FC236}">
                <a16:creationId xmlns:a16="http://schemas.microsoft.com/office/drawing/2014/main" id="{FAD85CCA-D478-70C2-A862-42EA4CA9042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44" name="Shape 44">
            <a:extLst>
              <a:ext uri="{FF2B5EF4-FFF2-40B4-BE49-F238E27FC236}">
                <a16:creationId xmlns:a16="http://schemas.microsoft.com/office/drawing/2014/main" id="{755FD036-10DA-E2AA-9C6D-D611897D07B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45" name="Shape 45">
            <a:extLst>
              <a:ext uri="{FF2B5EF4-FFF2-40B4-BE49-F238E27FC236}">
                <a16:creationId xmlns:a16="http://schemas.microsoft.com/office/drawing/2014/main" id="{E5F9A3D2-9E02-EA88-ED09-4EBD5C0916D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46" name="Shape 46">
            <a:extLst>
              <a:ext uri="{FF2B5EF4-FFF2-40B4-BE49-F238E27FC236}">
                <a16:creationId xmlns:a16="http://schemas.microsoft.com/office/drawing/2014/main" id="{921B17DB-7F1E-A68F-8E17-6C75CAFF2E2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788</xdr:row>
      <xdr:rowOff>3409</xdr:rowOff>
    </xdr:from>
    <xdr:ext cx="33655" cy="33655"/>
    <xdr:grpSp>
      <xdr:nvGrpSpPr>
        <xdr:cNvPr id="6747" name="Group 47">
          <a:extLst>
            <a:ext uri="{FF2B5EF4-FFF2-40B4-BE49-F238E27FC236}">
              <a16:creationId xmlns:a16="http://schemas.microsoft.com/office/drawing/2014/main" id="{49A30ACE-01A0-467C-9D5C-25012D1CD623}"/>
            </a:ext>
          </a:extLst>
        </xdr:cNvPr>
        <xdr:cNvGrpSpPr/>
      </xdr:nvGrpSpPr>
      <xdr:grpSpPr>
        <a:xfrm>
          <a:off x="4603072" y="145358032"/>
          <a:ext cx="33655" cy="33655"/>
          <a:chOff x="0" y="0"/>
          <a:chExt cx="33655" cy="33655"/>
        </a:xfrm>
      </xdr:grpSpPr>
      <xdr:sp macro="" textlink="">
        <xdr:nvSpPr>
          <xdr:cNvPr id="6748" name="Shape 48">
            <a:extLst>
              <a:ext uri="{FF2B5EF4-FFF2-40B4-BE49-F238E27FC236}">
                <a16:creationId xmlns:a16="http://schemas.microsoft.com/office/drawing/2014/main" id="{29E7A45C-B93C-896B-ABD5-50C32A8023A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49" name="Shape 49">
            <a:extLst>
              <a:ext uri="{FF2B5EF4-FFF2-40B4-BE49-F238E27FC236}">
                <a16:creationId xmlns:a16="http://schemas.microsoft.com/office/drawing/2014/main" id="{42309871-4398-17A6-54A1-6C8900B620B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50" name="Shape 50">
            <a:extLst>
              <a:ext uri="{FF2B5EF4-FFF2-40B4-BE49-F238E27FC236}">
                <a16:creationId xmlns:a16="http://schemas.microsoft.com/office/drawing/2014/main" id="{E1EC9651-921B-AE21-E382-5091A4CD2AE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51" name="Shape 51">
            <a:extLst>
              <a:ext uri="{FF2B5EF4-FFF2-40B4-BE49-F238E27FC236}">
                <a16:creationId xmlns:a16="http://schemas.microsoft.com/office/drawing/2014/main" id="{ADA8BBE4-A2F7-88D1-69A5-F5588433C76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52" name="Shape 52">
            <a:extLst>
              <a:ext uri="{FF2B5EF4-FFF2-40B4-BE49-F238E27FC236}">
                <a16:creationId xmlns:a16="http://schemas.microsoft.com/office/drawing/2014/main" id="{2F2C5D2C-FA70-2CD3-D809-6EE2A5A3519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53" name="Shape 53">
            <a:extLst>
              <a:ext uri="{FF2B5EF4-FFF2-40B4-BE49-F238E27FC236}">
                <a16:creationId xmlns:a16="http://schemas.microsoft.com/office/drawing/2014/main" id="{ACB70FA9-F2BE-738B-4700-91B87FD6C0F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54" name="Shape 54">
            <a:extLst>
              <a:ext uri="{FF2B5EF4-FFF2-40B4-BE49-F238E27FC236}">
                <a16:creationId xmlns:a16="http://schemas.microsoft.com/office/drawing/2014/main" id="{9248D3A3-A269-22A4-209B-4E6C917AC77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55" name="Shape 55">
            <a:extLst>
              <a:ext uri="{FF2B5EF4-FFF2-40B4-BE49-F238E27FC236}">
                <a16:creationId xmlns:a16="http://schemas.microsoft.com/office/drawing/2014/main" id="{E670800A-8402-631B-4AED-4B30991ECEB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56" name="Shape 56">
            <a:extLst>
              <a:ext uri="{FF2B5EF4-FFF2-40B4-BE49-F238E27FC236}">
                <a16:creationId xmlns:a16="http://schemas.microsoft.com/office/drawing/2014/main" id="{DDF9D7A3-100C-6C67-7683-24AF3911D1B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57" name="Shape 57">
            <a:extLst>
              <a:ext uri="{FF2B5EF4-FFF2-40B4-BE49-F238E27FC236}">
                <a16:creationId xmlns:a16="http://schemas.microsoft.com/office/drawing/2014/main" id="{64E8DA2B-D3D9-6C78-7CE7-FBB5A120527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58" name="Shape 58">
            <a:extLst>
              <a:ext uri="{FF2B5EF4-FFF2-40B4-BE49-F238E27FC236}">
                <a16:creationId xmlns:a16="http://schemas.microsoft.com/office/drawing/2014/main" id="{2315F5AB-0778-1641-41D1-4A55CA6DEED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59" name="Shape 59">
            <a:extLst>
              <a:ext uri="{FF2B5EF4-FFF2-40B4-BE49-F238E27FC236}">
                <a16:creationId xmlns:a16="http://schemas.microsoft.com/office/drawing/2014/main" id="{E04323E1-63CB-3F61-F609-FA956B60E56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60" name="Shape 60">
            <a:extLst>
              <a:ext uri="{FF2B5EF4-FFF2-40B4-BE49-F238E27FC236}">
                <a16:creationId xmlns:a16="http://schemas.microsoft.com/office/drawing/2014/main" id="{16A8974C-B6C5-D19F-1AB4-D6C56569D84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61" name="Shape 61">
            <a:extLst>
              <a:ext uri="{FF2B5EF4-FFF2-40B4-BE49-F238E27FC236}">
                <a16:creationId xmlns:a16="http://schemas.microsoft.com/office/drawing/2014/main" id="{F6892B35-DF57-73B5-B014-12CBF522FB8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788</xdr:row>
      <xdr:rowOff>3962</xdr:rowOff>
    </xdr:from>
    <xdr:ext cx="33655" cy="33655"/>
    <xdr:grpSp>
      <xdr:nvGrpSpPr>
        <xdr:cNvPr id="6762" name="Group 62">
          <a:extLst>
            <a:ext uri="{FF2B5EF4-FFF2-40B4-BE49-F238E27FC236}">
              <a16:creationId xmlns:a16="http://schemas.microsoft.com/office/drawing/2014/main" id="{F49F6908-BE35-49D3-855C-228696563106}"/>
            </a:ext>
          </a:extLst>
        </xdr:cNvPr>
        <xdr:cNvGrpSpPr/>
      </xdr:nvGrpSpPr>
      <xdr:grpSpPr>
        <a:xfrm>
          <a:off x="4603072" y="145358585"/>
          <a:ext cx="33655" cy="33655"/>
          <a:chOff x="0" y="0"/>
          <a:chExt cx="33655" cy="33655"/>
        </a:xfrm>
      </xdr:grpSpPr>
      <xdr:sp macro="" textlink="">
        <xdr:nvSpPr>
          <xdr:cNvPr id="6763" name="Shape 63">
            <a:extLst>
              <a:ext uri="{FF2B5EF4-FFF2-40B4-BE49-F238E27FC236}">
                <a16:creationId xmlns:a16="http://schemas.microsoft.com/office/drawing/2014/main" id="{F1F1A549-D1FC-2E85-F5FD-2C1D5326B40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64" name="Shape 64">
            <a:extLst>
              <a:ext uri="{FF2B5EF4-FFF2-40B4-BE49-F238E27FC236}">
                <a16:creationId xmlns:a16="http://schemas.microsoft.com/office/drawing/2014/main" id="{DAACD7E5-ECB2-F7C1-83BF-09E0A65C062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65" name="Shape 65">
            <a:extLst>
              <a:ext uri="{FF2B5EF4-FFF2-40B4-BE49-F238E27FC236}">
                <a16:creationId xmlns:a16="http://schemas.microsoft.com/office/drawing/2014/main" id="{326CD3FB-81FC-1AFD-1F5E-F17D36F456F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66" name="Shape 66">
            <a:extLst>
              <a:ext uri="{FF2B5EF4-FFF2-40B4-BE49-F238E27FC236}">
                <a16:creationId xmlns:a16="http://schemas.microsoft.com/office/drawing/2014/main" id="{55C5F069-A512-3104-0EF5-C1DF1F2C4B5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67" name="Shape 67">
            <a:extLst>
              <a:ext uri="{FF2B5EF4-FFF2-40B4-BE49-F238E27FC236}">
                <a16:creationId xmlns:a16="http://schemas.microsoft.com/office/drawing/2014/main" id="{F317BF87-2945-7EFB-01BF-1B250D0216C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68" name="Shape 68">
            <a:extLst>
              <a:ext uri="{FF2B5EF4-FFF2-40B4-BE49-F238E27FC236}">
                <a16:creationId xmlns:a16="http://schemas.microsoft.com/office/drawing/2014/main" id="{EB331F53-3A1E-6615-4519-C3A16C03FA3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69" name="Shape 69">
            <a:extLst>
              <a:ext uri="{FF2B5EF4-FFF2-40B4-BE49-F238E27FC236}">
                <a16:creationId xmlns:a16="http://schemas.microsoft.com/office/drawing/2014/main" id="{19E8BDD9-A964-5AAC-E05A-8437FD95353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70" name="Shape 70">
            <a:extLst>
              <a:ext uri="{FF2B5EF4-FFF2-40B4-BE49-F238E27FC236}">
                <a16:creationId xmlns:a16="http://schemas.microsoft.com/office/drawing/2014/main" id="{222ABFB8-A24E-7CCC-483F-F53D86D2F45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71" name="Shape 71">
            <a:extLst>
              <a:ext uri="{FF2B5EF4-FFF2-40B4-BE49-F238E27FC236}">
                <a16:creationId xmlns:a16="http://schemas.microsoft.com/office/drawing/2014/main" id="{CA345072-A800-9BB0-6413-16E0BFD6611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72" name="Shape 72">
            <a:extLst>
              <a:ext uri="{FF2B5EF4-FFF2-40B4-BE49-F238E27FC236}">
                <a16:creationId xmlns:a16="http://schemas.microsoft.com/office/drawing/2014/main" id="{F45481FD-7518-42BA-7E54-3A957F0BB7B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73" name="Shape 73">
            <a:extLst>
              <a:ext uri="{FF2B5EF4-FFF2-40B4-BE49-F238E27FC236}">
                <a16:creationId xmlns:a16="http://schemas.microsoft.com/office/drawing/2014/main" id="{DF5492EB-F65D-90A1-531F-49FC7232245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74" name="Shape 74">
            <a:extLst>
              <a:ext uri="{FF2B5EF4-FFF2-40B4-BE49-F238E27FC236}">
                <a16:creationId xmlns:a16="http://schemas.microsoft.com/office/drawing/2014/main" id="{603D5DCB-02E3-A6D9-CE64-2788BC0BFF0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75" name="Shape 75">
            <a:extLst>
              <a:ext uri="{FF2B5EF4-FFF2-40B4-BE49-F238E27FC236}">
                <a16:creationId xmlns:a16="http://schemas.microsoft.com/office/drawing/2014/main" id="{1D757A01-C4D7-DF9C-522E-6D5DD2FE26A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776" name="Shape 76">
            <a:extLst>
              <a:ext uri="{FF2B5EF4-FFF2-40B4-BE49-F238E27FC236}">
                <a16:creationId xmlns:a16="http://schemas.microsoft.com/office/drawing/2014/main" id="{2CF7B5D6-23E8-96F0-A924-C24F2E18AA6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799</xdr:row>
      <xdr:rowOff>2978</xdr:rowOff>
    </xdr:from>
    <xdr:ext cx="33655" cy="33655"/>
    <xdr:grpSp>
      <xdr:nvGrpSpPr>
        <xdr:cNvPr id="6777" name="Group 2">
          <a:extLst>
            <a:ext uri="{FF2B5EF4-FFF2-40B4-BE49-F238E27FC236}">
              <a16:creationId xmlns:a16="http://schemas.microsoft.com/office/drawing/2014/main" id="{B6D58468-71B6-4BCF-9859-79BF558AA2CF}"/>
            </a:ext>
          </a:extLst>
        </xdr:cNvPr>
        <xdr:cNvGrpSpPr/>
      </xdr:nvGrpSpPr>
      <xdr:grpSpPr>
        <a:xfrm>
          <a:off x="4603072" y="147343798"/>
          <a:ext cx="33655" cy="33655"/>
          <a:chOff x="0" y="0"/>
          <a:chExt cx="33655" cy="33655"/>
        </a:xfrm>
      </xdr:grpSpPr>
      <xdr:sp macro="" textlink="">
        <xdr:nvSpPr>
          <xdr:cNvPr id="6778" name="Shape 3">
            <a:extLst>
              <a:ext uri="{FF2B5EF4-FFF2-40B4-BE49-F238E27FC236}">
                <a16:creationId xmlns:a16="http://schemas.microsoft.com/office/drawing/2014/main" id="{E753309F-6FD0-1C74-AE9C-A481EF117A6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79" name="Shape 4">
            <a:extLst>
              <a:ext uri="{FF2B5EF4-FFF2-40B4-BE49-F238E27FC236}">
                <a16:creationId xmlns:a16="http://schemas.microsoft.com/office/drawing/2014/main" id="{F276BB09-A748-3D64-146C-71B63EC2316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80" name="Shape 5">
            <a:extLst>
              <a:ext uri="{FF2B5EF4-FFF2-40B4-BE49-F238E27FC236}">
                <a16:creationId xmlns:a16="http://schemas.microsoft.com/office/drawing/2014/main" id="{F4D730B5-D921-EF7C-CBDC-403B676B64A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81" name="Shape 6">
            <a:extLst>
              <a:ext uri="{FF2B5EF4-FFF2-40B4-BE49-F238E27FC236}">
                <a16:creationId xmlns:a16="http://schemas.microsoft.com/office/drawing/2014/main" id="{614486D2-3F6F-8702-529E-B14C7654CFD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82" name="Shape 7">
            <a:extLst>
              <a:ext uri="{FF2B5EF4-FFF2-40B4-BE49-F238E27FC236}">
                <a16:creationId xmlns:a16="http://schemas.microsoft.com/office/drawing/2014/main" id="{09C739F8-5653-FFA5-3FCF-BB0BAE5B43A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83" name="Shape 8">
            <a:extLst>
              <a:ext uri="{FF2B5EF4-FFF2-40B4-BE49-F238E27FC236}">
                <a16:creationId xmlns:a16="http://schemas.microsoft.com/office/drawing/2014/main" id="{22376582-ADF8-2E9D-51F3-EB305FCA4D9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84" name="Shape 9">
            <a:extLst>
              <a:ext uri="{FF2B5EF4-FFF2-40B4-BE49-F238E27FC236}">
                <a16:creationId xmlns:a16="http://schemas.microsoft.com/office/drawing/2014/main" id="{835BAFDF-DD2F-D9CB-FAC9-DEA599C12A1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85" name="Shape 10">
            <a:extLst>
              <a:ext uri="{FF2B5EF4-FFF2-40B4-BE49-F238E27FC236}">
                <a16:creationId xmlns:a16="http://schemas.microsoft.com/office/drawing/2014/main" id="{D4D3DC42-2F4F-902E-7CFC-E22BA5CF508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86" name="Shape 11">
            <a:extLst>
              <a:ext uri="{FF2B5EF4-FFF2-40B4-BE49-F238E27FC236}">
                <a16:creationId xmlns:a16="http://schemas.microsoft.com/office/drawing/2014/main" id="{11C90FDF-1678-02B3-95F5-1E9FA1BB151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87" name="Shape 12">
            <a:extLst>
              <a:ext uri="{FF2B5EF4-FFF2-40B4-BE49-F238E27FC236}">
                <a16:creationId xmlns:a16="http://schemas.microsoft.com/office/drawing/2014/main" id="{22D46589-4025-9228-9D7D-994AE2ED42F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88" name="Shape 13">
            <a:extLst>
              <a:ext uri="{FF2B5EF4-FFF2-40B4-BE49-F238E27FC236}">
                <a16:creationId xmlns:a16="http://schemas.microsoft.com/office/drawing/2014/main" id="{CE5DF8DF-2E04-0702-B032-A148D6114C7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89" name="Shape 14">
            <a:extLst>
              <a:ext uri="{FF2B5EF4-FFF2-40B4-BE49-F238E27FC236}">
                <a16:creationId xmlns:a16="http://schemas.microsoft.com/office/drawing/2014/main" id="{2B892ECC-9CFD-9C6E-81AB-BA8D31A9289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90" name="Shape 15">
            <a:extLst>
              <a:ext uri="{FF2B5EF4-FFF2-40B4-BE49-F238E27FC236}">
                <a16:creationId xmlns:a16="http://schemas.microsoft.com/office/drawing/2014/main" id="{6C1C6F48-4209-85A6-663D-C6AC3A82C2E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91" name="Shape 16">
            <a:extLst>
              <a:ext uri="{FF2B5EF4-FFF2-40B4-BE49-F238E27FC236}">
                <a16:creationId xmlns:a16="http://schemas.microsoft.com/office/drawing/2014/main" id="{C582F7CB-E9ED-C8AD-5810-EBAE3AC0586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799</xdr:row>
      <xdr:rowOff>3246</xdr:rowOff>
    </xdr:from>
    <xdr:ext cx="33655" cy="33655"/>
    <xdr:grpSp>
      <xdr:nvGrpSpPr>
        <xdr:cNvPr id="6792" name="Group 17">
          <a:extLst>
            <a:ext uri="{FF2B5EF4-FFF2-40B4-BE49-F238E27FC236}">
              <a16:creationId xmlns:a16="http://schemas.microsoft.com/office/drawing/2014/main" id="{D9FBDB7A-2C37-4F00-B101-EEC392A406E6}"/>
            </a:ext>
          </a:extLst>
        </xdr:cNvPr>
        <xdr:cNvGrpSpPr/>
      </xdr:nvGrpSpPr>
      <xdr:grpSpPr>
        <a:xfrm>
          <a:off x="4603072" y="147344066"/>
          <a:ext cx="33655" cy="33655"/>
          <a:chOff x="0" y="0"/>
          <a:chExt cx="33655" cy="33655"/>
        </a:xfrm>
      </xdr:grpSpPr>
      <xdr:sp macro="" textlink="">
        <xdr:nvSpPr>
          <xdr:cNvPr id="6793" name="Shape 18">
            <a:extLst>
              <a:ext uri="{FF2B5EF4-FFF2-40B4-BE49-F238E27FC236}">
                <a16:creationId xmlns:a16="http://schemas.microsoft.com/office/drawing/2014/main" id="{9BA183DD-2E40-71CC-4E6D-B77A8D66986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94" name="Shape 19">
            <a:extLst>
              <a:ext uri="{FF2B5EF4-FFF2-40B4-BE49-F238E27FC236}">
                <a16:creationId xmlns:a16="http://schemas.microsoft.com/office/drawing/2014/main" id="{60176941-B69A-F201-0522-5BD03916346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95" name="Shape 20">
            <a:extLst>
              <a:ext uri="{FF2B5EF4-FFF2-40B4-BE49-F238E27FC236}">
                <a16:creationId xmlns:a16="http://schemas.microsoft.com/office/drawing/2014/main" id="{E3DA6F07-1C6D-7EF1-77F6-C09BDD4FBFA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96" name="Shape 21">
            <a:extLst>
              <a:ext uri="{FF2B5EF4-FFF2-40B4-BE49-F238E27FC236}">
                <a16:creationId xmlns:a16="http://schemas.microsoft.com/office/drawing/2014/main" id="{BBCF280E-971D-A9D9-7371-DBB1B2A180B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97" name="Shape 22">
            <a:extLst>
              <a:ext uri="{FF2B5EF4-FFF2-40B4-BE49-F238E27FC236}">
                <a16:creationId xmlns:a16="http://schemas.microsoft.com/office/drawing/2014/main" id="{76A7646E-DA1B-369C-4E86-9BB2661E0A1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798" name="Shape 23">
            <a:extLst>
              <a:ext uri="{FF2B5EF4-FFF2-40B4-BE49-F238E27FC236}">
                <a16:creationId xmlns:a16="http://schemas.microsoft.com/office/drawing/2014/main" id="{07115F73-CD14-21FD-B238-ADEA6077AD8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799" name="Shape 24">
            <a:extLst>
              <a:ext uri="{FF2B5EF4-FFF2-40B4-BE49-F238E27FC236}">
                <a16:creationId xmlns:a16="http://schemas.microsoft.com/office/drawing/2014/main" id="{7FFE78FA-D6EE-6CC6-5CD3-E2C247FD34B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00" name="Shape 25">
            <a:extLst>
              <a:ext uri="{FF2B5EF4-FFF2-40B4-BE49-F238E27FC236}">
                <a16:creationId xmlns:a16="http://schemas.microsoft.com/office/drawing/2014/main" id="{2D6D5E82-06D7-25DA-020A-5761B8DDC5E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01" name="Shape 26">
            <a:extLst>
              <a:ext uri="{FF2B5EF4-FFF2-40B4-BE49-F238E27FC236}">
                <a16:creationId xmlns:a16="http://schemas.microsoft.com/office/drawing/2014/main" id="{1E2801CB-2376-9791-7B6D-59F8A0A990D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02" name="Shape 27">
            <a:extLst>
              <a:ext uri="{FF2B5EF4-FFF2-40B4-BE49-F238E27FC236}">
                <a16:creationId xmlns:a16="http://schemas.microsoft.com/office/drawing/2014/main" id="{5BF7BAFC-8EEA-8FDD-6F90-950F25134EC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03" name="Shape 28">
            <a:extLst>
              <a:ext uri="{FF2B5EF4-FFF2-40B4-BE49-F238E27FC236}">
                <a16:creationId xmlns:a16="http://schemas.microsoft.com/office/drawing/2014/main" id="{6B7822D6-FCB3-AFBE-1954-55A34B1CBC4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04" name="Shape 29">
            <a:extLst>
              <a:ext uri="{FF2B5EF4-FFF2-40B4-BE49-F238E27FC236}">
                <a16:creationId xmlns:a16="http://schemas.microsoft.com/office/drawing/2014/main" id="{9DEB742E-51C1-190E-0760-376F53B7CD0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05" name="Shape 30">
            <a:extLst>
              <a:ext uri="{FF2B5EF4-FFF2-40B4-BE49-F238E27FC236}">
                <a16:creationId xmlns:a16="http://schemas.microsoft.com/office/drawing/2014/main" id="{8F6C6A9A-E916-2E07-CF73-82AAECE334D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06" name="Shape 31">
            <a:extLst>
              <a:ext uri="{FF2B5EF4-FFF2-40B4-BE49-F238E27FC236}">
                <a16:creationId xmlns:a16="http://schemas.microsoft.com/office/drawing/2014/main" id="{68821BDC-5A1A-1A9F-4E07-035E927CBDE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799</xdr:row>
      <xdr:rowOff>3703</xdr:rowOff>
    </xdr:from>
    <xdr:ext cx="33655" cy="33655"/>
    <xdr:grpSp>
      <xdr:nvGrpSpPr>
        <xdr:cNvPr id="6807" name="Group 32">
          <a:extLst>
            <a:ext uri="{FF2B5EF4-FFF2-40B4-BE49-F238E27FC236}">
              <a16:creationId xmlns:a16="http://schemas.microsoft.com/office/drawing/2014/main" id="{920DDBA7-BD21-4405-AB88-FAF63E24B95F}"/>
            </a:ext>
          </a:extLst>
        </xdr:cNvPr>
        <xdr:cNvGrpSpPr/>
      </xdr:nvGrpSpPr>
      <xdr:grpSpPr>
        <a:xfrm>
          <a:off x="4603072" y="147344523"/>
          <a:ext cx="33655" cy="33655"/>
          <a:chOff x="0" y="0"/>
          <a:chExt cx="33655" cy="33655"/>
        </a:xfrm>
      </xdr:grpSpPr>
      <xdr:sp macro="" textlink="">
        <xdr:nvSpPr>
          <xdr:cNvPr id="6808" name="Shape 33">
            <a:extLst>
              <a:ext uri="{FF2B5EF4-FFF2-40B4-BE49-F238E27FC236}">
                <a16:creationId xmlns:a16="http://schemas.microsoft.com/office/drawing/2014/main" id="{EF45D877-9DFC-3E1F-53ED-C40A6CF064B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09" name="Shape 34">
            <a:extLst>
              <a:ext uri="{FF2B5EF4-FFF2-40B4-BE49-F238E27FC236}">
                <a16:creationId xmlns:a16="http://schemas.microsoft.com/office/drawing/2014/main" id="{72E4E669-DF00-E35B-3B95-8566D5ED3F9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10" name="Shape 35">
            <a:extLst>
              <a:ext uri="{FF2B5EF4-FFF2-40B4-BE49-F238E27FC236}">
                <a16:creationId xmlns:a16="http://schemas.microsoft.com/office/drawing/2014/main" id="{456719B1-1B1C-D811-58E8-01123018B3B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11" name="Shape 36">
            <a:extLst>
              <a:ext uri="{FF2B5EF4-FFF2-40B4-BE49-F238E27FC236}">
                <a16:creationId xmlns:a16="http://schemas.microsoft.com/office/drawing/2014/main" id="{59EDB150-6827-0AD2-2206-316AC59BEDC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12" name="Shape 37">
            <a:extLst>
              <a:ext uri="{FF2B5EF4-FFF2-40B4-BE49-F238E27FC236}">
                <a16:creationId xmlns:a16="http://schemas.microsoft.com/office/drawing/2014/main" id="{A56817D7-F8BE-AF83-9BB9-5CBB971F536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13" name="Shape 38">
            <a:extLst>
              <a:ext uri="{FF2B5EF4-FFF2-40B4-BE49-F238E27FC236}">
                <a16:creationId xmlns:a16="http://schemas.microsoft.com/office/drawing/2014/main" id="{6F68323C-FD0F-D2CA-3BFF-2101E19330C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14" name="Shape 39">
            <a:extLst>
              <a:ext uri="{FF2B5EF4-FFF2-40B4-BE49-F238E27FC236}">
                <a16:creationId xmlns:a16="http://schemas.microsoft.com/office/drawing/2014/main" id="{71BFF8E9-9EB3-EB80-0B74-8FEF3D63B32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15" name="Shape 40">
            <a:extLst>
              <a:ext uri="{FF2B5EF4-FFF2-40B4-BE49-F238E27FC236}">
                <a16:creationId xmlns:a16="http://schemas.microsoft.com/office/drawing/2014/main" id="{ECA00609-4E37-4F06-510E-6FC0E23C18B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16" name="Shape 41">
            <a:extLst>
              <a:ext uri="{FF2B5EF4-FFF2-40B4-BE49-F238E27FC236}">
                <a16:creationId xmlns:a16="http://schemas.microsoft.com/office/drawing/2014/main" id="{85A4C361-711B-7C12-F815-1D544D74CB0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17" name="Shape 42">
            <a:extLst>
              <a:ext uri="{FF2B5EF4-FFF2-40B4-BE49-F238E27FC236}">
                <a16:creationId xmlns:a16="http://schemas.microsoft.com/office/drawing/2014/main" id="{EB5835C8-60EF-8BE3-9FCB-A4A9B0CCCA4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18" name="Shape 43">
            <a:extLst>
              <a:ext uri="{FF2B5EF4-FFF2-40B4-BE49-F238E27FC236}">
                <a16:creationId xmlns:a16="http://schemas.microsoft.com/office/drawing/2014/main" id="{C9BF6307-7675-FC6C-DD24-9BD29E49A89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19" name="Shape 44">
            <a:extLst>
              <a:ext uri="{FF2B5EF4-FFF2-40B4-BE49-F238E27FC236}">
                <a16:creationId xmlns:a16="http://schemas.microsoft.com/office/drawing/2014/main" id="{9B7C59DF-F910-7B45-FFA7-F4864058B0C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20" name="Shape 45">
            <a:extLst>
              <a:ext uri="{FF2B5EF4-FFF2-40B4-BE49-F238E27FC236}">
                <a16:creationId xmlns:a16="http://schemas.microsoft.com/office/drawing/2014/main" id="{6A86C44D-DCA2-126B-CEA3-CD021175784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21" name="Shape 46">
            <a:extLst>
              <a:ext uri="{FF2B5EF4-FFF2-40B4-BE49-F238E27FC236}">
                <a16:creationId xmlns:a16="http://schemas.microsoft.com/office/drawing/2014/main" id="{B9A81B4F-694B-797C-20F8-4964573F53C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799</xdr:row>
      <xdr:rowOff>3409</xdr:rowOff>
    </xdr:from>
    <xdr:ext cx="33655" cy="33655"/>
    <xdr:grpSp>
      <xdr:nvGrpSpPr>
        <xdr:cNvPr id="6822" name="Group 47">
          <a:extLst>
            <a:ext uri="{FF2B5EF4-FFF2-40B4-BE49-F238E27FC236}">
              <a16:creationId xmlns:a16="http://schemas.microsoft.com/office/drawing/2014/main" id="{15FC561C-1003-4D61-80B8-8CB70FB2B4B0}"/>
            </a:ext>
          </a:extLst>
        </xdr:cNvPr>
        <xdr:cNvGrpSpPr/>
      </xdr:nvGrpSpPr>
      <xdr:grpSpPr>
        <a:xfrm>
          <a:off x="4603072" y="147344229"/>
          <a:ext cx="33655" cy="33655"/>
          <a:chOff x="0" y="0"/>
          <a:chExt cx="33655" cy="33655"/>
        </a:xfrm>
      </xdr:grpSpPr>
      <xdr:sp macro="" textlink="">
        <xdr:nvSpPr>
          <xdr:cNvPr id="6823" name="Shape 48">
            <a:extLst>
              <a:ext uri="{FF2B5EF4-FFF2-40B4-BE49-F238E27FC236}">
                <a16:creationId xmlns:a16="http://schemas.microsoft.com/office/drawing/2014/main" id="{FA1E6589-3329-FC65-AE43-7E4C96883A1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24" name="Shape 49">
            <a:extLst>
              <a:ext uri="{FF2B5EF4-FFF2-40B4-BE49-F238E27FC236}">
                <a16:creationId xmlns:a16="http://schemas.microsoft.com/office/drawing/2014/main" id="{578E1CCD-D5E5-3722-DCC1-A65C63E2873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25" name="Shape 50">
            <a:extLst>
              <a:ext uri="{FF2B5EF4-FFF2-40B4-BE49-F238E27FC236}">
                <a16:creationId xmlns:a16="http://schemas.microsoft.com/office/drawing/2014/main" id="{00C59A96-DA36-BA47-0D4A-BDF849EFA45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26" name="Shape 51">
            <a:extLst>
              <a:ext uri="{FF2B5EF4-FFF2-40B4-BE49-F238E27FC236}">
                <a16:creationId xmlns:a16="http://schemas.microsoft.com/office/drawing/2014/main" id="{C04F0758-AA68-96C8-49A7-257995EA653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27" name="Shape 52">
            <a:extLst>
              <a:ext uri="{FF2B5EF4-FFF2-40B4-BE49-F238E27FC236}">
                <a16:creationId xmlns:a16="http://schemas.microsoft.com/office/drawing/2014/main" id="{18BD0840-2EC8-6A1B-0892-F5F4A467CB0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28" name="Shape 53">
            <a:extLst>
              <a:ext uri="{FF2B5EF4-FFF2-40B4-BE49-F238E27FC236}">
                <a16:creationId xmlns:a16="http://schemas.microsoft.com/office/drawing/2014/main" id="{C504D5D9-4D1A-D279-EA70-E1651C54CF4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29" name="Shape 54">
            <a:extLst>
              <a:ext uri="{FF2B5EF4-FFF2-40B4-BE49-F238E27FC236}">
                <a16:creationId xmlns:a16="http://schemas.microsoft.com/office/drawing/2014/main" id="{59265F0D-E862-C8BE-3784-E599E481956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30" name="Shape 55">
            <a:extLst>
              <a:ext uri="{FF2B5EF4-FFF2-40B4-BE49-F238E27FC236}">
                <a16:creationId xmlns:a16="http://schemas.microsoft.com/office/drawing/2014/main" id="{B8C14E9B-E515-0644-9D8E-E1CD50752FD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31" name="Shape 56">
            <a:extLst>
              <a:ext uri="{FF2B5EF4-FFF2-40B4-BE49-F238E27FC236}">
                <a16:creationId xmlns:a16="http://schemas.microsoft.com/office/drawing/2014/main" id="{6906A870-6EF9-26F6-DCD5-4124D2EDCF2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32" name="Shape 57">
            <a:extLst>
              <a:ext uri="{FF2B5EF4-FFF2-40B4-BE49-F238E27FC236}">
                <a16:creationId xmlns:a16="http://schemas.microsoft.com/office/drawing/2014/main" id="{A480FAB4-8A38-43A4-CFF2-B899305DA6D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33" name="Shape 58">
            <a:extLst>
              <a:ext uri="{FF2B5EF4-FFF2-40B4-BE49-F238E27FC236}">
                <a16:creationId xmlns:a16="http://schemas.microsoft.com/office/drawing/2014/main" id="{B4553DF6-7582-E038-BA18-D967AF20C12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34" name="Shape 59">
            <a:extLst>
              <a:ext uri="{FF2B5EF4-FFF2-40B4-BE49-F238E27FC236}">
                <a16:creationId xmlns:a16="http://schemas.microsoft.com/office/drawing/2014/main" id="{3BC83220-485B-2711-6ADD-D1D2C7C7F81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35" name="Shape 60">
            <a:extLst>
              <a:ext uri="{FF2B5EF4-FFF2-40B4-BE49-F238E27FC236}">
                <a16:creationId xmlns:a16="http://schemas.microsoft.com/office/drawing/2014/main" id="{D1CC9ADA-3B00-7E02-B20A-DB6C92F2746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36" name="Shape 61">
            <a:extLst>
              <a:ext uri="{FF2B5EF4-FFF2-40B4-BE49-F238E27FC236}">
                <a16:creationId xmlns:a16="http://schemas.microsoft.com/office/drawing/2014/main" id="{41B85AF7-54FC-E5C7-D3E8-987A1C8BD3C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799</xdr:row>
      <xdr:rowOff>3962</xdr:rowOff>
    </xdr:from>
    <xdr:ext cx="33655" cy="33655"/>
    <xdr:grpSp>
      <xdr:nvGrpSpPr>
        <xdr:cNvPr id="6837" name="Group 62">
          <a:extLst>
            <a:ext uri="{FF2B5EF4-FFF2-40B4-BE49-F238E27FC236}">
              <a16:creationId xmlns:a16="http://schemas.microsoft.com/office/drawing/2014/main" id="{E56AB2AA-6D99-4DE4-82FA-5F8710B0AF48}"/>
            </a:ext>
          </a:extLst>
        </xdr:cNvPr>
        <xdr:cNvGrpSpPr/>
      </xdr:nvGrpSpPr>
      <xdr:grpSpPr>
        <a:xfrm>
          <a:off x="4603072" y="147344782"/>
          <a:ext cx="33655" cy="33655"/>
          <a:chOff x="0" y="0"/>
          <a:chExt cx="33655" cy="33655"/>
        </a:xfrm>
      </xdr:grpSpPr>
      <xdr:sp macro="" textlink="">
        <xdr:nvSpPr>
          <xdr:cNvPr id="6838" name="Shape 63">
            <a:extLst>
              <a:ext uri="{FF2B5EF4-FFF2-40B4-BE49-F238E27FC236}">
                <a16:creationId xmlns:a16="http://schemas.microsoft.com/office/drawing/2014/main" id="{6FDD2463-2D05-8E9F-790A-62104CA62D3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39" name="Shape 64">
            <a:extLst>
              <a:ext uri="{FF2B5EF4-FFF2-40B4-BE49-F238E27FC236}">
                <a16:creationId xmlns:a16="http://schemas.microsoft.com/office/drawing/2014/main" id="{57E4D0A0-65B0-6386-9122-BD257241222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840" name="Shape 65">
            <a:extLst>
              <a:ext uri="{FF2B5EF4-FFF2-40B4-BE49-F238E27FC236}">
                <a16:creationId xmlns:a16="http://schemas.microsoft.com/office/drawing/2014/main" id="{1348F3B9-CCE3-5611-4DB5-ED42A106A60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41" name="Shape 66">
            <a:extLst>
              <a:ext uri="{FF2B5EF4-FFF2-40B4-BE49-F238E27FC236}">
                <a16:creationId xmlns:a16="http://schemas.microsoft.com/office/drawing/2014/main" id="{BC791FC1-4A44-B58A-21D4-F00EE641D3A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842" name="Shape 67">
            <a:extLst>
              <a:ext uri="{FF2B5EF4-FFF2-40B4-BE49-F238E27FC236}">
                <a16:creationId xmlns:a16="http://schemas.microsoft.com/office/drawing/2014/main" id="{5ED15B06-A950-4225-88D6-E11C08FE0AA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43" name="Shape 68">
            <a:extLst>
              <a:ext uri="{FF2B5EF4-FFF2-40B4-BE49-F238E27FC236}">
                <a16:creationId xmlns:a16="http://schemas.microsoft.com/office/drawing/2014/main" id="{E53BF903-0C39-8773-B68F-C640BC66D7E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844" name="Shape 69">
            <a:extLst>
              <a:ext uri="{FF2B5EF4-FFF2-40B4-BE49-F238E27FC236}">
                <a16:creationId xmlns:a16="http://schemas.microsoft.com/office/drawing/2014/main" id="{D8572969-FDC9-5E4B-0081-86EF88C28CA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45" name="Shape 70">
            <a:extLst>
              <a:ext uri="{FF2B5EF4-FFF2-40B4-BE49-F238E27FC236}">
                <a16:creationId xmlns:a16="http://schemas.microsoft.com/office/drawing/2014/main" id="{02F61157-5C8A-B92F-9150-906941CFED5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846" name="Shape 71">
            <a:extLst>
              <a:ext uri="{FF2B5EF4-FFF2-40B4-BE49-F238E27FC236}">
                <a16:creationId xmlns:a16="http://schemas.microsoft.com/office/drawing/2014/main" id="{C24C068E-C644-EEA3-05D0-1501EB3BD8E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47" name="Shape 72">
            <a:extLst>
              <a:ext uri="{FF2B5EF4-FFF2-40B4-BE49-F238E27FC236}">
                <a16:creationId xmlns:a16="http://schemas.microsoft.com/office/drawing/2014/main" id="{3F867101-AFBD-BABD-FEDC-1CF1C902090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848" name="Shape 73">
            <a:extLst>
              <a:ext uri="{FF2B5EF4-FFF2-40B4-BE49-F238E27FC236}">
                <a16:creationId xmlns:a16="http://schemas.microsoft.com/office/drawing/2014/main" id="{4D47F2CC-E2DF-A883-2CE2-0C442204F5E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49" name="Shape 74">
            <a:extLst>
              <a:ext uri="{FF2B5EF4-FFF2-40B4-BE49-F238E27FC236}">
                <a16:creationId xmlns:a16="http://schemas.microsoft.com/office/drawing/2014/main" id="{F1191706-2C34-8AAB-7748-38F0E1D1D90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850" name="Shape 75">
            <a:extLst>
              <a:ext uri="{FF2B5EF4-FFF2-40B4-BE49-F238E27FC236}">
                <a16:creationId xmlns:a16="http://schemas.microsoft.com/office/drawing/2014/main" id="{7FC67E89-802C-FADC-C6C3-1990253BA4E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851" name="Shape 76">
            <a:extLst>
              <a:ext uri="{FF2B5EF4-FFF2-40B4-BE49-F238E27FC236}">
                <a16:creationId xmlns:a16="http://schemas.microsoft.com/office/drawing/2014/main" id="{AED10986-48BE-0CD2-32B7-98A965AC4AD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799</xdr:row>
      <xdr:rowOff>2978</xdr:rowOff>
    </xdr:from>
    <xdr:ext cx="33655" cy="33655"/>
    <xdr:grpSp>
      <xdr:nvGrpSpPr>
        <xdr:cNvPr id="6852" name="Group 2">
          <a:extLst>
            <a:ext uri="{FF2B5EF4-FFF2-40B4-BE49-F238E27FC236}">
              <a16:creationId xmlns:a16="http://schemas.microsoft.com/office/drawing/2014/main" id="{2806A115-CFEE-4637-83CB-D3729B646E4C}"/>
            </a:ext>
          </a:extLst>
        </xdr:cNvPr>
        <xdr:cNvGrpSpPr/>
      </xdr:nvGrpSpPr>
      <xdr:grpSpPr>
        <a:xfrm>
          <a:off x="4603072" y="147343798"/>
          <a:ext cx="33655" cy="33655"/>
          <a:chOff x="0" y="0"/>
          <a:chExt cx="33655" cy="33655"/>
        </a:xfrm>
      </xdr:grpSpPr>
      <xdr:sp macro="" textlink="">
        <xdr:nvSpPr>
          <xdr:cNvPr id="6853" name="Shape 3">
            <a:extLst>
              <a:ext uri="{FF2B5EF4-FFF2-40B4-BE49-F238E27FC236}">
                <a16:creationId xmlns:a16="http://schemas.microsoft.com/office/drawing/2014/main" id="{9C9756EA-89E8-FC34-2984-F979B232F17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54" name="Shape 4">
            <a:extLst>
              <a:ext uri="{FF2B5EF4-FFF2-40B4-BE49-F238E27FC236}">
                <a16:creationId xmlns:a16="http://schemas.microsoft.com/office/drawing/2014/main" id="{ED1A1C3F-DE34-BFDB-36FF-3C0B9A45878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55" name="Shape 5">
            <a:extLst>
              <a:ext uri="{FF2B5EF4-FFF2-40B4-BE49-F238E27FC236}">
                <a16:creationId xmlns:a16="http://schemas.microsoft.com/office/drawing/2014/main" id="{92758022-CDF6-FE2C-9B0B-D492C859EAB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56" name="Shape 6">
            <a:extLst>
              <a:ext uri="{FF2B5EF4-FFF2-40B4-BE49-F238E27FC236}">
                <a16:creationId xmlns:a16="http://schemas.microsoft.com/office/drawing/2014/main" id="{FD399C24-C7F5-4A5C-4085-62B17E42CC7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57" name="Shape 7">
            <a:extLst>
              <a:ext uri="{FF2B5EF4-FFF2-40B4-BE49-F238E27FC236}">
                <a16:creationId xmlns:a16="http://schemas.microsoft.com/office/drawing/2014/main" id="{725BF241-05C9-98D2-C278-D9AD42CCFCC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58" name="Shape 8">
            <a:extLst>
              <a:ext uri="{FF2B5EF4-FFF2-40B4-BE49-F238E27FC236}">
                <a16:creationId xmlns:a16="http://schemas.microsoft.com/office/drawing/2014/main" id="{BABA374E-B46B-DB55-86D5-D074D88F7F3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59" name="Shape 9">
            <a:extLst>
              <a:ext uri="{FF2B5EF4-FFF2-40B4-BE49-F238E27FC236}">
                <a16:creationId xmlns:a16="http://schemas.microsoft.com/office/drawing/2014/main" id="{CF60C5E6-C0E7-18BC-2911-3973D0F3552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60" name="Shape 10">
            <a:extLst>
              <a:ext uri="{FF2B5EF4-FFF2-40B4-BE49-F238E27FC236}">
                <a16:creationId xmlns:a16="http://schemas.microsoft.com/office/drawing/2014/main" id="{4F0A7480-18A4-6546-8C9D-0BBC7614673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61" name="Shape 11">
            <a:extLst>
              <a:ext uri="{FF2B5EF4-FFF2-40B4-BE49-F238E27FC236}">
                <a16:creationId xmlns:a16="http://schemas.microsoft.com/office/drawing/2014/main" id="{96312DD6-56AE-8ABD-B622-2E2891532E6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62" name="Shape 12">
            <a:extLst>
              <a:ext uri="{FF2B5EF4-FFF2-40B4-BE49-F238E27FC236}">
                <a16:creationId xmlns:a16="http://schemas.microsoft.com/office/drawing/2014/main" id="{CC6F7585-E30F-5097-6571-1ED985DB1E0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63" name="Shape 13">
            <a:extLst>
              <a:ext uri="{FF2B5EF4-FFF2-40B4-BE49-F238E27FC236}">
                <a16:creationId xmlns:a16="http://schemas.microsoft.com/office/drawing/2014/main" id="{28C82E6E-22A6-CDF1-BC80-35CA8BEC7AF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64" name="Shape 14">
            <a:extLst>
              <a:ext uri="{FF2B5EF4-FFF2-40B4-BE49-F238E27FC236}">
                <a16:creationId xmlns:a16="http://schemas.microsoft.com/office/drawing/2014/main" id="{A66B08BB-C4B2-B1AB-E3CD-1ED79F934CC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65" name="Shape 15">
            <a:extLst>
              <a:ext uri="{FF2B5EF4-FFF2-40B4-BE49-F238E27FC236}">
                <a16:creationId xmlns:a16="http://schemas.microsoft.com/office/drawing/2014/main" id="{5A03FE0D-8F42-0563-0012-E937FC322A5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66" name="Shape 16">
            <a:extLst>
              <a:ext uri="{FF2B5EF4-FFF2-40B4-BE49-F238E27FC236}">
                <a16:creationId xmlns:a16="http://schemas.microsoft.com/office/drawing/2014/main" id="{1214D903-5C39-86DB-6D8F-4527D78CB87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799</xdr:row>
      <xdr:rowOff>3246</xdr:rowOff>
    </xdr:from>
    <xdr:ext cx="33655" cy="33655"/>
    <xdr:grpSp>
      <xdr:nvGrpSpPr>
        <xdr:cNvPr id="6867" name="Group 17">
          <a:extLst>
            <a:ext uri="{FF2B5EF4-FFF2-40B4-BE49-F238E27FC236}">
              <a16:creationId xmlns:a16="http://schemas.microsoft.com/office/drawing/2014/main" id="{0ED01F4A-6613-474D-8A5E-D7323CCA176D}"/>
            </a:ext>
          </a:extLst>
        </xdr:cNvPr>
        <xdr:cNvGrpSpPr/>
      </xdr:nvGrpSpPr>
      <xdr:grpSpPr>
        <a:xfrm>
          <a:off x="4603072" y="147344066"/>
          <a:ext cx="33655" cy="33655"/>
          <a:chOff x="0" y="0"/>
          <a:chExt cx="33655" cy="33655"/>
        </a:xfrm>
      </xdr:grpSpPr>
      <xdr:sp macro="" textlink="">
        <xdr:nvSpPr>
          <xdr:cNvPr id="6868" name="Shape 18">
            <a:extLst>
              <a:ext uri="{FF2B5EF4-FFF2-40B4-BE49-F238E27FC236}">
                <a16:creationId xmlns:a16="http://schemas.microsoft.com/office/drawing/2014/main" id="{1D6E4BD5-E00A-B199-D269-42E791E02A1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69" name="Shape 19">
            <a:extLst>
              <a:ext uri="{FF2B5EF4-FFF2-40B4-BE49-F238E27FC236}">
                <a16:creationId xmlns:a16="http://schemas.microsoft.com/office/drawing/2014/main" id="{71D6F11E-B5B4-8D71-B3D4-824C6446264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70" name="Shape 20">
            <a:extLst>
              <a:ext uri="{FF2B5EF4-FFF2-40B4-BE49-F238E27FC236}">
                <a16:creationId xmlns:a16="http://schemas.microsoft.com/office/drawing/2014/main" id="{E1EDC4C9-4D7F-A7AD-15F8-15CEC3D9757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71" name="Shape 21">
            <a:extLst>
              <a:ext uri="{FF2B5EF4-FFF2-40B4-BE49-F238E27FC236}">
                <a16:creationId xmlns:a16="http://schemas.microsoft.com/office/drawing/2014/main" id="{40BEECE5-686D-AB65-A281-78A9110A86E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72" name="Shape 22">
            <a:extLst>
              <a:ext uri="{FF2B5EF4-FFF2-40B4-BE49-F238E27FC236}">
                <a16:creationId xmlns:a16="http://schemas.microsoft.com/office/drawing/2014/main" id="{6A3FA157-210A-E4F0-356F-EAAC15663C0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73" name="Shape 23">
            <a:extLst>
              <a:ext uri="{FF2B5EF4-FFF2-40B4-BE49-F238E27FC236}">
                <a16:creationId xmlns:a16="http://schemas.microsoft.com/office/drawing/2014/main" id="{DC87D867-8CCB-FE55-0175-A29FD7835FD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74" name="Shape 24">
            <a:extLst>
              <a:ext uri="{FF2B5EF4-FFF2-40B4-BE49-F238E27FC236}">
                <a16:creationId xmlns:a16="http://schemas.microsoft.com/office/drawing/2014/main" id="{A8CACC02-E731-32C7-4186-DEFE504B482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75" name="Shape 25">
            <a:extLst>
              <a:ext uri="{FF2B5EF4-FFF2-40B4-BE49-F238E27FC236}">
                <a16:creationId xmlns:a16="http://schemas.microsoft.com/office/drawing/2014/main" id="{2138AD93-BC10-0CCD-CB5D-9DB9AED5A7A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76" name="Shape 26">
            <a:extLst>
              <a:ext uri="{FF2B5EF4-FFF2-40B4-BE49-F238E27FC236}">
                <a16:creationId xmlns:a16="http://schemas.microsoft.com/office/drawing/2014/main" id="{EBC6EC5F-D933-BE72-3105-A5878A1CF42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77" name="Shape 27">
            <a:extLst>
              <a:ext uri="{FF2B5EF4-FFF2-40B4-BE49-F238E27FC236}">
                <a16:creationId xmlns:a16="http://schemas.microsoft.com/office/drawing/2014/main" id="{6904D276-812B-1E91-3545-9A8761A29BD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78" name="Shape 28">
            <a:extLst>
              <a:ext uri="{FF2B5EF4-FFF2-40B4-BE49-F238E27FC236}">
                <a16:creationId xmlns:a16="http://schemas.microsoft.com/office/drawing/2014/main" id="{8CB4CF67-DEE8-4BB6-2C8C-26F12130DD5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79" name="Shape 29">
            <a:extLst>
              <a:ext uri="{FF2B5EF4-FFF2-40B4-BE49-F238E27FC236}">
                <a16:creationId xmlns:a16="http://schemas.microsoft.com/office/drawing/2014/main" id="{24E41422-9389-2FF3-B0A2-0DBA02C2E32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80" name="Shape 30">
            <a:extLst>
              <a:ext uri="{FF2B5EF4-FFF2-40B4-BE49-F238E27FC236}">
                <a16:creationId xmlns:a16="http://schemas.microsoft.com/office/drawing/2014/main" id="{D94AA5AE-645C-C96D-102B-4E632D75DF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81" name="Shape 31">
            <a:extLst>
              <a:ext uri="{FF2B5EF4-FFF2-40B4-BE49-F238E27FC236}">
                <a16:creationId xmlns:a16="http://schemas.microsoft.com/office/drawing/2014/main" id="{0E89F36C-30A8-4E3A-5F37-A295204289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799</xdr:row>
      <xdr:rowOff>3703</xdr:rowOff>
    </xdr:from>
    <xdr:ext cx="33655" cy="33655"/>
    <xdr:grpSp>
      <xdr:nvGrpSpPr>
        <xdr:cNvPr id="6882" name="Group 32">
          <a:extLst>
            <a:ext uri="{FF2B5EF4-FFF2-40B4-BE49-F238E27FC236}">
              <a16:creationId xmlns:a16="http://schemas.microsoft.com/office/drawing/2014/main" id="{95EDB4E9-EBC5-4EF7-8396-4BC6BE8505C8}"/>
            </a:ext>
          </a:extLst>
        </xdr:cNvPr>
        <xdr:cNvGrpSpPr/>
      </xdr:nvGrpSpPr>
      <xdr:grpSpPr>
        <a:xfrm>
          <a:off x="4603072" y="147344523"/>
          <a:ext cx="33655" cy="33655"/>
          <a:chOff x="0" y="0"/>
          <a:chExt cx="33655" cy="33655"/>
        </a:xfrm>
      </xdr:grpSpPr>
      <xdr:sp macro="" textlink="">
        <xdr:nvSpPr>
          <xdr:cNvPr id="6883" name="Shape 33">
            <a:extLst>
              <a:ext uri="{FF2B5EF4-FFF2-40B4-BE49-F238E27FC236}">
                <a16:creationId xmlns:a16="http://schemas.microsoft.com/office/drawing/2014/main" id="{190B584D-7481-BA3E-59E1-3368CECF089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84" name="Shape 34">
            <a:extLst>
              <a:ext uri="{FF2B5EF4-FFF2-40B4-BE49-F238E27FC236}">
                <a16:creationId xmlns:a16="http://schemas.microsoft.com/office/drawing/2014/main" id="{60E27DFB-1A96-25FB-BE09-0314AA18BCB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85" name="Shape 35">
            <a:extLst>
              <a:ext uri="{FF2B5EF4-FFF2-40B4-BE49-F238E27FC236}">
                <a16:creationId xmlns:a16="http://schemas.microsoft.com/office/drawing/2014/main" id="{6C8BF4C7-104F-1986-49CA-9C9B3B98E88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86" name="Shape 36">
            <a:extLst>
              <a:ext uri="{FF2B5EF4-FFF2-40B4-BE49-F238E27FC236}">
                <a16:creationId xmlns:a16="http://schemas.microsoft.com/office/drawing/2014/main" id="{5150AB01-4ED2-FFCE-121E-5C5BAE7E358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87" name="Shape 37">
            <a:extLst>
              <a:ext uri="{FF2B5EF4-FFF2-40B4-BE49-F238E27FC236}">
                <a16:creationId xmlns:a16="http://schemas.microsoft.com/office/drawing/2014/main" id="{F107FF45-65B6-AD02-2DAA-1C1D615E2AB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88" name="Shape 38">
            <a:extLst>
              <a:ext uri="{FF2B5EF4-FFF2-40B4-BE49-F238E27FC236}">
                <a16:creationId xmlns:a16="http://schemas.microsoft.com/office/drawing/2014/main" id="{C67DB98C-FAE0-1A09-1BDB-BC941FDBB5E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89" name="Shape 39">
            <a:extLst>
              <a:ext uri="{FF2B5EF4-FFF2-40B4-BE49-F238E27FC236}">
                <a16:creationId xmlns:a16="http://schemas.microsoft.com/office/drawing/2014/main" id="{DBE2E219-27BF-BB29-B94D-D8BD3BD376E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90" name="Shape 40">
            <a:extLst>
              <a:ext uri="{FF2B5EF4-FFF2-40B4-BE49-F238E27FC236}">
                <a16:creationId xmlns:a16="http://schemas.microsoft.com/office/drawing/2014/main" id="{9D6F99CC-2A81-3049-1F20-B28E4848D72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91" name="Shape 41">
            <a:extLst>
              <a:ext uri="{FF2B5EF4-FFF2-40B4-BE49-F238E27FC236}">
                <a16:creationId xmlns:a16="http://schemas.microsoft.com/office/drawing/2014/main" id="{36CCBDE8-D292-FF45-EAF6-B87E5A6E7FA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92" name="Shape 42">
            <a:extLst>
              <a:ext uri="{FF2B5EF4-FFF2-40B4-BE49-F238E27FC236}">
                <a16:creationId xmlns:a16="http://schemas.microsoft.com/office/drawing/2014/main" id="{2EE46F5B-F4B6-E07B-EA32-EF342ED9FA6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93" name="Shape 43">
            <a:extLst>
              <a:ext uri="{FF2B5EF4-FFF2-40B4-BE49-F238E27FC236}">
                <a16:creationId xmlns:a16="http://schemas.microsoft.com/office/drawing/2014/main" id="{39612E36-90B9-6C5B-66C4-AF67F80B8CB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94" name="Shape 44">
            <a:extLst>
              <a:ext uri="{FF2B5EF4-FFF2-40B4-BE49-F238E27FC236}">
                <a16:creationId xmlns:a16="http://schemas.microsoft.com/office/drawing/2014/main" id="{C7464ED8-51DF-97DA-BD6F-C7633B01336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95" name="Shape 45">
            <a:extLst>
              <a:ext uri="{FF2B5EF4-FFF2-40B4-BE49-F238E27FC236}">
                <a16:creationId xmlns:a16="http://schemas.microsoft.com/office/drawing/2014/main" id="{B85EAC1E-4BC7-6BDE-D094-4E69E480626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896" name="Shape 46">
            <a:extLst>
              <a:ext uri="{FF2B5EF4-FFF2-40B4-BE49-F238E27FC236}">
                <a16:creationId xmlns:a16="http://schemas.microsoft.com/office/drawing/2014/main" id="{EE3CA9D1-DE7A-C754-22BE-7486B5EB4B5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799</xdr:row>
      <xdr:rowOff>3409</xdr:rowOff>
    </xdr:from>
    <xdr:ext cx="33655" cy="33655"/>
    <xdr:grpSp>
      <xdr:nvGrpSpPr>
        <xdr:cNvPr id="6897" name="Group 47">
          <a:extLst>
            <a:ext uri="{FF2B5EF4-FFF2-40B4-BE49-F238E27FC236}">
              <a16:creationId xmlns:a16="http://schemas.microsoft.com/office/drawing/2014/main" id="{EDBA3661-04BF-4672-8895-6B14D23BBB73}"/>
            </a:ext>
          </a:extLst>
        </xdr:cNvPr>
        <xdr:cNvGrpSpPr/>
      </xdr:nvGrpSpPr>
      <xdr:grpSpPr>
        <a:xfrm>
          <a:off x="4603072" y="147344229"/>
          <a:ext cx="33655" cy="33655"/>
          <a:chOff x="0" y="0"/>
          <a:chExt cx="33655" cy="33655"/>
        </a:xfrm>
      </xdr:grpSpPr>
      <xdr:sp macro="" textlink="">
        <xdr:nvSpPr>
          <xdr:cNvPr id="6898" name="Shape 48">
            <a:extLst>
              <a:ext uri="{FF2B5EF4-FFF2-40B4-BE49-F238E27FC236}">
                <a16:creationId xmlns:a16="http://schemas.microsoft.com/office/drawing/2014/main" id="{86850EE1-F9BC-4E34-F0B6-DC7E80312F1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899" name="Shape 49">
            <a:extLst>
              <a:ext uri="{FF2B5EF4-FFF2-40B4-BE49-F238E27FC236}">
                <a16:creationId xmlns:a16="http://schemas.microsoft.com/office/drawing/2014/main" id="{0AD9410C-A475-6C61-07FA-74B9916C8D1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00" name="Shape 50">
            <a:extLst>
              <a:ext uri="{FF2B5EF4-FFF2-40B4-BE49-F238E27FC236}">
                <a16:creationId xmlns:a16="http://schemas.microsoft.com/office/drawing/2014/main" id="{2186C93A-4DEA-B32D-E833-3DE5E85C9A6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01" name="Shape 51">
            <a:extLst>
              <a:ext uri="{FF2B5EF4-FFF2-40B4-BE49-F238E27FC236}">
                <a16:creationId xmlns:a16="http://schemas.microsoft.com/office/drawing/2014/main" id="{15D24164-8336-30A9-BE27-19758E9E61E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02" name="Shape 52">
            <a:extLst>
              <a:ext uri="{FF2B5EF4-FFF2-40B4-BE49-F238E27FC236}">
                <a16:creationId xmlns:a16="http://schemas.microsoft.com/office/drawing/2014/main" id="{66D58309-9B07-3D86-C3C9-94425F40C29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03" name="Shape 53">
            <a:extLst>
              <a:ext uri="{FF2B5EF4-FFF2-40B4-BE49-F238E27FC236}">
                <a16:creationId xmlns:a16="http://schemas.microsoft.com/office/drawing/2014/main" id="{C8B9EFC9-CF49-782F-AE46-446A598D5CC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04" name="Shape 54">
            <a:extLst>
              <a:ext uri="{FF2B5EF4-FFF2-40B4-BE49-F238E27FC236}">
                <a16:creationId xmlns:a16="http://schemas.microsoft.com/office/drawing/2014/main" id="{C163F920-BB1F-F6D2-C2AE-D8E07462309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05" name="Shape 55">
            <a:extLst>
              <a:ext uri="{FF2B5EF4-FFF2-40B4-BE49-F238E27FC236}">
                <a16:creationId xmlns:a16="http://schemas.microsoft.com/office/drawing/2014/main" id="{E5E6C221-D9FC-1D7F-1517-529EDFD5932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06" name="Shape 56">
            <a:extLst>
              <a:ext uri="{FF2B5EF4-FFF2-40B4-BE49-F238E27FC236}">
                <a16:creationId xmlns:a16="http://schemas.microsoft.com/office/drawing/2014/main" id="{0B5B2FAC-6B43-505D-C39E-3A1FC8BB8C6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07" name="Shape 57">
            <a:extLst>
              <a:ext uri="{FF2B5EF4-FFF2-40B4-BE49-F238E27FC236}">
                <a16:creationId xmlns:a16="http://schemas.microsoft.com/office/drawing/2014/main" id="{AE660190-9B16-38A7-E395-D427634F26F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08" name="Shape 58">
            <a:extLst>
              <a:ext uri="{FF2B5EF4-FFF2-40B4-BE49-F238E27FC236}">
                <a16:creationId xmlns:a16="http://schemas.microsoft.com/office/drawing/2014/main" id="{0DCEA25D-EB4F-4DB4-C492-397C214950F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09" name="Shape 59">
            <a:extLst>
              <a:ext uri="{FF2B5EF4-FFF2-40B4-BE49-F238E27FC236}">
                <a16:creationId xmlns:a16="http://schemas.microsoft.com/office/drawing/2014/main" id="{EE2429A4-9E81-1265-A773-4155EB3386D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10" name="Shape 60">
            <a:extLst>
              <a:ext uri="{FF2B5EF4-FFF2-40B4-BE49-F238E27FC236}">
                <a16:creationId xmlns:a16="http://schemas.microsoft.com/office/drawing/2014/main" id="{FEFF40FA-468C-7FD5-DCCB-6B094F770C2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11" name="Shape 61">
            <a:extLst>
              <a:ext uri="{FF2B5EF4-FFF2-40B4-BE49-F238E27FC236}">
                <a16:creationId xmlns:a16="http://schemas.microsoft.com/office/drawing/2014/main" id="{BD1E66BD-2589-BF98-B634-8A6D5327B3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799</xdr:row>
      <xdr:rowOff>3962</xdr:rowOff>
    </xdr:from>
    <xdr:ext cx="33655" cy="33655"/>
    <xdr:grpSp>
      <xdr:nvGrpSpPr>
        <xdr:cNvPr id="6912" name="Group 62">
          <a:extLst>
            <a:ext uri="{FF2B5EF4-FFF2-40B4-BE49-F238E27FC236}">
              <a16:creationId xmlns:a16="http://schemas.microsoft.com/office/drawing/2014/main" id="{40344163-5204-4D7F-A027-043B6E293100}"/>
            </a:ext>
          </a:extLst>
        </xdr:cNvPr>
        <xdr:cNvGrpSpPr/>
      </xdr:nvGrpSpPr>
      <xdr:grpSpPr>
        <a:xfrm>
          <a:off x="4603072" y="147344782"/>
          <a:ext cx="33655" cy="33655"/>
          <a:chOff x="0" y="0"/>
          <a:chExt cx="33655" cy="33655"/>
        </a:xfrm>
      </xdr:grpSpPr>
      <xdr:sp macro="" textlink="">
        <xdr:nvSpPr>
          <xdr:cNvPr id="6913" name="Shape 63">
            <a:extLst>
              <a:ext uri="{FF2B5EF4-FFF2-40B4-BE49-F238E27FC236}">
                <a16:creationId xmlns:a16="http://schemas.microsoft.com/office/drawing/2014/main" id="{105172A7-0147-13AE-8062-125532F8104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14" name="Shape 64">
            <a:extLst>
              <a:ext uri="{FF2B5EF4-FFF2-40B4-BE49-F238E27FC236}">
                <a16:creationId xmlns:a16="http://schemas.microsoft.com/office/drawing/2014/main" id="{6ABD709E-F5BF-D43C-FA1E-F53308711FE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15" name="Shape 65">
            <a:extLst>
              <a:ext uri="{FF2B5EF4-FFF2-40B4-BE49-F238E27FC236}">
                <a16:creationId xmlns:a16="http://schemas.microsoft.com/office/drawing/2014/main" id="{0827D4C8-3084-2C1B-21D0-151F1C142E4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16" name="Shape 66">
            <a:extLst>
              <a:ext uri="{FF2B5EF4-FFF2-40B4-BE49-F238E27FC236}">
                <a16:creationId xmlns:a16="http://schemas.microsoft.com/office/drawing/2014/main" id="{D6E1E84E-6C79-53FA-D428-0980293C5B8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17" name="Shape 67">
            <a:extLst>
              <a:ext uri="{FF2B5EF4-FFF2-40B4-BE49-F238E27FC236}">
                <a16:creationId xmlns:a16="http://schemas.microsoft.com/office/drawing/2014/main" id="{97148ED6-E452-E3F4-1655-115F0B98050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18" name="Shape 68">
            <a:extLst>
              <a:ext uri="{FF2B5EF4-FFF2-40B4-BE49-F238E27FC236}">
                <a16:creationId xmlns:a16="http://schemas.microsoft.com/office/drawing/2014/main" id="{34EC10B9-72BE-973F-8251-9973EC780C5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19" name="Shape 69">
            <a:extLst>
              <a:ext uri="{FF2B5EF4-FFF2-40B4-BE49-F238E27FC236}">
                <a16:creationId xmlns:a16="http://schemas.microsoft.com/office/drawing/2014/main" id="{6CFC76F8-71F2-C81A-45FA-825D7A99F94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20" name="Shape 70">
            <a:extLst>
              <a:ext uri="{FF2B5EF4-FFF2-40B4-BE49-F238E27FC236}">
                <a16:creationId xmlns:a16="http://schemas.microsoft.com/office/drawing/2014/main" id="{7CF5C0EF-5BAC-8AD5-F5ED-23C1CD31742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21" name="Shape 71">
            <a:extLst>
              <a:ext uri="{FF2B5EF4-FFF2-40B4-BE49-F238E27FC236}">
                <a16:creationId xmlns:a16="http://schemas.microsoft.com/office/drawing/2014/main" id="{A2481606-5F25-36C4-450C-A326160655E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22" name="Shape 72">
            <a:extLst>
              <a:ext uri="{FF2B5EF4-FFF2-40B4-BE49-F238E27FC236}">
                <a16:creationId xmlns:a16="http://schemas.microsoft.com/office/drawing/2014/main" id="{8719D1A0-959A-7621-7C69-BCED3E6C0B1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23" name="Shape 73">
            <a:extLst>
              <a:ext uri="{FF2B5EF4-FFF2-40B4-BE49-F238E27FC236}">
                <a16:creationId xmlns:a16="http://schemas.microsoft.com/office/drawing/2014/main" id="{8641F785-418A-678D-D6E1-455021933F4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24" name="Shape 74">
            <a:extLst>
              <a:ext uri="{FF2B5EF4-FFF2-40B4-BE49-F238E27FC236}">
                <a16:creationId xmlns:a16="http://schemas.microsoft.com/office/drawing/2014/main" id="{79F26A31-E028-FA60-BE34-9809F94D076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25" name="Shape 75">
            <a:extLst>
              <a:ext uri="{FF2B5EF4-FFF2-40B4-BE49-F238E27FC236}">
                <a16:creationId xmlns:a16="http://schemas.microsoft.com/office/drawing/2014/main" id="{50109809-C70A-F400-B47B-36860E25305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26" name="Shape 76">
            <a:extLst>
              <a:ext uri="{FF2B5EF4-FFF2-40B4-BE49-F238E27FC236}">
                <a16:creationId xmlns:a16="http://schemas.microsoft.com/office/drawing/2014/main" id="{AD7D8596-EFBA-834F-EA2E-A8383F3ADFF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810</xdr:row>
      <xdr:rowOff>2978</xdr:rowOff>
    </xdr:from>
    <xdr:ext cx="33655" cy="33655"/>
    <xdr:grpSp>
      <xdr:nvGrpSpPr>
        <xdr:cNvPr id="6927" name="Group 2">
          <a:extLst>
            <a:ext uri="{FF2B5EF4-FFF2-40B4-BE49-F238E27FC236}">
              <a16:creationId xmlns:a16="http://schemas.microsoft.com/office/drawing/2014/main" id="{AB9571DC-230C-4AE3-8162-7FE11D40D906}"/>
            </a:ext>
          </a:extLst>
        </xdr:cNvPr>
        <xdr:cNvGrpSpPr/>
      </xdr:nvGrpSpPr>
      <xdr:grpSpPr>
        <a:xfrm>
          <a:off x="4603072" y="149329994"/>
          <a:ext cx="33655" cy="33655"/>
          <a:chOff x="0" y="0"/>
          <a:chExt cx="33655" cy="33655"/>
        </a:xfrm>
      </xdr:grpSpPr>
      <xdr:sp macro="" textlink="">
        <xdr:nvSpPr>
          <xdr:cNvPr id="6928" name="Shape 3">
            <a:extLst>
              <a:ext uri="{FF2B5EF4-FFF2-40B4-BE49-F238E27FC236}">
                <a16:creationId xmlns:a16="http://schemas.microsoft.com/office/drawing/2014/main" id="{DEA321C3-DD84-54DD-EC8C-F9EEFD4197F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29" name="Shape 4">
            <a:extLst>
              <a:ext uri="{FF2B5EF4-FFF2-40B4-BE49-F238E27FC236}">
                <a16:creationId xmlns:a16="http://schemas.microsoft.com/office/drawing/2014/main" id="{F28354EE-28E9-864F-134C-0DFD439A736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30" name="Shape 5">
            <a:extLst>
              <a:ext uri="{FF2B5EF4-FFF2-40B4-BE49-F238E27FC236}">
                <a16:creationId xmlns:a16="http://schemas.microsoft.com/office/drawing/2014/main" id="{CD6C211F-9D46-8032-6B43-C537612C96B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31" name="Shape 6">
            <a:extLst>
              <a:ext uri="{FF2B5EF4-FFF2-40B4-BE49-F238E27FC236}">
                <a16:creationId xmlns:a16="http://schemas.microsoft.com/office/drawing/2014/main" id="{F798FE23-2C98-0AC2-6565-4C66E778DB8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32" name="Shape 7">
            <a:extLst>
              <a:ext uri="{FF2B5EF4-FFF2-40B4-BE49-F238E27FC236}">
                <a16:creationId xmlns:a16="http://schemas.microsoft.com/office/drawing/2014/main" id="{23E1AA5F-39B0-8499-BB2C-6B2111BA418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33" name="Shape 8">
            <a:extLst>
              <a:ext uri="{FF2B5EF4-FFF2-40B4-BE49-F238E27FC236}">
                <a16:creationId xmlns:a16="http://schemas.microsoft.com/office/drawing/2014/main" id="{80F85BC9-EFE4-26D0-A108-42A523FEA32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34" name="Shape 9">
            <a:extLst>
              <a:ext uri="{FF2B5EF4-FFF2-40B4-BE49-F238E27FC236}">
                <a16:creationId xmlns:a16="http://schemas.microsoft.com/office/drawing/2014/main" id="{3C653FB9-3947-7210-6A25-483C043C578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35" name="Shape 10">
            <a:extLst>
              <a:ext uri="{FF2B5EF4-FFF2-40B4-BE49-F238E27FC236}">
                <a16:creationId xmlns:a16="http://schemas.microsoft.com/office/drawing/2014/main" id="{30FEA08C-C1D0-B304-5D5B-1E8FD2C5AA8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36" name="Shape 11">
            <a:extLst>
              <a:ext uri="{FF2B5EF4-FFF2-40B4-BE49-F238E27FC236}">
                <a16:creationId xmlns:a16="http://schemas.microsoft.com/office/drawing/2014/main" id="{955DBD7B-ACCE-1DC6-9CDF-31593B240E8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37" name="Shape 12">
            <a:extLst>
              <a:ext uri="{FF2B5EF4-FFF2-40B4-BE49-F238E27FC236}">
                <a16:creationId xmlns:a16="http://schemas.microsoft.com/office/drawing/2014/main" id="{7D1CB145-B4CE-DEFC-54FF-AEDB3238B2F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38" name="Shape 13">
            <a:extLst>
              <a:ext uri="{FF2B5EF4-FFF2-40B4-BE49-F238E27FC236}">
                <a16:creationId xmlns:a16="http://schemas.microsoft.com/office/drawing/2014/main" id="{89BE10A5-2648-75FE-F018-82DF40880EC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39" name="Shape 14">
            <a:extLst>
              <a:ext uri="{FF2B5EF4-FFF2-40B4-BE49-F238E27FC236}">
                <a16:creationId xmlns:a16="http://schemas.microsoft.com/office/drawing/2014/main" id="{3F9D99D9-9C2C-224C-92D2-06882A15F15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40" name="Shape 15">
            <a:extLst>
              <a:ext uri="{FF2B5EF4-FFF2-40B4-BE49-F238E27FC236}">
                <a16:creationId xmlns:a16="http://schemas.microsoft.com/office/drawing/2014/main" id="{F8681427-EE30-A50A-8FC3-1A28A580DE9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41" name="Shape 16">
            <a:extLst>
              <a:ext uri="{FF2B5EF4-FFF2-40B4-BE49-F238E27FC236}">
                <a16:creationId xmlns:a16="http://schemas.microsoft.com/office/drawing/2014/main" id="{5653366B-16C9-73F9-56FA-606E8CB9ED0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810</xdr:row>
      <xdr:rowOff>3246</xdr:rowOff>
    </xdr:from>
    <xdr:ext cx="33655" cy="33655"/>
    <xdr:grpSp>
      <xdr:nvGrpSpPr>
        <xdr:cNvPr id="6942" name="Group 17">
          <a:extLst>
            <a:ext uri="{FF2B5EF4-FFF2-40B4-BE49-F238E27FC236}">
              <a16:creationId xmlns:a16="http://schemas.microsoft.com/office/drawing/2014/main" id="{BB665EB3-853F-4488-8972-370CC9CBAF0F}"/>
            </a:ext>
          </a:extLst>
        </xdr:cNvPr>
        <xdr:cNvGrpSpPr/>
      </xdr:nvGrpSpPr>
      <xdr:grpSpPr>
        <a:xfrm>
          <a:off x="4603072" y="149330262"/>
          <a:ext cx="33655" cy="33655"/>
          <a:chOff x="0" y="0"/>
          <a:chExt cx="33655" cy="33655"/>
        </a:xfrm>
      </xdr:grpSpPr>
      <xdr:sp macro="" textlink="">
        <xdr:nvSpPr>
          <xdr:cNvPr id="6943" name="Shape 18">
            <a:extLst>
              <a:ext uri="{FF2B5EF4-FFF2-40B4-BE49-F238E27FC236}">
                <a16:creationId xmlns:a16="http://schemas.microsoft.com/office/drawing/2014/main" id="{1B0B5220-412A-4871-2191-DEDCBDC053F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44" name="Shape 19">
            <a:extLst>
              <a:ext uri="{FF2B5EF4-FFF2-40B4-BE49-F238E27FC236}">
                <a16:creationId xmlns:a16="http://schemas.microsoft.com/office/drawing/2014/main" id="{B2D92C77-D3CF-9E2C-604E-D5651348054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45" name="Shape 20">
            <a:extLst>
              <a:ext uri="{FF2B5EF4-FFF2-40B4-BE49-F238E27FC236}">
                <a16:creationId xmlns:a16="http://schemas.microsoft.com/office/drawing/2014/main" id="{753E7EF3-F0AF-9830-AEC6-02EDF98B953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46" name="Shape 21">
            <a:extLst>
              <a:ext uri="{FF2B5EF4-FFF2-40B4-BE49-F238E27FC236}">
                <a16:creationId xmlns:a16="http://schemas.microsoft.com/office/drawing/2014/main" id="{1DEC89B6-E532-7F04-24E6-E8D5C7D109C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47" name="Shape 22">
            <a:extLst>
              <a:ext uri="{FF2B5EF4-FFF2-40B4-BE49-F238E27FC236}">
                <a16:creationId xmlns:a16="http://schemas.microsoft.com/office/drawing/2014/main" id="{14F30338-BC0B-030E-8CCE-DED25687CFB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48" name="Shape 23">
            <a:extLst>
              <a:ext uri="{FF2B5EF4-FFF2-40B4-BE49-F238E27FC236}">
                <a16:creationId xmlns:a16="http://schemas.microsoft.com/office/drawing/2014/main" id="{B2374E53-3390-0533-34B2-D85E930A582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49" name="Shape 24">
            <a:extLst>
              <a:ext uri="{FF2B5EF4-FFF2-40B4-BE49-F238E27FC236}">
                <a16:creationId xmlns:a16="http://schemas.microsoft.com/office/drawing/2014/main" id="{79FF69CE-A131-3F67-D117-ED3246CF557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50" name="Shape 25">
            <a:extLst>
              <a:ext uri="{FF2B5EF4-FFF2-40B4-BE49-F238E27FC236}">
                <a16:creationId xmlns:a16="http://schemas.microsoft.com/office/drawing/2014/main" id="{74860E09-B52F-32AB-34A1-9AC0A51C85D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51" name="Shape 26">
            <a:extLst>
              <a:ext uri="{FF2B5EF4-FFF2-40B4-BE49-F238E27FC236}">
                <a16:creationId xmlns:a16="http://schemas.microsoft.com/office/drawing/2014/main" id="{9ECEA1A1-6CC5-2A3F-ACE0-CAD0364A748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52" name="Shape 27">
            <a:extLst>
              <a:ext uri="{FF2B5EF4-FFF2-40B4-BE49-F238E27FC236}">
                <a16:creationId xmlns:a16="http://schemas.microsoft.com/office/drawing/2014/main" id="{476EBCAA-7FC2-4651-62FE-9E2D253B80F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53" name="Shape 28">
            <a:extLst>
              <a:ext uri="{FF2B5EF4-FFF2-40B4-BE49-F238E27FC236}">
                <a16:creationId xmlns:a16="http://schemas.microsoft.com/office/drawing/2014/main" id="{0B37798F-3642-36E5-B3AB-BF42C7E55FB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54" name="Shape 29">
            <a:extLst>
              <a:ext uri="{FF2B5EF4-FFF2-40B4-BE49-F238E27FC236}">
                <a16:creationId xmlns:a16="http://schemas.microsoft.com/office/drawing/2014/main" id="{32F4D325-5273-495D-2365-41862C18D2B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55" name="Shape 30">
            <a:extLst>
              <a:ext uri="{FF2B5EF4-FFF2-40B4-BE49-F238E27FC236}">
                <a16:creationId xmlns:a16="http://schemas.microsoft.com/office/drawing/2014/main" id="{259E5DD0-9304-0E8B-95C3-063EC6D28DD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56" name="Shape 31">
            <a:extLst>
              <a:ext uri="{FF2B5EF4-FFF2-40B4-BE49-F238E27FC236}">
                <a16:creationId xmlns:a16="http://schemas.microsoft.com/office/drawing/2014/main" id="{D84FC906-62BF-7C1F-963B-75FA52262B5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810</xdr:row>
      <xdr:rowOff>3703</xdr:rowOff>
    </xdr:from>
    <xdr:ext cx="33655" cy="33655"/>
    <xdr:grpSp>
      <xdr:nvGrpSpPr>
        <xdr:cNvPr id="6957" name="Group 32">
          <a:extLst>
            <a:ext uri="{FF2B5EF4-FFF2-40B4-BE49-F238E27FC236}">
              <a16:creationId xmlns:a16="http://schemas.microsoft.com/office/drawing/2014/main" id="{D8D6A57A-251D-4278-A14A-812B9D52EE05}"/>
            </a:ext>
          </a:extLst>
        </xdr:cNvPr>
        <xdr:cNvGrpSpPr/>
      </xdr:nvGrpSpPr>
      <xdr:grpSpPr>
        <a:xfrm>
          <a:off x="4603072" y="149330719"/>
          <a:ext cx="33655" cy="33655"/>
          <a:chOff x="0" y="0"/>
          <a:chExt cx="33655" cy="33655"/>
        </a:xfrm>
      </xdr:grpSpPr>
      <xdr:sp macro="" textlink="">
        <xdr:nvSpPr>
          <xdr:cNvPr id="6958" name="Shape 33">
            <a:extLst>
              <a:ext uri="{FF2B5EF4-FFF2-40B4-BE49-F238E27FC236}">
                <a16:creationId xmlns:a16="http://schemas.microsoft.com/office/drawing/2014/main" id="{D53EF777-6321-8957-82CB-AC7C22DB79C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59" name="Shape 34">
            <a:extLst>
              <a:ext uri="{FF2B5EF4-FFF2-40B4-BE49-F238E27FC236}">
                <a16:creationId xmlns:a16="http://schemas.microsoft.com/office/drawing/2014/main" id="{58CA1982-49DE-7B21-3B18-35E12A3DF88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60" name="Shape 35">
            <a:extLst>
              <a:ext uri="{FF2B5EF4-FFF2-40B4-BE49-F238E27FC236}">
                <a16:creationId xmlns:a16="http://schemas.microsoft.com/office/drawing/2014/main" id="{6D739DBF-76A0-94B2-D7AD-6FE2BAF894A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61" name="Shape 36">
            <a:extLst>
              <a:ext uri="{FF2B5EF4-FFF2-40B4-BE49-F238E27FC236}">
                <a16:creationId xmlns:a16="http://schemas.microsoft.com/office/drawing/2014/main" id="{C0FC9715-7048-E1C5-6801-E03BC9D0372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62" name="Shape 37">
            <a:extLst>
              <a:ext uri="{FF2B5EF4-FFF2-40B4-BE49-F238E27FC236}">
                <a16:creationId xmlns:a16="http://schemas.microsoft.com/office/drawing/2014/main" id="{1995007B-82A5-5600-086C-FC504C8457A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63" name="Shape 38">
            <a:extLst>
              <a:ext uri="{FF2B5EF4-FFF2-40B4-BE49-F238E27FC236}">
                <a16:creationId xmlns:a16="http://schemas.microsoft.com/office/drawing/2014/main" id="{91B1DCAE-2A69-9319-37B1-D17D4CAA507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64" name="Shape 39">
            <a:extLst>
              <a:ext uri="{FF2B5EF4-FFF2-40B4-BE49-F238E27FC236}">
                <a16:creationId xmlns:a16="http://schemas.microsoft.com/office/drawing/2014/main" id="{67951189-EBB3-CF73-D102-56E5EE630E9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65" name="Shape 40">
            <a:extLst>
              <a:ext uri="{FF2B5EF4-FFF2-40B4-BE49-F238E27FC236}">
                <a16:creationId xmlns:a16="http://schemas.microsoft.com/office/drawing/2014/main" id="{51850518-F117-74A7-4D0E-3D1445C850B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66" name="Shape 41">
            <a:extLst>
              <a:ext uri="{FF2B5EF4-FFF2-40B4-BE49-F238E27FC236}">
                <a16:creationId xmlns:a16="http://schemas.microsoft.com/office/drawing/2014/main" id="{4D76F2E1-FF84-24B3-E106-1F5BF09AD48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67" name="Shape 42">
            <a:extLst>
              <a:ext uri="{FF2B5EF4-FFF2-40B4-BE49-F238E27FC236}">
                <a16:creationId xmlns:a16="http://schemas.microsoft.com/office/drawing/2014/main" id="{B65E21DA-85DB-1A84-5504-9FACFEC1A0F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68" name="Shape 43">
            <a:extLst>
              <a:ext uri="{FF2B5EF4-FFF2-40B4-BE49-F238E27FC236}">
                <a16:creationId xmlns:a16="http://schemas.microsoft.com/office/drawing/2014/main" id="{E433DB57-D549-3631-AE45-1EA2D74167B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69" name="Shape 44">
            <a:extLst>
              <a:ext uri="{FF2B5EF4-FFF2-40B4-BE49-F238E27FC236}">
                <a16:creationId xmlns:a16="http://schemas.microsoft.com/office/drawing/2014/main" id="{283AC3AE-FE96-BADE-BB3B-B7BC5E5A62D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70" name="Shape 45">
            <a:extLst>
              <a:ext uri="{FF2B5EF4-FFF2-40B4-BE49-F238E27FC236}">
                <a16:creationId xmlns:a16="http://schemas.microsoft.com/office/drawing/2014/main" id="{AA8B0E21-B6E0-B682-E722-E16E310DE58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71" name="Shape 46">
            <a:extLst>
              <a:ext uri="{FF2B5EF4-FFF2-40B4-BE49-F238E27FC236}">
                <a16:creationId xmlns:a16="http://schemas.microsoft.com/office/drawing/2014/main" id="{25B67291-8FF2-104B-A2B7-6F6216FD261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810</xdr:row>
      <xdr:rowOff>3409</xdr:rowOff>
    </xdr:from>
    <xdr:ext cx="33655" cy="33655"/>
    <xdr:grpSp>
      <xdr:nvGrpSpPr>
        <xdr:cNvPr id="6972" name="Group 47">
          <a:extLst>
            <a:ext uri="{FF2B5EF4-FFF2-40B4-BE49-F238E27FC236}">
              <a16:creationId xmlns:a16="http://schemas.microsoft.com/office/drawing/2014/main" id="{BE59BDC5-60DE-41C8-BECF-E2FD40A68971}"/>
            </a:ext>
          </a:extLst>
        </xdr:cNvPr>
        <xdr:cNvGrpSpPr/>
      </xdr:nvGrpSpPr>
      <xdr:grpSpPr>
        <a:xfrm>
          <a:off x="4603072" y="149330425"/>
          <a:ext cx="33655" cy="33655"/>
          <a:chOff x="0" y="0"/>
          <a:chExt cx="33655" cy="33655"/>
        </a:xfrm>
      </xdr:grpSpPr>
      <xdr:sp macro="" textlink="">
        <xdr:nvSpPr>
          <xdr:cNvPr id="6973" name="Shape 48">
            <a:extLst>
              <a:ext uri="{FF2B5EF4-FFF2-40B4-BE49-F238E27FC236}">
                <a16:creationId xmlns:a16="http://schemas.microsoft.com/office/drawing/2014/main" id="{EF2148A0-5C45-1D27-8576-90400182033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74" name="Shape 49">
            <a:extLst>
              <a:ext uri="{FF2B5EF4-FFF2-40B4-BE49-F238E27FC236}">
                <a16:creationId xmlns:a16="http://schemas.microsoft.com/office/drawing/2014/main" id="{2C254E4D-869D-0BF5-922B-FD4FA18A324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75" name="Shape 50">
            <a:extLst>
              <a:ext uri="{FF2B5EF4-FFF2-40B4-BE49-F238E27FC236}">
                <a16:creationId xmlns:a16="http://schemas.microsoft.com/office/drawing/2014/main" id="{339FC378-15AC-83F4-4A95-040A6B0DFD9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76" name="Shape 51">
            <a:extLst>
              <a:ext uri="{FF2B5EF4-FFF2-40B4-BE49-F238E27FC236}">
                <a16:creationId xmlns:a16="http://schemas.microsoft.com/office/drawing/2014/main" id="{D1D6E53E-A191-82DE-C3C0-4B00A69810E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77" name="Shape 52">
            <a:extLst>
              <a:ext uri="{FF2B5EF4-FFF2-40B4-BE49-F238E27FC236}">
                <a16:creationId xmlns:a16="http://schemas.microsoft.com/office/drawing/2014/main" id="{CCA1C48D-0369-DBEF-7457-64444EEDCD7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78" name="Shape 53">
            <a:extLst>
              <a:ext uri="{FF2B5EF4-FFF2-40B4-BE49-F238E27FC236}">
                <a16:creationId xmlns:a16="http://schemas.microsoft.com/office/drawing/2014/main" id="{96E37FDB-239B-1A92-A064-D8124BE90C7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79" name="Shape 54">
            <a:extLst>
              <a:ext uri="{FF2B5EF4-FFF2-40B4-BE49-F238E27FC236}">
                <a16:creationId xmlns:a16="http://schemas.microsoft.com/office/drawing/2014/main" id="{E745EDE6-AFA6-D27D-7DF3-E514CCA1BDB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80" name="Shape 55">
            <a:extLst>
              <a:ext uri="{FF2B5EF4-FFF2-40B4-BE49-F238E27FC236}">
                <a16:creationId xmlns:a16="http://schemas.microsoft.com/office/drawing/2014/main" id="{B7D51AD3-CA0E-840E-32FD-20B674A78CC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81" name="Shape 56">
            <a:extLst>
              <a:ext uri="{FF2B5EF4-FFF2-40B4-BE49-F238E27FC236}">
                <a16:creationId xmlns:a16="http://schemas.microsoft.com/office/drawing/2014/main" id="{3BFF8731-9493-5577-22E2-30442D66FA4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82" name="Shape 57">
            <a:extLst>
              <a:ext uri="{FF2B5EF4-FFF2-40B4-BE49-F238E27FC236}">
                <a16:creationId xmlns:a16="http://schemas.microsoft.com/office/drawing/2014/main" id="{D5334221-A11C-8231-55E9-248A6F9CA43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83" name="Shape 58">
            <a:extLst>
              <a:ext uri="{FF2B5EF4-FFF2-40B4-BE49-F238E27FC236}">
                <a16:creationId xmlns:a16="http://schemas.microsoft.com/office/drawing/2014/main" id="{B61A448F-40AD-890D-44F3-26929954C50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84" name="Shape 59">
            <a:extLst>
              <a:ext uri="{FF2B5EF4-FFF2-40B4-BE49-F238E27FC236}">
                <a16:creationId xmlns:a16="http://schemas.microsoft.com/office/drawing/2014/main" id="{8743BB94-5460-A2C0-CEBF-CFD9CBE9B06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85" name="Shape 60">
            <a:extLst>
              <a:ext uri="{FF2B5EF4-FFF2-40B4-BE49-F238E27FC236}">
                <a16:creationId xmlns:a16="http://schemas.microsoft.com/office/drawing/2014/main" id="{DEBDFABA-9EC9-487B-86BD-EEE3632881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6986" name="Shape 61">
            <a:extLst>
              <a:ext uri="{FF2B5EF4-FFF2-40B4-BE49-F238E27FC236}">
                <a16:creationId xmlns:a16="http://schemas.microsoft.com/office/drawing/2014/main" id="{D160D1FB-592B-9FFA-95DB-C093515FAAD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810</xdr:row>
      <xdr:rowOff>3962</xdr:rowOff>
    </xdr:from>
    <xdr:ext cx="33655" cy="33655"/>
    <xdr:grpSp>
      <xdr:nvGrpSpPr>
        <xdr:cNvPr id="6987" name="Group 62">
          <a:extLst>
            <a:ext uri="{FF2B5EF4-FFF2-40B4-BE49-F238E27FC236}">
              <a16:creationId xmlns:a16="http://schemas.microsoft.com/office/drawing/2014/main" id="{945987A2-FBEC-4BAF-A82E-67D33DB05112}"/>
            </a:ext>
          </a:extLst>
        </xdr:cNvPr>
        <xdr:cNvGrpSpPr/>
      </xdr:nvGrpSpPr>
      <xdr:grpSpPr>
        <a:xfrm>
          <a:off x="4603072" y="149330978"/>
          <a:ext cx="33655" cy="33655"/>
          <a:chOff x="0" y="0"/>
          <a:chExt cx="33655" cy="33655"/>
        </a:xfrm>
      </xdr:grpSpPr>
      <xdr:sp macro="" textlink="">
        <xdr:nvSpPr>
          <xdr:cNvPr id="6988" name="Shape 63">
            <a:extLst>
              <a:ext uri="{FF2B5EF4-FFF2-40B4-BE49-F238E27FC236}">
                <a16:creationId xmlns:a16="http://schemas.microsoft.com/office/drawing/2014/main" id="{DC6D443E-967E-F9EB-CCA3-FEF76787B18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89" name="Shape 64">
            <a:extLst>
              <a:ext uri="{FF2B5EF4-FFF2-40B4-BE49-F238E27FC236}">
                <a16:creationId xmlns:a16="http://schemas.microsoft.com/office/drawing/2014/main" id="{FD5E7A68-19AE-ECDE-BA8A-18345056559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90" name="Shape 65">
            <a:extLst>
              <a:ext uri="{FF2B5EF4-FFF2-40B4-BE49-F238E27FC236}">
                <a16:creationId xmlns:a16="http://schemas.microsoft.com/office/drawing/2014/main" id="{F4B2EB68-057F-33CC-EABC-D3D18F66C6F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91" name="Shape 66">
            <a:extLst>
              <a:ext uri="{FF2B5EF4-FFF2-40B4-BE49-F238E27FC236}">
                <a16:creationId xmlns:a16="http://schemas.microsoft.com/office/drawing/2014/main" id="{C28FC7DA-0280-8329-AE5F-E02F8F378A6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92" name="Shape 67">
            <a:extLst>
              <a:ext uri="{FF2B5EF4-FFF2-40B4-BE49-F238E27FC236}">
                <a16:creationId xmlns:a16="http://schemas.microsoft.com/office/drawing/2014/main" id="{3FC6674E-CF41-2079-C83A-EC8FA370270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93" name="Shape 68">
            <a:extLst>
              <a:ext uri="{FF2B5EF4-FFF2-40B4-BE49-F238E27FC236}">
                <a16:creationId xmlns:a16="http://schemas.microsoft.com/office/drawing/2014/main" id="{1A4EAAA8-CCC4-58F0-41C2-F29F09CE6C9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94" name="Shape 69">
            <a:extLst>
              <a:ext uri="{FF2B5EF4-FFF2-40B4-BE49-F238E27FC236}">
                <a16:creationId xmlns:a16="http://schemas.microsoft.com/office/drawing/2014/main" id="{0F803257-7035-DD01-C81C-931979D1463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95" name="Shape 70">
            <a:extLst>
              <a:ext uri="{FF2B5EF4-FFF2-40B4-BE49-F238E27FC236}">
                <a16:creationId xmlns:a16="http://schemas.microsoft.com/office/drawing/2014/main" id="{4F17D92D-83B1-A7E3-8038-53D7FFC468C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96" name="Shape 71">
            <a:extLst>
              <a:ext uri="{FF2B5EF4-FFF2-40B4-BE49-F238E27FC236}">
                <a16:creationId xmlns:a16="http://schemas.microsoft.com/office/drawing/2014/main" id="{B01E759A-461C-F031-72AB-C4AEE2EBC48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97" name="Shape 72">
            <a:extLst>
              <a:ext uri="{FF2B5EF4-FFF2-40B4-BE49-F238E27FC236}">
                <a16:creationId xmlns:a16="http://schemas.microsoft.com/office/drawing/2014/main" id="{C42DBC7D-0BBB-A370-CB61-1DB48F10B3C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6998" name="Shape 73">
            <a:extLst>
              <a:ext uri="{FF2B5EF4-FFF2-40B4-BE49-F238E27FC236}">
                <a16:creationId xmlns:a16="http://schemas.microsoft.com/office/drawing/2014/main" id="{811A6628-7FBB-7EBF-D192-F5B8B7AA0E6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6999" name="Shape 74">
            <a:extLst>
              <a:ext uri="{FF2B5EF4-FFF2-40B4-BE49-F238E27FC236}">
                <a16:creationId xmlns:a16="http://schemas.microsoft.com/office/drawing/2014/main" id="{B07FE13E-79D7-732A-831F-B88F2391D1B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00" name="Shape 75">
            <a:extLst>
              <a:ext uri="{FF2B5EF4-FFF2-40B4-BE49-F238E27FC236}">
                <a16:creationId xmlns:a16="http://schemas.microsoft.com/office/drawing/2014/main" id="{E5FC2B0F-5B51-CC96-9D36-6E55FE957E2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01" name="Shape 76">
            <a:extLst>
              <a:ext uri="{FF2B5EF4-FFF2-40B4-BE49-F238E27FC236}">
                <a16:creationId xmlns:a16="http://schemas.microsoft.com/office/drawing/2014/main" id="{453919C8-16F6-31D1-FAFF-880AC57A2B3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810</xdr:row>
      <xdr:rowOff>2978</xdr:rowOff>
    </xdr:from>
    <xdr:ext cx="33655" cy="33655"/>
    <xdr:grpSp>
      <xdr:nvGrpSpPr>
        <xdr:cNvPr id="7002" name="Group 2">
          <a:extLst>
            <a:ext uri="{FF2B5EF4-FFF2-40B4-BE49-F238E27FC236}">
              <a16:creationId xmlns:a16="http://schemas.microsoft.com/office/drawing/2014/main" id="{DEEE3E31-8101-42B0-A2A6-4A29F3E77914}"/>
            </a:ext>
          </a:extLst>
        </xdr:cNvPr>
        <xdr:cNvGrpSpPr/>
      </xdr:nvGrpSpPr>
      <xdr:grpSpPr>
        <a:xfrm>
          <a:off x="4603072" y="149329994"/>
          <a:ext cx="33655" cy="33655"/>
          <a:chOff x="0" y="0"/>
          <a:chExt cx="33655" cy="33655"/>
        </a:xfrm>
      </xdr:grpSpPr>
      <xdr:sp macro="" textlink="">
        <xdr:nvSpPr>
          <xdr:cNvPr id="7003" name="Shape 3">
            <a:extLst>
              <a:ext uri="{FF2B5EF4-FFF2-40B4-BE49-F238E27FC236}">
                <a16:creationId xmlns:a16="http://schemas.microsoft.com/office/drawing/2014/main" id="{3B4C2F19-5F40-A38A-8BC3-C469042DD7E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04" name="Shape 4">
            <a:extLst>
              <a:ext uri="{FF2B5EF4-FFF2-40B4-BE49-F238E27FC236}">
                <a16:creationId xmlns:a16="http://schemas.microsoft.com/office/drawing/2014/main" id="{F6D219DB-1896-B8D4-4D9F-E4E9878E726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05" name="Shape 5">
            <a:extLst>
              <a:ext uri="{FF2B5EF4-FFF2-40B4-BE49-F238E27FC236}">
                <a16:creationId xmlns:a16="http://schemas.microsoft.com/office/drawing/2014/main" id="{43A47EED-F984-8834-EB3F-D9D4DC2B164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06" name="Shape 6">
            <a:extLst>
              <a:ext uri="{FF2B5EF4-FFF2-40B4-BE49-F238E27FC236}">
                <a16:creationId xmlns:a16="http://schemas.microsoft.com/office/drawing/2014/main" id="{69F1C81A-F50C-C17B-049E-78A7A2FCC9A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07" name="Shape 7">
            <a:extLst>
              <a:ext uri="{FF2B5EF4-FFF2-40B4-BE49-F238E27FC236}">
                <a16:creationId xmlns:a16="http://schemas.microsoft.com/office/drawing/2014/main" id="{735F0A2C-6BA7-15E0-2B34-E87FD0CE542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08" name="Shape 8">
            <a:extLst>
              <a:ext uri="{FF2B5EF4-FFF2-40B4-BE49-F238E27FC236}">
                <a16:creationId xmlns:a16="http://schemas.microsoft.com/office/drawing/2014/main" id="{CE339F8F-C5FB-4199-25A0-9D8299366B7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09" name="Shape 9">
            <a:extLst>
              <a:ext uri="{FF2B5EF4-FFF2-40B4-BE49-F238E27FC236}">
                <a16:creationId xmlns:a16="http://schemas.microsoft.com/office/drawing/2014/main" id="{B9055513-DDDE-F476-1265-7C9AD2D1989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10" name="Shape 10">
            <a:extLst>
              <a:ext uri="{FF2B5EF4-FFF2-40B4-BE49-F238E27FC236}">
                <a16:creationId xmlns:a16="http://schemas.microsoft.com/office/drawing/2014/main" id="{A24C9F89-B251-08D9-C0FC-92302ECCB74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11" name="Shape 11">
            <a:extLst>
              <a:ext uri="{FF2B5EF4-FFF2-40B4-BE49-F238E27FC236}">
                <a16:creationId xmlns:a16="http://schemas.microsoft.com/office/drawing/2014/main" id="{6043361F-8A95-7CC1-F5A1-BD590B764F6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12" name="Shape 12">
            <a:extLst>
              <a:ext uri="{FF2B5EF4-FFF2-40B4-BE49-F238E27FC236}">
                <a16:creationId xmlns:a16="http://schemas.microsoft.com/office/drawing/2014/main" id="{93419F2B-DC5B-6DA5-643D-17B955B5A37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13" name="Shape 13">
            <a:extLst>
              <a:ext uri="{FF2B5EF4-FFF2-40B4-BE49-F238E27FC236}">
                <a16:creationId xmlns:a16="http://schemas.microsoft.com/office/drawing/2014/main" id="{5FF68BA8-2E80-71B1-E8C0-1D437F8179A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14" name="Shape 14">
            <a:extLst>
              <a:ext uri="{FF2B5EF4-FFF2-40B4-BE49-F238E27FC236}">
                <a16:creationId xmlns:a16="http://schemas.microsoft.com/office/drawing/2014/main" id="{7FFAE246-9F2C-BCC7-AA2A-B2527A9FCCA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15" name="Shape 15">
            <a:extLst>
              <a:ext uri="{FF2B5EF4-FFF2-40B4-BE49-F238E27FC236}">
                <a16:creationId xmlns:a16="http://schemas.microsoft.com/office/drawing/2014/main" id="{BDE873DA-2A93-2FBD-5C55-80B03947E97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16" name="Shape 16">
            <a:extLst>
              <a:ext uri="{FF2B5EF4-FFF2-40B4-BE49-F238E27FC236}">
                <a16:creationId xmlns:a16="http://schemas.microsoft.com/office/drawing/2014/main" id="{D5A42A50-D905-5A30-462D-515A6E4EE88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810</xdr:row>
      <xdr:rowOff>3246</xdr:rowOff>
    </xdr:from>
    <xdr:ext cx="33655" cy="33655"/>
    <xdr:grpSp>
      <xdr:nvGrpSpPr>
        <xdr:cNvPr id="7017" name="Group 17">
          <a:extLst>
            <a:ext uri="{FF2B5EF4-FFF2-40B4-BE49-F238E27FC236}">
              <a16:creationId xmlns:a16="http://schemas.microsoft.com/office/drawing/2014/main" id="{8C245CD2-E505-4072-BF31-A9FDE6688115}"/>
            </a:ext>
          </a:extLst>
        </xdr:cNvPr>
        <xdr:cNvGrpSpPr/>
      </xdr:nvGrpSpPr>
      <xdr:grpSpPr>
        <a:xfrm>
          <a:off x="4603072" y="149330262"/>
          <a:ext cx="33655" cy="33655"/>
          <a:chOff x="0" y="0"/>
          <a:chExt cx="33655" cy="33655"/>
        </a:xfrm>
      </xdr:grpSpPr>
      <xdr:sp macro="" textlink="">
        <xdr:nvSpPr>
          <xdr:cNvPr id="7018" name="Shape 18">
            <a:extLst>
              <a:ext uri="{FF2B5EF4-FFF2-40B4-BE49-F238E27FC236}">
                <a16:creationId xmlns:a16="http://schemas.microsoft.com/office/drawing/2014/main" id="{691E60AE-E204-066C-8BBF-2C4D10641E2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19" name="Shape 19">
            <a:extLst>
              <a:ext uri="{FF2B5EF4-FFF2-40B4-BE49-F238E27FC236}">
                <a16:creationId xmlns:a16="http://schemas.microsoft.com/office/drawing/2014/main" id="{FD502F55-8034-25D3-B24B-5E6D55022F2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20" name="Shape 20">
            <a:extLst>
              <a:ext uri="{FF2B5EF4-FFF2-40B4-BE49-F238E27FC236}">
                <a16:creationId xmlns:a16="http://schemas.microsoft.com/office/drawing/2014/main" id="{7147D181-4DBF-BC9A-7859-9865E4A2D39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21" name="Shape 21">
            <a:extLst>
              <a:ext uri="{FF2B5EF4-FFF2-40B4-BE49-F238E27FC236}">
                <a16:creationId xmlns:a16="http://schemas.microsoft.com/office/drawing/2014/main" id="{509AE8C9-9BBD-7250-D836-5FDFF3FEF3E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22" name="Shape 22">
            <a:extLst>
              <a:ext uri="{FF2B5EF4-FFF2-40B4-BE49-F238E27FC236}">
                <a16:creationId xmlns:a16="http://schemas.microsoft.com/office/drawing/2014/main" id="{C7C8EF2B-9C68-BC23-4568-98BA74177AC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23" name="Shape 23">
            <a:extLst>
              <a:ext uri="{FF2B5EF4-FFF2-40B4-BE49-F238E27FC236}">
                <a16:creationId xmlns:a16="http://schemas.microsoft.com/office/drawing/2014/main" id="{A0571ACF-43E3-1390-FF4E-AEDB9857D67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24" name="Shape 24">
            <a:extLst>
              <a:ext uri="{FF2B5EF4-FFF2-40B4-BE49-F238E27FC236}">
                <a16:creationId xmlns:a16="http://schemas.microsoft.com/office/drawing/2014/main" id="{FAD33555-B4CD-6CED-4CB6-CB8C384134E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25" name="Shape 25">
            <a:extLst>
              <a:ext uri="{FF2B5EF4-FFF2-40B4-BE49-F238E27FC236}">
                <a16:creationId xmlns:a16="http://schemas.microsoft.com/office/drawing/2014/main" id="{29ED1F8C-9D85-3D04-E50F-9B59410A0CA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26" name="Shape 26">
            <a:extLst>
              <a:ext uri="{FF2B5EF4-FFF2-40B4-BE49-F238E27FC236}">
                <a16:creationId xmlns:a16="http://schemas.microsoft.com/office/drawing/2014/main" id="{5463FED8-B0F0-A7D0-5E66-C7D641E18DE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27" name="Shape 27">
            <a:extLst>
              <a:ext uri="{FF2B5EF4-FFF2-40B4-BE49-F238E27FC236}">
                <a16:creationId xmlns:a16="http://schemas.microsoft.com/office/drawing/2014/main" id="{B6604799-B3F0-2202-5E39-02E0F5E644F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28" name="Shape 28">
            <a:extLst>
              <a:ext uri="{FF2B5EF4-FFF2-40B4-BE49-F238E27FC236}">
                <a16:creationId xmlns:a16="http://schemas.microsoft.com/office/drawing/2014/main" id="{0C912576-2D62-128A-3E0E-48D6CE83025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29" name="Shape 29">
            <a:extLst>
              <a:ext uri="{FF2B5EF4-FFF2-40B4-BE49-F238E27FC236}">
                <a16:creationId xmlns:a16="http://schemas.microsoft.com/office/drawing/2014/main" id="{FB24E57F-5281-EBDE-1373-A8D7C84DDBE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30" name="Shape 30">
            <a:extLst>
              <a:ext uri="{FF2B5EF4-FFF2-40B4-BE49-F238E27FC236}">
                <a16:creationId xmlns:a16="http://schemas.microsoft.com/office/drawing/2014/main" id="{20D4AC24-3A81-40BF-564C-3EF6B1B3F05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31" name="Shape 31">
            <a:extLst>
              <a:ext uri="{FF2B5EF4-FFF2-40B4-BE49-F238E27FC236}">
                <a16:creationId xmlns:a16="http://schemas.microsoft.com/office/drawing/2014/main" id="{BB76AC07-C638-8B31-141F-7F6EAB1DBAD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810</xdr:row>
      <xdr:rowOff>3703</xdr:rowOff>
    </xdr:from>
    <xdr:ext cx="33655" cy="33655"/>
    <xdr:grpSp>
      <xdr:nvGrpSpPr>
        <xdr:cNvPr id="7032" name="Group 32">
          <a:extLst>
            <a:ext uri="{FF2B5EF4-FFF2-40B4-BE49-F238E27FC236}">
              <a16:creationId xmlns:a16="http://schemas.microsoft.com/office/drawing/2014/main" id="{CED4764E-A188-4B34-9F63-A6E197572883}"/>
            </a:ext>
          </a:extLst>
        </xdr:cNvPr>
        <xdr:cNvGrpSpPr/>
      </xdr:nvGrpSpPr>
      <xdr:grpSpPr>
        <a:xfrm>
          <a:off x="4603072" y="149330719"/>
          <a:ext cx="33655" cy="33655"/>
          <a:chOff x="0" y="0"/>
          <a:chExt cx="33655" cy="33655"/>
        </a:xfrm>
      </xdr:grpSpPr>
      <xdr:sp macro="" textlink="">
        <xdr:nvSpPr>
          <xdr:cNvPr id="7033" name="Shape 33">
            <a:extLst>
              <a:ext uri="{FF2B5EF4-FFF2-40B4-BE49-F238E27FC236}">
                <a16:creationId xmlns:a16="http://schemas.microsoft.com/office/drawing/2014/main" id="{FE08AE47-1DA3-73D1-F877-02A1E773D24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34" name="Shape 34">
            <a:extLst>
              <a:ext uri="{FF2B5EF4-FFF2-40B4-BE49-F238E27FC236}">
                <a16:creationId xmlns:a16="http://schemas.microsoft.com/office/drawing/2014/main" id="{8E2E859A-7D07-8A8F-59B9-862B657D971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35" name="Shape 35">
            <a:extLst>
              <a:ext uri="{FF2B5EF4-FFF2-40B4-BE49-F238E27FC236}">
                <a16:creationId xmlns:a16="http://schemas.microsoft.com/office/drawing/2014/main" id="{BD805224-1626-4375-3F7B-DE315D688B7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36" name="Shape 36">
            <a:extLst>
              <a:ext uri="{FF2B5EF4-FFF2-40B4-BE49-F238E27FC236}">
                <a16:creationId xmlns:a16="http://schemas.microsoft.com/office/drawing/2014/main" id="{3B805C46-337A-9BB8-0DD1-E7ADC7FCC18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37" name="Shape 37">
            <a:extLst>
              <a:ext uri="{FF2B5EF4-FFF2-40B4-BE49-F238E27FC236}">
                <a16:creationId xmlns:a16="http://schemas.microsoft.com/office/drawing/2014/main" id="{6F25DA8A-0D0D-E5DA-612E-6D5D6A943BB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38" name="Shape 38">
            <a:extLst>
              <a:ext uri="{FF2B5EF4-FFF2-40B4-BE49-F238E27FC236}">
                <a16:creationId xmlns:a16="http://schemas.microsoft.com/office/drawing/2014/main" id="{63ADB22C-AB99-9DD3-6FC6-F190DE59952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39" name="Shape 39">
            <a:extLst>
              <a:ext uri="{FF2B5EF4-FFF2-40B4-BE49-F238E27FC236}">
                <a16:creationId xmlns:a16="http://schemas.microsoft.com/office/drawing/2014/main" id="{2B05C3F0-A0F1-390F-EB54-1D6A0C9FB00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40" name="Shape 40">
            <a:extLst>
              <a:ext uri="{FF2B5EF4-FFF2-40B4-BE49-F238E27FC236}">
                <a16:creationId xmlns:a16="http://schemas.microsoft.com/office/drawing/2014/main" id="{5852463D-7489-1E6F-A3D4-D751CFB73E6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41" name="Shape 41">
            <a:extLst>
              <a:ext uri="{FF2B5EF4-FFF2-40B4-BE49-F238E27FC236}">
                <a16:creationId xmlns:a16="http://schemas.microsoft.com/office/drawing/2014/main" id="{597C1C6E-1AD5-1282-3160-2B8A43F8BAB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42" name="Shape 42">
            <a:extLst>
              <a:ext uri="{FF2B5EF4-FFF2-40B4-BE49-F238E27FC236}">
                <a16:creationId xmlns:a16="http://schemas.microsoft.com/office/drawing/2014/main" id="{1A7DCE87-B10F-114A-AEB3-40D1A4D9337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43" name="Shape 43">
            <a:extLst>
              <a:ext uri="{FF2B5EF4-FFF2-40B4-BE49-F238E27FC236}">
                <a16:creationId xmlns:a16="http://schemas.microsoft.com/office/drawing/2014/main" id="{1B752BCF-15B5-E0A1-DBCC-B79848BBF6D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44" name="Shape 44">
            <a:extLst>
              <a:ext uri="{FF2B5EF4-FFF2-40B4-BE49-F238E27FC236}">
                <a16:creationId xmlns:a16="http://schemas.microsoft.com/office/drawing/2014/main" id="{60CFBFCF-8084-562A-FC44-6386655F1CE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45" name="Shape 45">
            <a:extLst>
              <a:ext uri="{FF2B5EF4-FFF2-40B4-BE49-F238E27FC236}">
                <a16:creationId xmlns:a16="http://schemas.microsoft.com/office/drawing/2014/main" id="{62744822-ACAC-F1B3-21D5-D1652E852B5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46" name="Shape 46">
            <a:extLst>
              <a:ext uri="{FF2B5EF4-FFF2-40B4-BE49-F238E27FC236}">
                <a16:creationId xmlns:a16="http://schemas.microsoft.com/office/drawing/2014/main" id="{EFA6E473-CAA0-22B3-1483-F4E44E75B71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810</xdr:row>
      <xdr:rowOff>3409</xdr:rowOff>
    </xdr:from>
    <xdr:ext cx="33655" cy="33655"/>
    <xdr:grpSp>
      <xdr:nvGrpSpPr>
        <xdr:cNvPr id="7047" name="Group 47">
          <a:extLst>
            <a:ext uri="{FF2B5EF4-FFF2-40B4-BE49-F238E27FC236}">
              <a16:creationId xmlns:a16="http://schemas.microsoft.com/office/drawing/2014/main" id="{E9621C24-F535-49D8-AD65-AAE6942F4785}"/>
            </a:ext>
          </a:extLst>
        </xdr:cNvPr>
        <xdr:cNvGrpSpPr/>
      </xdr:nvGrpSpPr>
      <xdr:grpSpPr>
        <a:xfrm>
          <a:off x="4603072" y="149330425"/>
          <a:ext cx="33655" cy="33655"/>
          <a:chOff x="0" y="0"/>
          <a:chExt cx="33655" cy="33655"/>
        </a:xfrm>
      </xdr:grpSpPr>
      <xdr:sp macro="" textlink="">
        <xdr:nvSpPr>
          <xdr:cNvPr id="7048" name="Shape 48">
            <a:extLst>
              <a:ext uri="{FF2B5EF4-FFF2-40B4-BE49-F238E27FC236}">
                <a16:creationId xmlns:a16="http://schemas.microsoft.com/office/drawing/2014/main" id="{69F70230-EB0E-FC24-E81B-5ADA66C3FC4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49" name="Shape 49">
            <a:extLst>
              <a:ext uri="{FF2B5EF4-FFF2-40B4-BE49-F238E27FC236}">
                <a16:creationId xmlns:a16="http://schemas.microsoft.com/office/drawing/2014/main" id="{207572F8-FB0B-DA56-CE52-F94965CAD31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50" name="Shape 50">
            <a:extLst>
              <a:ext uri="{FF2B5EF4-FFF2-40B4-BE49-F238E27FC236}">
                <a16:creationId xmlns:a16="http://schemas.microsoft.com/office/drawing/2014/main" id="{8428E828-B872-BB2F-4327-4E6E127549C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51" name="Shape 51">
            <a:extLst>
              <a:ext uri="{FF2B5EF4-FFF2-40B4-BE49-F238E27FC236}">
                <a16:creationId xmlns:a16="http://schemas.microsoft.com/office/drawing/2014/main" id="{094E514F-41F4-A970-0AD9-43D130A9EA2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52" name="Shape 52">
            <a:extLst>
              <a:ext uri="{FF2B5EF4-FFF2-40B4-BE49-F238E27FC236}">
                <a16:creationId xmlns:a16="http://schemas.microsoft.com/office/drawing/2014/main" id="{04240250-1429-5C50-F346-DBDCFA8B3DE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53" name="Shape 53">
            <a:extLst>
              <a:ext uri="{FF2B5EF4-FFF2-40B4-BE49-F238E27FC236}">
                <a16:creationId xmlns:a16="http://schemas.microsoft.com/office/drawing/2014/main" id="{B212A4DE-1AD3-6CD1-29CA-8B81CC955E9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54" name="Shape 54">
            <a:extLst>
              <a:ext uri="{FF2B5EF4-FFF2-40B4-BE49-F238E27FC236}">
                <a16:creationId xmlns:a16="http://schemas.microsoft.com/office/drawing/2014/main" id="{AE40DD71-C743-A867-9A1C-A673399302E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55" name="Shape 55">
            <a:extLst>
              <a:ext uri="{FF2B5EF4-FFF2-40B4-BE49-F238E27FC236}">
                <a16:creationId xmlns:a16="http://schemas.microsoft.com/office/drawing/2014/main" id="{C5187201-8D11-82E7-D138-F14FF33418E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56" name="Shape 56">
            <a:extLst>
              <a:ext uri="{FF2B5EF4-FFF2-40B4-BE49-F238E27FC236}">
                <a16:creationId xmlns:a16="http://schemas.microsoft.com/office/drawing/2014/main" id="{EE39001A-DB84-9181-FF3A-12B70A34924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57" name="Shape 57">
            <a:extLst>
              <a:ext uri="{FF2B5EF4-FFF2-40B4-BE49-F238E27FC236}">
                <a16:creationId xmlns:a16="http://schemas.microsoft.com/office/drawing/2014/main" id="{9A512FF1-6907-6CA8-AB11-43998BE3EA6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58" name="Shape 58">
            <a:extLst>
              <a:ext uri="{FF2B5EF4-FFF2-40B4-BE49-F238E27FC236}">
                <a16:creationId xmlns:a16="http://schemas.microsoft.com/office/drawing/2014/main" id="{7C626B78-FE35-F3C9-590F-4634C57032E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59" name="Shape 59">
            <a:extLst>
              <a:ext uri="{FF2B5EF4-FFF2-40B4-BE49-F238E27FC236}">
                <a16:creationId xmlns:a16="http://schemas.microsoft.com/office/drawing/2014/main" id="{4F0A779C-8466-2363-261C-1FC3BA059B0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60" name="Shape 60">
            <a:extLst>
              <a:ext uri="{FF2B5EF4-FFF2-40B4-BE49-F238E27FC236}">
                <a16:creationId xmlns:a16="http://schemas.microsoft.com/office/drawing/2014/main" id="{CB3C7F60-A662-6AF3-372C-84B8E8219E8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61" name="Shape 61">
            <a:extLst>
              <a:ext uri="{FF2B5EF4-FFF2-40B4-BE49-F238E27FC236}">
                <a16:creationId xmlns:a16="http://schemas.microsoft.com/office/drawing/2014/main" id="{B0CB05E2-90E6-2325-8106-451AE779876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810</xdr:row>
      <xdr:rowOff>3962</xdr:rowOff>
    </xdr:from>
    <xdr:ext cx="33655" cy="33655"/>
    <xdr:grpSp>
      <xdr:nvGrpSpPr>
        <xdr:cNvPr id="7062" name="Group 62">
          <a:extLst>
            <a:ext uri="{FF2B5EF4-FFF2-40B4-BE49-F238E27FC236}">
              <a16:creationId xmlns:a16="http://schemas.microsoft.com/office/drawing/2014/main" id="{6513E7F2-1912-4DC0-B556-85B4581B9899}"/>
            </a:ext>
          </a:extLst>
        </xdr:cNvPr>
        <xdr:cNvGrpSpPr/>
      </xdr:nvGrpSpPr>
      <xdr:grpSpPr>
        <a:xfrm>
          <a:off x="4603072" y="149330978"/>
          <a:ext cx="33655" cy="33655"/>
          <a:chOff x="0" y="0"/>
          <a:chExt cx="33655" cy="33655"/>
        </a:xfrm>
      </xdr:grpSpPr>
      <xdr:sp macro="" textlink="">
        <xdr:nvSpPr>
          <xdr:cNvPr id="7063" name="Shape 63">
            <a:extLst>
              <a:ext uri="{FF2B5EF4-FFF2-40B4-BE49-F238E27FC236}">
                <a16:creationId xmlns:a16="http://schemas.microsoft.com/office/drawing/2014/main" id="{809D94B8-6F93-9639-6803-5D05130EEC4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64" name="Shape 64">
            <a:extLst>
              <a:ext uri="{FF2B5EF4-FFF2-40B4-BE49-F238E27FC236}">
                <a16:creationId xmlns:a16="http://schemas.microsoft.com/office/drawing/2014/main" id="{DD218379-0D5E-4921-099C-EA6FECAA6F8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65" name="Shape 65">
            <a:extLst>
              <a:ext uri="{FF2B5EF4-FFF2-40B4-BE49-F238E27FC236}">
                <a16:creationId xmlns:a16="http://schemas.microsoft.com/office/drawing/2014/main" id="{7D0EDDF5-8BC7-8734-B9A4-65357890D26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66" name="Shape 66">
            <a:extLst>
              <a:ext uri="{FF2B5EF4-FFF2-40B4-BE49-F238E27FC236}">
                <a16:creationId xmlns:a16="http://schemas.microsoft.com/office/drawing/2014/main" id="{1FFD6ACE-F746-8FDC-0369-B4C62C7A8AE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67" name="Shape 67">
            <a:extLst>
              <a:ext uri="{FF2B5EF4-FFF2-40B4-BE49-F238E27FC236}">
                <a16:creationId xmlns:a16="http://schemas.microsoft.com/office/drawing/2014/main" id="{3C9996C5-A5EA-121C-023B-6034097F88D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68" name="Shape 68">
            <a:extLst>
              <a:ext uri="{FF2B5EF4-FFF2-40B4-BE49-F238E27FC236}">
                <a16:creationId xmlns:a16="http://schemas.microsoft.com/office/drawing/2014/main" id="{1725B100-E556-90C5-9F51-EA885DD85D1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69" name="Shape 69">
            <a:extLst>
              <a:ext uri="{FF2B5EF4-FFF2-40B4-BE49-F238E27FC236}">
                <a16:creationId xmlns:a16="http://schemas.microsoft.com/office/drawing/2014/main" id="{488B61DD-3117-059F-3D5B-2986B3ED78A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70" name="Shape 70">
            <a:extLst>
              <a:ext uri="{FF2B5EF4-FFF2-40B4-BE49-F238E27FC236}">
                <a16:creationId xmlns:a16="http://schemas.microsoft.com/office/drawing/2014/main" id="{96E36C4D-ACF7-0201-C471-9FCEB43363A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71" name="Shape 71">
            <a:extLst>
              <a:ext uri="{FF2B5EF4-FFF2-40B4-BE49-F238E27FC236}">
                <a16:creationId xmlns:a16="http://schemas.microsoft.com/office/drawing/2014/main" id="{C27ABC41-D228-8BD9-2F6B-465D4EDECB4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72" name="Shape 72">
            <a:extLst>
              <a:ext uri="{FF2B5EF4-FFF2-40B4-BE49-F238E27FC236}">
                <a16:creationId xmlns:a16="http://schemas.microsoft.com/office/drawing/2014/main" id="{A181BD0A-4F52-8ABE-1EE1-3199E948A20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73" name="Shape 73">
            <a:extLst>
              <a:ext uri="{FF2B5EF4-FFF2-40B4-BE49-F238E27FC236}">
                <a16:creationId xmlns:a16="http://schemas.microsoft.com/office/drawing/2014/main" id="{5EB08E80-B22A-4E64-41C7-2DCC05987D0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74" name="Shape 74">
            <a:extLst>
              <a:ext uri="{FF2B5EF4-FFF2-40B4-BE49-F238E27FC236}">
                <a16:creationId xmlns:a16="http://schemas.microsoft.com/office/drawing/2014/main" id="{078C3CD1-40D7-D733-6018-C14FE8652F3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75" name="Shape 75">
            <a:extLst>
              <a:ext uri="{FF2B5EF4-FFF2-40B4-BE49-F238E27FC236}">
                <a16:creationId xmlns:a16="http://schemas.microsoft.com/office/drawing/2014/main" id="{50ACB380-141F-873F-6D04-A147B64DFE4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076" name="Shape 76">
            <a:extLst>
              <a:ext uri="{FF2B5EF4-FFF2-40B4-BE49-F238E27FC236}">
                <a16:creationId xmlns:a16="http://schemas.microsoft.com/office/drawing/2014/main" id="{CE8902DF-96B2-2153-32D2-2555C2EFF7A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821</xdr:row>
      <xdr:rowOff>2978</xdr:rowOff>
    </xdr:from>
    <xdr:ext cx="33655" cy="33655"/>
    <xdr:grpSp>
      <xdr:nvGrpSpPr>
        <xdr:cNvPr id="7077" name="Group 2">
          <a:extLst>
            <a:ext uri="{FF2B5EF4-FFF2-40B4-BE49-F238E27FC236}">
              <a16:creationId xmlns:a16="http://schemas.microsoft.com/office/drawing/2014/main" id="{202BD850-6C2D-40AE-8172-E2E0ECD95577}"/>
            </a:ext>
          </a:extLst>
        </xdr:cNvPr>
        <xdr:cNvGrpSpPr/>
      </xdr:nvGrpSpPr>
      <xdr:grpSpPr>
        <a:xfrm>
          <a:off x="4603072" y="151322437"/>
          <a:ext cx="33655" cy="33655"/>
          <a:chOff x="0" y="0"/>
          <a:chExt cx="33655" cy="33655"/>
        </a:xfrm>
      </xdr:grpSpPr>
      <xdr:sp macro="" textlink="">
        <xdr:nvSpPr>
          <xdr:cNvPr id="7078" name="Shape 3">
            <a:extLst>
              <a:ext uri="{FF2B5EF4-FFF2-40B4-BE49-F238E27FC236}">
                <a16:creationId xmlns:a16="http://schemas.microsoft.com/office/drawing/2014/main" id="{C04FA77B-645D-C30F-ACDD-27995CDF5ED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79" name="Shape 4">
            <a:extLst>
              <a:ext uri="{FF2B5EF4-FFF2-40B4-BE49-F238E27FC236}">
                <a16:creationId xmlns:a16="http://schemas.microsoft.com/office/drawing/2014/main" id="{D92EA142-190F-B2AF-E6AE-AD853C21D59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80" name="Shape 5">
            <a:extLst>
              <a:ext uri="{FF2B5EF4-FFF2-40B4-BE49-F238E27FC236}">
                <a16:creationId xmlns:a16="http://schemas.microsoft.com/office/drawing/2014/main" id="{11FB754D-F6C6-A58E-5350-10ABD924308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81" name="Shape 6">
            <a:extLst>
              <a:ext uri="{FF2B5EF4-FFF2-40B4-BE49-F238E27FC236}">
                <a16:creationId xmlns:a16="http://schemas.microsoft.com/office/drawing/2014/main" id="{6707CD84-C202-2AC7-386F-69401B66AEE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82" name="Shape 7">
            <a:extLst>
              <a:ext uri="{FF2B5EF4-FFF2-40B4-BE49-F238E27FC236}">
                <a16:creationId xmlns:a16="http://schemas.microsoft.com/office/drawing/2014/main" id="{7374BB55-BD82-A629-C551-EC417F01623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83" name="Shape 8">
            <a:extLst>
              <a:ext uri="{FF2B5EF4-FFF2-40B4-BE49-F238E27FC236}">
                <a16:creationId xmlns:a16="http://schemas.microsoft.com/office/drawing/2014/main" id="{AA5BCABF-B492-10A7-D535-8F834FF3DFB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84" name="Shape 9">
            <a:extLst>
              <a:ext uri="{FF2B5EF4-FFF2-40B4-BE49-F238E27FC236}">
                <a16:creationId xmlns:a16="http://schemas.microsoft.com/office/drawing/2014/main" id="{EBE027E3-A76A-04B4-0639-B9E316AACE1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85" name="Shape 10">
            <a:extLst>
              <a:ext uri="{FF2B5EF4-FFF2-40B4-BE49-F238E27FC236}">
                <a16:creationId xmlns:a16="http://schemas.microsoft.com/office/drawing/2014/main" id="{F6E4216E-1592-F632-058C-4B010C8D17C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86" name="Shape 11">
            <a:extLst>
              <a:ext uri="{FF2B5EF4-FFF2-40B4-BE49-F238E27FC236}">
                <a16:creationId xmlns:a16="http://schemas.microsoft.com/office/drawing/2014/main" id="{2177A316-752B-3868-441B-55F612E7AA9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87" name="Shape 12">
            <a:extLst>
              <a:ext uri="{FF2B5EF4-FFF2-40B4-BE49-F238E27FC236}">
                <a16:creationId xmlns:a16="http://schemas.microsoft.com/office/drawing/2014/main" id="{1DB720DF-87BA-2677-A18F-A52A903B9C9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88" name="Shape 13">
            <a:extLst>
              <a:ext uri="{FF2B5EF4-FFF2-40B4-BE49-F238E27FC236}">
                <a16:creationId xmlns:a16="http://schemas.microsoft.com/office/drawing/2014/main" id="{2C6A44AC-8F0E-263B-D2A7-E47830DE561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89" name="Shape 14">
            <a:extLst>
              <a:ext uri="{FF2B5EF4-FFF2-40B4-BE49-F238E27FC236}">
                <a16:creationId xmlns:a16="http://schemas.microsoft.com/office/drawing/2014/main" id="{437469EE-FFC3-6B51-03DB-7595A778D38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90" name="Shape 15">
            <a:extLst>
              <a:ext uri="{FF2B5EF4-FFF2-40B4-BE49-F238E27FC236}">
                <a16:creationId xmlns:a16="http://schemas.microsoft.com/office/drawing/2014/main" id="{C5EC506F-A0B9-3EC7-0745-9E7B19C03B2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91" name="Shape 16">
            <a:extLst>
              <a:ext uri="{FF2B5EF4-FFF2-40B4-BE49-F238E27FC236}">
                <a16:creationId xmlns:a16="http://schemas.microsoft.com/office/drawing/2014/main" id="{5EC2AC3C-BB65-68F6-A238-72DF8CDFBD7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821</xdr:row>
      <xdr:rowOff>3246</xdr:rowOff>
    </xdr:from>
    <xdr:ext cx="33655" cy="33655"/>
    <xdr:grpSp>
      <xdr:nvGrpSpPr>
        <xdr:cNvPr id="7092" name="Group 17">
          <a:extLst>
            <a:ext uri="{FF2B5EF4-FFF2-40B4-BE49-F238E27FC236}">
              <a16:creationId xmlns:a16="http://schemas.microsoft.com/office/drawing/2014/main" id="{6EE25766-A1D8-4D73-A745-E271192698A6}"/>
            </a:ext>
          </a:extLst>
        </xdr:cNvPr>
        <xdr:cNvGrpSpPr/>
      </xdr:nvGrpSpPr>
      <xdr:grpSpPr>
        <a:xfrm>
          <a:off x="4603072" y="151322705"/>
          <a:ext cx="33655" cy="33655"/>
          <a:chOff x="0" y="0"/>
          <a:chExt cx="33655" cy="33655"/>
        </a:xfrm>
      </xdr:grpSpPr>
      <xdr:sp macro="" textlink="">
        <xdr:nvSpPr>
          <xdr:cNvPr id="7093" name="Shape 18">
            <a:extLst>
              <a:ext uri="{FF2B5EF4-FFF2-40B4-BE49-F238E27FC236}">
                <a16:creationId xmlns:a16="http://schemas.microsoft.com/office/drawing/2014/main" id="{D3611AF1-6D89-57C3-0E8B-5B43B751F16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94" name="Shape 19">
            <a:extLst>
              <a:ext uri="{FF2B5EF4-FFF2-40B4-BE49-F238E27FC236}">
                <a16:creationId xmlns:a16="http://schemas.microsoft.com/office/drawing/2014/main" id="{98582160-4A0C-33F0-6799-123322CC080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95" name="Shape 20">
            <a:extLst>
              <a:ext uri="{FF2B5EF4-FFF2-40B4-BE49-F238E27FC236}">
                <a16:creationId xmlns:a16="http://schemas.microsoft.com/office/drawing/2014/main" id="{91836C56-1BFC-CFFD-7E2C-53949AF9927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96" name="Shape 21">
            <a:extLst>
              <a:ext uri="{FF2B5EF4-FFF2-40B4-BE49-F238E27FC236}">
                <a16:creationId xmlns:a16="http://schemas.microsoft.com/office/drawing/2014/main" id="{B738CD20-F4F0-B9F2-1584-92433A8CF82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97" name="Shape 22">
            <a:extLst>
              <a:ext uri="{FF2B5EF4-FFF2-40B4-BE49-F238E27FC236}">
                <a16:creationId xmlns:a16="http://schemas.microsoft.com/office/drawing/2014/main" id="{E3082948-2DB8-DCFD-92C7-4126F164471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098" name="Shape 23">
            <a:extLst>
              <a:ext uri="{FF2B5EF4-FFF2-40B4-BE49-F238E27FC236}">
                <a16:creationId xmlns:a16="http://schemas.microsoft.com/office/drawing/2014/main" id="{DDAA86AF-84F0-1E71-E11E-B717E6BC095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099" name="Shape 24">
            <a:extLst>
              <a:ext uri="{FF2B5EF4-FFF2-40B4-BE49-F238E27FC236}">
                <a16:creationId xmlns:a16="http://schemas.microsoft.com/office/drawing/2014/main" id="{7EDBD5F2-9C86-FC4F-639E-E8BDE91FBA4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00" name="Shape 25">
            <a:extLst>
              <a:ext uri="{FF2B5EF4-FFF2-40B4-BE49-F238E27FC236}">
                <a16:creationId xmlns:a16="http://schemas.microsoft.com/office/drawing/2014/main" id="{73EAD1C8-6368-130B-A624-C5DE6AA057F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01" name="Shape 26">
            <a:extLst>
              <a:ext uri="{FF2B5EF4-FFF2-40B4-BE49-F238E27FC236}">
                <a16:creationId xmlns:a16="http://schemas.microsoft.com/office/drawing/2014/main" id="{23FFC84A-259B-D6EE-27B0-D2B18B2B0A5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02" name="Shape 27">
            <a:extLst>
              <a:ext uri="{FF2B5EF4-FFF2-40B4-BE49-F238E27FC236}">
                <a16:creationId xmlns:a16="http://schemas.microsoft.com/office/drawing/2014/main" id="{0E7737F6-FD0C-E97F-E6AC-C21507C2862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03" name="Shape 28">
            <a:extLst>
              <a:ext uri="{FF2B5EF4-FFF2-40B4-BE49-F238E27FC236}">
                <a16:creationId xmlns:a16="http://schemas.microsoft.com/office/drawing/2014/main" id="{8CAE3BFB-D02C-F537-CF76-F5654FA002E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04" name="Shape 29">
            <a:extLst>
              <a:ext uri="{FF2B5EF4-FFF2-40B4-BE49-F238E27FC236}">
                <a16:creationId xmlns:a16="http://schemas.microsoft.com/office/drawing/2014/main" id="{9232056E-F3D1-71AC-2E3D-F3EB680AE96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05" name="Shape 30">
            <a:extLst>
              <a:ext uri="{FF2B5EF4-FFF2-40B4-BE49-F238E27FC236}">
                <a16:creationId xmlns:a16="http://schemas.microsoft.com/office/drawing/2014/main" id="{3DDF2749-6217-1A3C-719C-8D94FDFC7B5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06" name="Shape 31">
            <a:extLst>
              <a:ext uri="{FF2B5EF4-FFF2-40B4-BE49-F238E27FC236}">
                <a16:creationId xmlns:a16="http://schemas.microsoft.com/office/drawing/2014/main" id="{6A634EC6-5547-22CB-5CCD-65CC7FD44A8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821</xdr:row>
      <xdr:rowOff>3703</xdr:rowOff>
    </xdr:from>
    <xdr:ext cx="33655" cy="33655"/>
    <xdr:grpSp>
      <xdr:nvGrpSpPr>
        <xdr:cNvPr id="7107" name="Group 32">
          <a:extLst>
            <a:ext uri="{FF2B5EF4-FFF2-40B4-BE49-F238E27FC236}">
              <a16:creationId xmlns:a16="http://schemas.microsoft.com/office/drawing/2014/main" id="{FF98BC02-54DF-4CC0-8AB9-5C48C5AD2462}"/>
            </a:ext>
          </a:extLst>
        </xdr:cNvPr>
        <xdr:cNvGrpSpPr/>
      </xdr:nvGrpSpPr>
      <xdr:grpSpPr>
        <a:xfrm>
          <a:off x="4603072" y="151323162"/>
          <a:ext cx="33655" cy="33655"/>
          <a:chOff x="0" y="0"/>
          <a:chExt cx="33655" cy="33655"/>
        </a:xfrm>
      </xdr:grpSpPr>
      <xdr:sp macro="" textlink="">
        <xdr:nvSpPr>
          <xdr:cNvPr id="7108" name="Shape 33">
            <a:extLst>
              <a:ext uri="{FF2B5EF4-FFF2-40B4-BE49-F238E27FC236}">
                <a16:creationId xmlns:a16="http://schemas.microsoft.com/office/drawing/2014/main" id="{AE81A78D-275B-5FEF-FE7A-77520523C79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09" name="Shape 34">
            <a:extLst>
              <a:ext uri="{FF2B5EF4-FFF2-40B4-BE49-F238E27FC236}">
                <a16:creationId xmlns:a16="http://schemas.microsoft.com/office/drawing/2014/main" id="{E5C3F17E-1BEE-753A-D8BD-7B492D74C3B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10" name="Shape 35">
            <a:extLst>
              <a:ext uri="{FF2B5EF4-FFF2-40B4-BE49-F238E27FC236}">
                <a16:creationId xmlns:a16="http://schemas.microsoft.com/office/drawing/2014/main" id="{DD64BFA6-4E9A-868F-5420-1C6DD772B5C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11" name="Shape 36">
            <a:extLst>
              <a:ext uri="{FF2B5EF4-FFF2-40B4-BE49-F238E27FC236}">
                <a16:creationId xmlns:a16="http://schemas.microsoft.com/office/drawing/2014/main" id="{4C908E9A-662B-00B5-94B9-82CF0EAF06F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12" name="Shape 37">
            <a:extLst>
              <a:ext uri="{FF2B5EF4-FFF2-40B4-BE49-F238E27FC236}">
                <a16:creationId xmlns:a16="http://schemas.microsoft.com/office/drawing/2014/main" id="{D8B2D595-BCF8-BA9E-F5FC-AE60C664580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13" name="Shape 38">
            <a:extLst>
              <a:ext uri="{FF2B5EF4-FFF2-40B4-BE49-F238E27FC236}">
                <a16:creationId xmlns:a16="http://schemas.microsoft.com/office/drawing/2014/main" id="{EF680359-1805-9432-02AE-1A2E7012C74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14" name="Shape 39">
            <a:extLst>
              <a:ext uri="{FF2B5EF4-FFF2-40B4-BE49-F238E27FC236}">
                <a16:creationId xmlns:a16="http://schemas.microsoft.com/office/drawing/2014/main" id="{FF3ECB25-6A8A-0F7F-3E16-8C994CBFDBB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15" name="Shape 40">
            <a:extLst>
              <a:ext uri="{FF2B5EF4-FFF2-40B4-BE49-F238E27FC236}">
                <a16:creationId xmlns:a16="http://schemas.microsoft.com/office/drawing/2014/main" id="{C2F235C1-3327-5AB0-5046-73FA8DBE8C8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16" name="Shape 41">
            <a:extLst>
              <a:ext uri="{FF2B5EF4-FFF2-40B4-BE49-F238E27FC236}">
                <a16:creationId xmlns:a16="http://schemas.microsoft.com/office/drawing/2014/main" id="{D18F084F-1E37-3850-FB05-E40C014FAE8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17" name="Shape 42">
            <a:extLst>
              <a:ext uri="{FF2B5EF4-FFF2-40B4-BE49-F238E27FC236}">
                <a16:creationId xmlns:a16="http://schemas.microsoft.com/office/drawing/2014/main" id="{84E1569C-0C69-30AD-5989-1469E2D7ABE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18" name="Shape 43">
            <a:extLst>
              <a:ext uri="{FF2B5EF4-FFF2-40B4-BE49-F238E27FC236}">
                <a16:creationId xmlns:a16="http://schemas.microsoft.com/office/drawing/2014/main" id="{ECA9CBF2-51A3-6D24-CD21-A4C42783F67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19" name="Shape 44">
            <a:extLst>
              <a:ext uri="{FF2B5EF4-FFF2-40B4-BE49-F238E27FC236}">
                <a16:creationId xmlns:a16="http://schemas.microsoft.com/office/drawing/2014/main" id="{5B207A8B-54A3-4A08-1F83-C0BB7E8AD2C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20" name="Shape 45">
            <a:extLst>
              <a:ext uri="{FF2B5EF4-FFF2-40B4-BE49-F238E27FC236}">
                <a16:creationId xmlns:a16="http://schemas.microsoft.com/office/drawing/2014/main" id="{58C5A196-FB16-BFD6-3E34-5AB1B321034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21" name="Shape 46">
            <a:extLst>
              <a:ext uri="{FF2B5EF4-FFF2-40B4-BE49-F238E27FC236}">
                <a16:creationId xmlns:a16="http://schemas.microsoft.com/office/drawing/2014/main" id="{CB72D23A-1EDC-5C11-39C0-D58916DFCD9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821</xdr:row>
      <xdr:rowOff>3409</xdr:rowOff>
    </xdr:from>
    <xdr:ext cx="33655" cy="33655"/>
    <xdr:grpSp>
      <xdr:nvGrpSpPr>
        <xdr:cNvPr id="7122" name="Group 47">
          <a:extLst>
            <a:ext uri="{FF2B5EF4-FFF2-40B4-BE49-F238E27FC236}">
              <a16:creationId xmlns:a16="http://schemas.microsoft.com/office/drawing/2014/main" id="{E4A10D86-A4EF-43BF-9A8B-E4108CBD0877}"/>
            </a:ext>
          </a:extLst>
        </xdr:cNvPr>
        <xdr:cNvGrpSpPr/>
      </xdr:nvGrpSpPr>
      <xdr:grpSpPr>
        <a:xfrm>
          <a:off x="4603072" y="151322868"/>
          <a:ext cx="33655" cy="33655"/>
          <a:chOff x="0" y="0"/>
          <a:chExt cx="33655" cy="33655"/>
        </a:xfrm>
      </xdr:grpSpPr>
      <xdr:sp macro="" textlink="">
        <xdr:nvSpPr>
          <xdr:cNvPr id="7123" name="Shape 48">
            <a:extLst>
              <a:ext uri="{FF2B5EF4-FFF2-40B4-BE49-F238E27FC236}">
                <a16:creationId xmlns:a16="http://schemas.microsoft.com/office/drawing/2014/main" id="{A47FBA90-5E44-B66F-82C9-638592107F8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24" name="Shape 49">
            <a:extLst>
              <a:ext uri="{FF2B5EF4-FFF2-40B4-BE49-F238E27FC236}">
                <a16:creationId xmlns:a16="http://schemas.microsoft.com/office/drawing/2014/main" id="{7BD09E97-CB22-41D2-EF20-24829BE3840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25" name="Shape 50">
            <a:extLst>
              <a:ext uri="{FF2B5EF4-FFF2-40B4-BE49-F238E27FC236}">
                <a16:creationId xmlns:a16="http://schemas.microsoft.com/office/drawing/2014/main" id="{727F1525-8649-26BA-AC65-9CC8ED3A2A5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26" name="Shape 51">
            <a:extLst>
              <a:ext uri="{FF2B5EF4-FFF2-40B4-BE49-F238E27FC236}">
                <a16:creationId xmlns:a16="http://schemas.microsoft.com/office/drawing/2014/main" id="{26A40C13-A6E6-6D90-DBBB-0D28AA8A4F3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27" name="Shape 52">
            <a:extLst>
              <a:ext uri="{FF2B5EF4-FFF2-40B4-BE49-F238E27FC236}">
                <a16:creationId xmlns:a16="http://schemas.microsoft.com/office/drawing/2014/main" id="{23367EFF-4E30-D138-766B-162445D7DC8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28" name="Shape 53">
            <a:extLst>
              <a:ext uri="{FF2B5EF4-FFF2-40B4-BE49-F238E27FC236}">
                <a16:creationId xmlns:a16="http://schemas.microsoft.com/office/drawing/2014/main" id="{4F805AE1-1EE7-D4E7-FAF0-9418D7A80A9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29" name="Shape 54">
            <a:extLst>
              <a:ext uri="{FF2B5EF4-FFF2-40B4-BE49-F238E27FC236}">
                <a16:creationId xmlns:a16="http://schemas.microsoft.com/office/drawing/2014/main" id="{C743936A-740A-AA6E-5833-6DA2B092215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30" name="Shape 55">
            <a:extLst>
              <a:ext uri="{FF2B5EF4-FFF2-40B4-BE49-F238E27FC236}">
                <a16:creationId xmlns:a16="http://schemas.microsoft.com/office/drawing/2014/main" id="{83617D6C-5CCD-A0A0-3333-750DC6EADF0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31" name="Shape 56">
            <a:extLst>
              <a:ext uri="{FF2B5EF4-FFF2-40B4-BE49-F238E27FC236}">
                <a16:creationId xmlns:a16="http://schemas.microsoft.com/office/drawing/2014/main" id="{FE33AF5B-5032-FCD8-B57D-39D78496D0F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32" name="Shape 57">
            <a:extLst>
              <a:ext uri="{FF2B5EF4-FFF2-40B4-BE49-F238E27FC236}">
                <a16:creationId xmlns:a16="http://schemas.microsoft.com/office/drawing/2014/main" id="{C7706635-1D03-064C-58B2-8EC4C64422C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33" name="Shape 58">
            <a:extLst>
              <a:ext uri="{FF2B5EF4-FFF2-40B4-BE49-F238E27FC236}">
                <a16:creationId xmlns:a16="http://schemas.microsoft.com/office/drawing/2014/main" id="{FFB69D54-DE66-A84C-D72B-9D3A71C6CC1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34" name="Shape 59">
            <a:extLst>
              <a:ext uri="{FF2B5EF4-FFF2-40B4-BE49-F238E27FC236}">
                <a16:creationId xmlns:a16="http://schemas.microsoft.com/office/drawing/2014/main" id="{4D5B6187-0D52-3E80-C613-754F5D18BCC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35" name="Shape 60">
            <a:extLst>
              <a:ext uri="{FF2B5EF4-FFF2-40B4-BE49-F238E27FC236}">
                <a16:creationId xmlns:a16="http://schemas.microsoft.com/office/drawing/2014/main" id="{525AEE0C-BECA-B47E-D378-33414EA9576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36" name="Shape 61">
            <a:extLst>
              <a:ext uri="{FF2B5EF4-FFF2-40B4-BE49-F238E27FC236}">
                <a16:creationId xmlns:a16="http://schemas.microsoft.com/office/drawing/2014/main" id="{A6CB0966-CA41-7F21-CA55-7B287CE4153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821</xdr:row>
      <xdr:rowOff>3962</xdr:rowOff>
    </xdr:from>
    <xdr:ext cx="33655" cy="33655"/>
    <xdr:grpSp>
      <xdr:nvGrpSpPr>
        <xdr:cNvPr id="7137" name="Group 62">
          <a:extLst>
            <a:ext uri="{FF2B5EF4-FFF2-40B4-BE49-F238E27FC236}">
              <a16:creationId xmlns:a16="http://schemas.microsoft.com/office/drawing/2014/main" id="{A6434C55-55D8-496F-9626-5F78751518B1}"/>
            </a:ext>
          </a:extLst>
        </xdr:cNvPr>
        <xdr:cNvGrpSpPr/>
      </xdr:nvGrpSpPr>
      <xdr:grpSpPr>
        <a:xfrm>
          <a:off x="4603072" y="151323421"/>
          <a:ext cx="33655" cy="33655"/>
          <a:chOff x="0" y="0"/>
          <a:chExt cx="33655" cy="33655"/>
        </a:xfrm>
      </xdr:grpSpPr>
      <xdr:sp macro="" textlink="">
        <xdr:nvSpPr>
          <xdr:cNvPr id="7138" name="Shape 63">
            <a:extLst>
              <a:ext uri="{FF2B5EF4-FFF2-40B4-BE49-F238E27FC236}">
                <a16:creationId xmlns:a16="http://schemas.microsoft.com/office/drawing/2014/main" id="{A9360860-5472-C6F0-F5CC-0B2A239040B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39" name="Shape 64">
            <a:extLst>
              <a:ext uri="{FF2B5EF4-FFF2-40B4-BE49-F238E27FC236}">
                <a16:creationId xmlns:a16="http://schemas.microsoft.com/office/drawing/2014/main" id="{369928D1-CE9A-87F2-68EA-99F11913C8B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140" name="Shape 65">
            <a:extLst>
              <a:ext uri="{FF2B5EF4-FFF2-40B4-BE49-F238E27FC236}">
                <a16:creationId xmlns:a16="http://schemas.microsoft.com/office/drawing/2014/main" id="{52699946-B28C-5EAB-8801-370E2CF263B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41" name="Shape 66">
            <a:extLst>
              <a:ext uri="{FF2B5EF4-FFF2-40B4-BE49-F238E27FC236}">
                <a16:creationId xmlns:a16="http://schemas.microsoft.com/office/drawing/2014/main" id="{9057943F-8159-778A-1F55-4AF76D0556A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142" name="Shape 67">
            <a:extLst>
              <a:ext uri="{FF2B5EF4-FFF2-40B4-BE49-F238E27FC236}">
                <a16:creationId xmlns:a16="http://schemas.microsoft.com/office/drawing/2014/main" id="{BA0ADE11-5C69-8E9E-5E14-01A7EDF65E2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43" name="Shape 68">
            <a:extLst>
              <a:ext uri="{FF2B5EF4-FFF2-40B4-BE49-F238E27FC236}">
                <a16:creationId xmlns:a16="http://schemas.microsoft.com/office/drawing/2014/main" id="{56E96449-D850-5A06-B0D8-D01F6664E07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144" name="Shape 69">
            <a:extLst>
              <a:ext uri="{FF2B5EF4-FFF2-40B4-BE49-F238E27FC236}">
                <a16:creationId xmlns:a16="http://schemas.microsoft.com/office/drawing/2014/main" id="{809EC7FF-342E-1703-577D-1C0D7D326C9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45" name="Shape 70">
            <a:extLst>
              <a:ext uri="{FF2B5EF4-FFF2-40B4-BE49-F238E27FC236}">
                <a16:creationId xmlns:a16="http://schemas.microsoft.com/office/drawing/2014/main" id="{3A99B070-B6E6-FEFE-77D2-2DC83BCFFB5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146" name="Shape 71">
            <a:extLst>
              <a:ext uri="{FF2B5EF4-FFF2-40B4-BE49-F238E27FC236}">
                <a16:creationId xmlns:a16="http://schemas.microsoft.com/office/drawing/2014/main" id="{662E0F63-3F9D-1C81-EE94-DE96E0180F3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47" name="Shape 72">
            <a:extLst>
              <a:ext uri="{FF2B5EF4-FFF2-40B4-BE49-F238E27FC236}">
                <a16:creationId xmlns:a16="http://schemas.microsoft.com/office/drawing/2014/main" id="{1306156B-EB70-F63A-88EA-43C14B9CEC1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148" name="Shape 73">
            <a:extLst>
              <a:ext uri="{FF2B5EF4-FFF2-40B4-BE49-F238E27FC236}">
                <a16:creationId xmlns:a16="http://schemas.microsoft.com/office/drawing/2014/main" id="{74C782C1-FEA8-BD7D-6F91-783E9BE767E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49" name="Shape 74">
            <a:extLst>
              <a:ext uri="{FF2B5EF4-FFF2-40B4-BE49-F238E27FC236}">
                <a16:creationId xmlns:a16="http://schemas.microsoft.com/office/drawing/2014/main" id="{2A41C6A4-9F0D-07EC-60A7-AD9A5D30400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150" name="Shape 75">
            <a:extLst>
              <a:ext uri="{FF2B5EF4-FFF2-40B4-BE49-F238E27FC236}">
                <a16:creationId xmlns:a16="http://schemas.microsoft.com/office/drawing/2014/main" id="{97E3DC89-AB10-61B4-1181-6C938AD80EC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151" name="Shape 76">
            <a:extLst>
              <a:ext uri="{FF2B5EF4-FFF2-40B4-BE49-F238E27FC236}">
                <a16:creationId xmlns:a16="http://schemas.microsoft.com/office/drawing/2014/main" id="{587AC0F2-0878-FD9D-75DB-90115AAB118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821</xdr:row>
      <xdr:rowOff>2978</xdr:rowOff>
    </xdr:from>
    <xdr:ext cx="33655" cy="33655"/>
    <xdr:grpSp>
      <xdr:nvGrpSpPr>
        <xdr:cNvPr id="7152" name="Group 2">
          <a:extLst>
            <a:ext uri="{FF2B5EF4-FFF2-40B4-BE49-F238E27FC236}">
              <a16:creationId xmlns:a16="http://schemas.microsoft.com/office/drawing/2014/main" id="{CE75B527-1986-4C73-BB14-72CD0F0984D2}"/>
            </a:ext>
          </a:extLst>
        </xdr:cNvPr>
        <xdr:cNvGrpSpPr/>
      </xdr:nvGrpSpPr>
      <xdr:grpSpPr>
        <a:xfrm>
          <a:off x="4603072" y="151322437"/>
          <a:ext cx="33655" cy="33655"/>
          <a:chOff x="0" y="0"/>
          <a:chExt cx="33655" cy="33655"/>
        </a:xfrm>
      </xdr:grpSpPr>
      <xdr:sp macro="" textlink="">
        <xdr:nvSpPr>
          <xdr:cNvPr id="7153" name="Shape 3">
            <a:extLst>
              <a:ext uri="{FF2B5EF4-FFF2-40B4-BE49-F238E27FC236}">
                <a16:creationId xmlns:a16="http://schemas.microsoft.com/office/drawing/2014/main" id="{C8099C7D-312F-FCB8-3BE0-AAF5FBD3D0D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54" name="Shape 4">
            <a:extLst>
              <a:ext uri="{FF2B5EF4-FFF2-40B4-BE49-F238E27FC236}">
                <a16:creationId xmlns:a16="http://schemas.microsoft.com/office/drawing/2014/main" id="{7D246E05-821D-2CB0-32A3-61E65277281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55" name="Shape 5">
            <a:extLst>
              <a:ext uri="{FF2B5EF4-FFF2-40B4-BE49-F238E27FC236}">
                <a16:creationId xmlns:a16="http://schemas.microsoft.com/office/drawing/2014/main" id="{E40C8B73-776E-9206-6416-3E83117E564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56" name="Shape 6">
            <a:extLst>
              <a:ext uri="{FF2B5EF4-FFF2-40B4-BE49-F238E27FC236}">
                <a16:creationId xmlns:a16="http://schemas.microsoft.com/office/drawing/2014/main" id="{944A7A59-5AF9-DD72-A756-477044298B3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57" name="Shape 7">
            <a:extLst>
              <a:ext uri="{FF2B5EF4-FFF2-40B4-BE49-F238E27FC236}">
                <a16:creationId xmlns:a16="http://schemas.microsoft.com/office/drawing/2014/main" id="{C4F309D1-6A61-24C2-B032-C0B34EBA6B1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58" name="Shape 8">
            <a:extLst>
              <a:ext uri="{FF2B5EF4-FFF2-40B4-BE49-F238E27FC236}">
                <a16:creationId xmlns:a16="http://schemas.microsoft.com/office/drawing/2014/main" id="{099ED9C9-6655-EEF0-A592-6D5B6CF8843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59" name="Shape 9">
            <a:extLst>
              <a:ext uri="{FF2B5EF4-FFF2-40B4-BE49-F238E27FC236}">
                <a16:creationId xmlns:a16="http://schemas.microsoft.com/office/drawing/2014/main" id="{444BE6C2-3689-DF65-99FD-8AAC11CBCD3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60" name="Shape 10">
            <a:extLst>
              <a:ext uri="{FF2B5EF4-FFF2-40B4-BE49-F238E27FC236}">
                <a16:creationId xmlns:a16="http://schemas.microsoft.com/office/drawing/2014/main" id="{D30AAB85-8A75-8F04-6B35-2322DC0B312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61" name="Shape 11">
            <a:extLst>
              <a:ext uri="{FF2B5EF4-FFF2-40B4-BE49-F238E27FC236}">
                <a16:creationId xmlns:a16="http://schemas.microsoft.com/office/drawing/2014/main" id="{E4794295-2B61-D104-778D-A46DA37344D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62" name="Shape 12">
            <a:extLst>
              <a:ext uri="{FF2B5EF4-FFF2-40B4-BE49-F238E27FC236}">
                <a16:creationId xmlns:a16="http://schemas.microsoft.com/office/drawing/2014/main" id="{7825C55F-B72B-2DF6-C51C-89DB8ECC718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63" name="Shape 13">
            <a:extLst>
              <a:ext uri="{FF2B5EF4-FFF2-40B4-BE49-F238E27FC236}">
                <a16:creationId xmlns:a16="http://schemas.microsoft.com/office/drawing/2014/main" id="{9ED9E441-1BE1-9971-B6C0-4B4DF2685C7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64" name="Shape 14">
            <a:extLst>
              <a:ext uri="{FF2B5EF4-FFF2-40B4-BE49-F238E27FC236}">
                <a16:creationId xmlns:a16="http://schemas.microsoft.com/office/drawing/2014/main" id="{792F396E-5753-2E97-F054-904522F5668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65" name="Shape 15">
            <a:extLst>
              <a:ext uri="{FF2B5EF4-FFF2-40B4-BE49-F238E27FC236}">
                <a16:creationId xmlns:a16="http://schemas.microsoft.com/office/drawing/2014/main" id="{DC2AA37D-05B4-0012-8A58-422AFCEA823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66" name="Shape 16">
            <a:extLst>
              <a:ext uri="{FF2B5EF4-FFF2-40B4-BE49-F238E27FC236}">
                <a16:creationId xmlns:a16="http://schemas.microsoft.com/office/drawing/2014/main" id="{2AC98998-B223-B750-F82E-9921F971613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821</xdr:row>
      <xdr:rowOff>3246</xdr:rowOff>
    </xdr:from>
    <xdr:ext cx="33655" cy="33655"/>
    <xdr:grpSp>
      <xdr:nvGrpSpPr>
        <xdr:cNvPr id="7167" name="Group 17">
          <a:extLst>
            <a:ext uri="{FF2B5EF4-FFF2-40B4-BE49-F238E27FC236}">
              <a16:creationId xmlns:a16="http://schemas.microsoft.com/office/drawing/2014/main" id="{7EAC79FC-DF9C-46A6-AB92-90D28036B3F6}"/>
            </a:ext>
          </a:extLst>
        </xdr:cNvPr>
        <xdr:cNvGrpSpPr/>
      </xdr:nvGrpSpPr>
      <xdr:grpSpPr>
        <a:xfrm>
          <a:off x="4603072" y="151322705"/>
          <a:ext cx="33655" cy="33655"/>
          <a:chOff x="0" y="0"/>
          <a:chExt cx="33655" cy="33655"/>
        </a:xfrm>
      </xdr:grpSpPr>
      <xdr:sp macro="" textlink="">
        <xdr:nvSpPr>
          <xdr:cNvPr id="7168" name="Shape 18">
            <a:extLst>
              <a:ext uri="{FF2B5EF4-FFF2-40B4-BE49-F238E27FC236}">
                <a16:creationId xmlns:a16="http://schemas.microsoft.com/office/drawing/2014/main" id="{E397438E-590D-F1D2-CEFA-0F80A23F8F9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69" name="Shape 19">
            <a:extLst>
              <a:ext uri="{FF2B5EF4-FFF2-40B4-BE49-F238E27FC236}">
                <a16:creationId xmlns:a16="http://schemas.microsoft.com/office/drawing/2014/main" id="{39368DF5-2A0A-6684-3EA1-B25E8E4F2C5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70" name="Shape 20">
            <a:extLst>
              <a:ext uri="{FF2B5EF4-FFF2-40B4-BE49-F238E27FC236}">
                <a16:creationId xmlns:a16="http://schemas.microsoft.com/office/drawing/2014/main" id="{F6DE64B2-0236-A004-79E0-0305A697A38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71" name="Shape 21">
            <a:extLst>
              <a:ext uri="{FF2B5EF4-FFF2-40B4-BE49-F238E27FC236}">
                <a16:creationId xmlns:a16="http://schemas.microsoft.com/office/drawing/2014/main" id="{2C5CFC53-857E-8BEA-65AC-B6AE320E6C1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72" name="Shape 22">
            <a:extLst>
              <a:ext uri="{FF2B5EF4-FFF2-40B4-BE49-F238E27FC236}">
                <a16:creationId xmlns:a16="http://schemas.microsoft.com/office/drawing/2014/main" id="{6A3211D4-3ECE-2314-8802-6126DDB16DC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73" name="Shape 23">
            <a:extLst>
              <a:ext uri="{FF2B5EF4-FFF2-40B4-BE49-F238E27FC236}">
                <a16:creationId xmlns:a16="http://schemas.microsoft.com/office/drawing/2014/main" id="{71901C8F-815D-ACA0-6CE8-4FB5C656919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74" name="Shape 24">
            <a:extLst>
              <a:ext uri="{FF2B5EF4-FFF2-40B4-BE49-F238E27FC236}">
                <a16:creationId xmlns:a16="http://schemas.microsoft.com/office/drawing/2014/main" id="{51740112-E09F-F49D-4926-C1F39F7693E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75" name="Shape 25">
            <a:extLst>
              <a:ext uri="{FF2B5EF4-FFF2-40B4-BE49-F238E27FC236}">
                <a16:creationId xmlns:a16="http://schemas.microsoft.com/office/drawing/2014/main" id="{3B09FAA4-00E3-1AE6-F809-06D71CD62CC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76" name="Shape 26">
            <a:extLst>
              <a:ext uri="{FF2B5EF4-FFF2-40B4-BE49-F238E27FC236}">
                <a16:creationId xmlns:a16="http://schemas.microsoft.com/office/drawing/2014/main" id="{E2CF7979-B93C-EC1C-0024-6788AC87874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77" name="Shape 27">
            <a:extLst>
              <a:ext uri="{FF2B5EF4-FFF2-40B4-BE49-F238E27FC236}">
                <a16:creationId xmlns:a16="http://schemas.microsoft.com/office/drawing/2014/main" id="{0EEEDB80-B3A9-8F50-E601-8D073833105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78" name="Shape 28">
            <a:extLst>
              <a:ext uri="{FF2B5EF4-FFF2-40B4-BE49-F238E27FC236}">
                <a16:creationId xmlns:a16="http://schemas.microsoft.com/office/drawing/2014/main" id="{BB4CF341-98F3-A125-44F3-A152102CF5B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79" name="Shape 29">
            <a:extLst>
              <a:ext uri="{FF2B5EF4-FFF2-40B4-BE49-F238E27FC236}">
                <a16:creationId xmlns:a16="http://schemas.microsoft.com/office/drawing/2014/main" id="{BF6F4DD8-1403-CF25-BD08-F89602560B0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80" name="Shape 30">
            <a:extLst>
              <a:ext uri="{FF2B5EF4-FFF2-40B4-BE49-F238E27FC236}">
                <a16:creationId xmlns:a16="http://schemas.microsoft.com/office/drawing/2014/main" id="{165DC62A-9D46-AF42-DD42-760192037CD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81" name="Shape 31">
            <a:extLst>
              <a:ext uri="{FF2B5EF4-FFF2-40B4-BE49-F238E27FC236}">
                <a16:creationId xmlns:a16="http://schemas.microsoft.com/office/drawing/2014/main" id="{69F69D3F-1445-3D4B-77A1-D0A9854C32B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821</xdr:row>
      <xdr:rowOff>3703</xdr:rowOff>
    </xdr:from>
    <xdr:ext cx="33655" cy="33655"/>
    <xdr:grpSp>
      <xdr:nvGrpSpPr>
        <xdr:cNvPr id="7182" name="Group 32">
          <a:extLst>
            <a:ext uri="{FF2B5EF4-FFF2-40B4-BE49-F238E27FC236}">
              <a16:creationId xmlns:a16="http://schemas.microsoft.com/office/drawing/2014/main" id="{0E9774D5-EEDD-45BA-BCE4-E562856964F0}"/>
            </a:ext>
          </a:extLst>
        </xdr:cNvPr>
        <xdr:cNvGrpSpPr/>
      </xdr:nvGrpSpPr>
      <xdr:grpSpPr>
        <a:xfrm>
          <a:off x="4603072" y="151323162"/>
          <a:ext cx="33655" cy="33655"/>
          <a:chOff x="0" y="0"/>
          <a:chExt cx="33655" cy="33655"/>
        </a:xfrm>
      </xdr:grpSpPr>
      <xdr:sp macro="" textlink="">
        <xdr:nvSpPr>
          <xdr:cNvPr id="7183" name="Shape 33">
            <a:extLst>
              <a:ext uri="{FF2B5EF4-FFF2-40B4-BE49-F238E27FC236}">
                <a16:creationId xmlns:a16="http://schemas.microsoft.com/office/drawing/2014/main" id="{95975D61-F7E5-793A-831A-CBA5ADB2024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84" name="Shape 34">
            <a:extLst>
              <a:ext uri="{FF2B5EF4-FFF2-40B4-BE49-F238E27FC236}">
                <a16:creationId xmlns:a16="http://schemas.microsoft.com/office/drawing/2014/main" id="{321A3F32-9E38-94E9-38B4-B04D8D8E13E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85" name="Shape 35">
            <a:extLst>
              <a:ext uri="{FF2B5EF4-FFF2-40B4-BE49-F238E27FC236}">
                <a16:creationId xmlns:a16="http://schemas.microsoft.com/office/drawing/2014/main" id="{3E48C52E-6207-E5F1-AA95-FF05E8B5AD5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86" name="Shape 36">
            <a:extLst>
              <a:ext uri="{FF2B5EF4-FFF2-40B4-BE49-F238E27FC236}">
                <a16:creationId xmlns:a16="http://schemas.microsoft.com/office/drawing/2014/main" id="{71B9FD8F-A18A-3DD0-8450-61A9F21BD79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87" name="Shape 37">
            <a:extLst>
              <a:ext uri="{FF2B5EF4-FFF2-40B4-BE49-F238E27FC236}">
                <a16:creationId xmlns:a16="http://schemas.microsoft.com/office/drawing/2014/main" id="{D9438A80-6CCF-290C-3F4E-6C4FD2E18FA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88" name="Shape 38">
            <a:extLst>
              <a:ext uri="{FF2B5EF4-FFF2-40B4-BE49-F238E27FC236}">
                <a16:creationId xmlns:a16="http://schemas.microsoft.com/office/drawing/2014/main" id="{67FF024F-2C50-9B56-4ECF-81DEA2F2609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89" name="Shape 39">
            <a:extLst>
              <a:ext uri="{FF2B5EF4-FFF2-40B4-BE49-F238E27FC236}">
                <a16:creationId xmlns:a16="http://schemas.microsoft.com/office/drawing/2014/main" id="{A70D269D-08B1-F2BA-5A1F-214BC69D530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90" name="Shape 40">
            <a:extLst>
              <a:ext uri="{FF2B5EF4-FFF2-40B4-BE49-F238E27FC236}">
                <a16:creationId xmlns:a16="http://schemas.microsoft.com/office/drawing/2014/main" id="{AA4024D4-8C73-275F-019F-331681B0369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91" name="Shape 41">
            <a:extLst>
              <a:ext uri="{FF2B5EF4-FFF2-40B4-BE49-F238E27FC236}">
                <a16:creationId xmlns:a16="http://schemas.microsoft.com/office/drawing/2014/main" id="{EA9908DA-E5B1-1EC7-4FFE-A120548993E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92" name="Shape 42">
            <a:extLst>
              <a:ext uri="{FF2B5EF4-FFF2-40B4-BE49-F238E27FC236}">
                <a16:creationId xmlns:a16="http://schemas.microsoft.com/office/drawing/2014/main" id="{8BD2EF01-BC52-F474-B90B-7C2D0A8FAF4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93" name="Shape 43">
            <a:extLst>
              <a:ext uri="{FF2B5EF4-FFF2-40B4-BE49-F238E27FC236}">
                <a16:creationId xmlns:a16="http://schemas.microsoft.com/office/drawing/2014/main" id="{60F0FBF5-FE3B-6A95-FA5F-8CF1DD2507D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94" name="Shape 44">
            <a:extLst>
              <a:ext uri="{FF2B5EF4-FFF2-40B4-BE49-F238E27FC236}">
                <a16:creationId xmlns:a16="http://schemas.microsoft.com/office/drawing/2014/main" id="{364BAECB-B78B-D12B-A01C-72C397E88F8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95" name="Shape 45">
            <a:extLst>
              <a:ext uri="{FF2B5EF4-FFF2-40B4-BE49-F238E27FC236}">
                <a16:creationId xmlns:a16="http://schemas.microsoft.com/office/drawing/2014/main" id="{4657D611-A104-BF98-96DA-293AE0A5502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196" name="Shape 46">
            <a:extLst>
              <a:ext uri="{FF2B5EF4-FFF2-40B4-BE49-F238E27FC236}">
                <a16:creationId xmlns:a16="http://schemas.microsoft.com/office/drawing/2014/main" id="{DDF3F0BB-D549-02E0-4ACD-52393522017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821</xdr:row>
      <xdr:rowOff>3409</xdr:rowOff>
    </xdr:from>
    <xdr:ext cx="33655" cy="33655"/>
    <xdr:grpSp>
      <xdr:nvGrpSpPr>
        <xdr:cNvPr id="7197" name="Group 47">
          <a:extLst>
            <a:ext uri="{FF2B5EF4-FFF2-40B4-BE49-F238E27FC236}">
              <a16:creationId xmlns:a16="http://schemas.microsoft.com/office/drawing/2014/main" id="{B3C15CE3-14C7-4420-861B-C146F520B6D3}"/>
            </a:ext>
          </a:extLst>
        </xdr:cNvPr>
        <xdr:cNvGrpSpPr/>
      </xdr:nvGrpSpPr>
      <xdr:grpSpPr>
        <a:xfrm>
          <a:off x="4603072" y="151322868"/>
          <a:ext cx="33655" cy="33655"/>
          <a:chOff x="0" y="0"/>
          <a:chExt cx="33655" cy="33655"/>
        </a:xfrm>
      </xdr:grpSpPr>
      <xdr:sp macro="" textlink="">
        <xdr:nvSpPr>
          <xdr:cNvPr id="7198" name="Shape 48">
            <a:extLst>
              <a:ext uri="{FF2B5EF4-FFF2-40B4-BE49-F238E27FC236}">
                <a16:creationId xmlns:a16="http://schemas.microsoft.com/office/drawing/2014/main" id="{0D83D4BA-3B79-4A99-0269-9BF2406EB02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199" name="Shape 49">
            <a:extLst>
              <a:ext uri="{FF2B5EF4-FFF2-40B4-BE49-F238E27FC236}">
                <a16:creationId xmlns:a16="http://schemas.microsoft.com/office/drawing/2014/main" id="{BD0A1E9C-6F63-8AE0-E8C3-3EF43A541FC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00" name="Shape 50">
            <a:extLst>
              <a:ext uri="{FF2B5EF4-FFF2-40B4-BE49-F238E27FC236}">
                <a16:creationId xmlns:a16="http://schemas.microsoft.com/office/drawing/2014/main" id="{C4E06377-AD34-A850-09C0-C96BC07EB67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01" name="Shape 51">
            <a:extLst>
              <a:ext uri="{FF2B5EF4-FFF2-40B4-BE49-F238E27FC236}">
                <a16:creationId xmlns:a16="http://schemas.microsoft.com/office/drawing/2014/main" id="{CA69430D-FD50-2D61-C741-E8C83F0148B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02" name="Shape 52">
            <a:extLst>
              <a:ext uri="{FF2B5EF4-FFF2-40B4-BE49-F238E27FC236}">
                <a16:creationId xmlns:a16="http://schemas.microsoft.com/office/drawing/2014/main" id="{370BD64A-6561-67FA-CFB5-3B9B4B53850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03" name="Shape 53">
            <a:extLst>
              <a:ext uri="{FF2B5EF4-FFF2-40B4-BE49-F238E27FC236}">
                <a16:creationId xmlns:a16="http://schemas.microsoft.com/office/drawing/2014/main" id="{98CB60A6-77F9-6494-B0D5-8C62DA6F6F7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04" name="Shape 54">
            <a:extLst>
              <a:ext uri="{FF2B5EF4-FFF2-40B4-BE49-F238E27FC236}">
                <a16:creationId xmlns:a16="http://schemas.microsoft.com/office/drawing/2014/main" id="{4F1959AA-0452-AD47-2DA3-F9D4C420B08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05" name="Shape 55">
            <a:extLst>
              <a:ext uri="{FF2B5EF4-FFF2-40B4-BE49-F238E27FC236}">
                <a16:creationId xmlns:a16="http://schemas.microsoft.com/office/drawing/2014/main" id="{9A987998-EDD6-9C6A-2517-E09C65D073A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06" name="Shape 56">
            <a:extLst>
              <a:ext uri="{FF2B5EF4-FFF2-40B4-BE49-F238E27FC236}">
                <a16:creationId xmlns:a16="http://schemas.microsoft.com/office/drawing/2014/main" id="{5443D80C-CF70-43F9-E465-E0C9420BC6F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07" name="Shape 57">
            <a:extLst>
              <a:ext uri="{FF2B5EF4-FFF2-40B4-BE49-F238E27FC236}">
                <a16:creationId xmlns:a16="http://schemas.microsoft.com/office/drawing/2014/main" id="{4992DCC1-271A-589C-5C37-EA37A6153E8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08" name="Shape 58">
            <a:extLst>
              <a:ext uri="{FF2B5EF4-FFF2-40B4-BE49-F238E27FC236}">
                <a16:creationId xmlns:a16="http://schemas.microsoft.com/office/drawing/2014/main" id="{93FF8518-9FF3-A084-7529-F952EDE4835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09" name="Shape 59">
            <a:extLst>
              <a:ext uri="{FF2B5EF4-FFF2-40B4-BE49-F238E27FC236}">
                <a16:creationId xmlns:a16="http://schemas.microsoft.com/office/drawing/2014/main" id="{49D6A493-BF28-9C6A-0A06-ED8DBB52A60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10" name="Shape 60">
            <a:extLst>
              <a:ext uri="{FF2B5EF4-FFF2-40B4-BE49-F238E27FC236}">
                <a16:creationId xmlns:a16="http://schemas.microsoft.com/office/drawing/2014/main" id="{6576DF6E-E8B9-A48B-A6D5-B85949A5D7F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11" name="Shape 61">
            <a:extLst>
              <a:ext uri="{FF2B5EF4-FFF2-40B4-BE49-F238E27FC236}">
                <a16:creationId xmlns:a16="http://schemas.microsoft.com/office/drawing/2014/main" id="{DBAB9B54-8C86-F99B-B3A4-EF0BFB4F8DA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821</xdr:row>
      <xdr:rowOff>3962</xdr:rowOff>
    </xdr:from>
    <xdr:ext cx="33655" cy="33655"/>
    <xdr:grpSp>
      <xdr:nvGrpSpPr>
        <xdr:cNvPr id="7212" name="Group 62">
          <a:extLst>
            <a:ext uri="{FF2B5EF4-FFF2-40B4-BE49-F238E27FC236}">
              <a16:creationId xmlns:a16="http://schemas.microsoft.com/office/drawing/2014/main" id="{E51FD237-28C2-477C-8A00-973DF6C7FDF5}"/>
            </a:ext>
          </a:extLst>
        </xdr:cNvPr>
        <xdr:cNvGrpSpPr/>
      </xdr:nvGrpSpPr>
      <xdr:grpSpPr>
        <a:xfrm>
          <a:off x="4603072" y="151323421"/>
          <a:ext cx="33655" cy="33655"/>
          <a:chOff x="0" y="0"/>
          <a:chExt cx="33655" cy="33655"/>
        </a:xfrm>
      </xdr:grpSpPr>
      <xdr:sp macro="" textlink="">
        <xdr:nvSpPr>
          <xdr:cNvPr id="7213" name="Shape 63">
            <a:extLst>
              <a:ext uri="{FF2B5EF4-FFF2-40B4-BE49-F238E27FC236}">
                <a16:creationId xmlns:a16="http://schemas.microsoft.com/office/drawing/2014/main" id="{650BD009-3B35-E5B8-6E7B-5CACB21A413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14" name="Shape 64">
            <a:extLst>
              <a:ext uri="{FF2B5EF4-FFF2-40B4-BE49-F238E27FC236}">
                <a16:creationId xmlns:a16="http://schemas.microsoft.com/office/drawing/2014/main" id="{B6F36F24-37C0-FF0D-2A8C-DE8568613DD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15" name="Shape 65">
            <a:extLst>
              <a:ext uri="{FF2B5EF4-FFF2-40B4-BE49-F238E27FC236}">
                <a16:creationId xmlns:a16="http://schemas.microsoft.com/office/drawing/2014/main" id="{049F9971-41B3-14FD-9147-78AA155505B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16" name="Shape 66">
            <a:extLst>
              <a:ext uri="{FF2B5EF4-FFF2-40B4-BE49-F238E27FC236}">
                <a16:creationId xmlns:a16="http://schemas.microsoft.com/office/drawing/2014/main" id="{8AFE2FA7-51A6-3303-ECCF-1C481D1C592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17" name="Shape 67">
            <a:extLst>
              <a:ext uri="{FF2B5EF4-FFF2-40B4-BE49-F238E27FC236}">
                <a16:creationId xmlns:a16="http://schemas.microsoft.com/office/drawing/2014/main" id="{A252E714-032D-260D-E065-E09BCFDE9A0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18" name="Shape 68">
            <a:extLst>
              <a:ext uri="{FF2B5EF4-FFF2-40B4-BE49-F238E27FC236}">
                <a16:creationId xmlns:a16="http://schemas.microsoft.com/office/drawing/2014/main" id="{183F7BEA-2028-4443-1DC1-42F7500482A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19" name="Shape 69">
            <a:extLst>
              <a:ext uri="{FF2B5EF4-FFF2-40B4-BE49-F238E27FC236}">
                <a16:creationId xmlns:a16="http://schemas.microsoft.com/office/drawing/2014/main" id="{280C5D59-4939-9604-EF35-C25A38DB7F6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20" name="Shape 70">
            <a:extLst>
              <a:ext uri="{FF2B5EF4-FFF2-40B4-BE49-F238E27FC236}">
                <a16:creationId xmlns:a16="http://schemas.microsoft.com/office/drawing/2014/main" id="{B93574FD-F386-2CF4-E6D9-510575FB3B0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21" name="Shape 71">
            <a:extLst>
              <a:ext uri="{FF2B5EF4-FFF2-40B4-BE49-F238E27FC236}">
                <a16:creationId xmlns:a16="http://schemas.microsoft.com/office/drawing/2014/main" id="{DA983F49-67D5-FC25-7F8B-FF85F1C9677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22" name="Shape 72">
            <a:extLst>
              <a:ext uri="{FF2B5EF4-FFF2-40B4-BE49-F238E27FC236}">
                <a16:creationId xmlns:a16="http://schemas.microsoft.com/office/drawing/2014/main" id="{9E369A7D-DB44-642F-8B00-7A4A5F94351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23" name="Shape 73">
            <a:extLst>
              <a:ext uri="{FF2B5EF4-FFF2-40B4-BE49-F238E27FC236}">
                <a16:creationId xmlns:a16="http://schemas.microsoft.com/office/drawing/2014/main" id="{58F26A4C-7C12-7C25-D7B4-E13F44E6DDC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24" name="Shape 74">
            <a:extLst>
              <a:ext uri="{FF2B5EF4-FFF2-40B4-BE49-F238E27FC236}">
                <a16:creationId xmlns:a16="http://schemas.microsoft.com/office/drawing/2014/main" id="{FB6BA8FF-F653-3A11-F837-D2420F9F832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25" name="Shape 75">
            <a:extLst>
              <a:ext uri="{FF2B5EF4-FFF2-40B4-BE49-F238E27FC236}">
                <a16:creationId xmlns:a16="http://schemas.microsoft.com/office/drawing/2014/main" id="{F90952A6-47FC-97E4-0FD0-FC3498AC9BD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26" name="Shape 76">
            <a:extLst>
              <a:ext uri="{FF2B5EF4-FFF2-40B4-BE49-F238E27FC236}">
                <a16:creationId xmlns:a16="http://schemas.microsoft.com/office/drawing/2014/main" id="{64C964FB-4159-5D36-0802-0F24C11E08E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832</xdr:row>
      <xdr:rowOff>2978</xdr:rowOff>
    </xdr:from>
    <xdr:ext cx="33655" cy="33655"/>
    <xdr:grpSp>
      <xdr:nvGrpSpPr>
        <xdr:cNvPr id="7227" name="Group 2">
          <a:extLst>
            <a:ext uri="{FF2B5EF4-FFF2-40B4-BE49-F238E27FC236}">
              <a16:creationId xmlns:a16="http://schemas.microsoft.com/office/drawing/2014/main" id="{A1FBCFF5-4468-44B9-AC18-5FFF7A4BAABA}"/>
            </a:ext>
          </a:extLst>
        </xdr:cNvPr>
        <xdr:cNvGrpSpPr/>
      </xdr:nvGrpSpPr>
      <xdr:grpSpPr>
        <a:xfrm>
          <a:off x="4603072" y="153308634"/>
          <a:ext cx="33655" cy="33655"/>
          <a:chOff x="0" y="0"/>
          <a:chExt cx="33655" cy="33655"/>
        </a:xfrm>
      </xdr:grpSpPr>
      <xdr:sp macro="" textlink="">
        <xdr:nvSpPr>
          <xdr:cNvPr id="7228" name="Shape 3">
            <a:extLst>
              <a:ext uri="{FF2B5EF4-FFF2-40B4-BE49-F238E27FC236}">
                <a16:creationId xmlns:a16="http://schemas.microsoft.com/office/drawing/2014/main" id="{3DE130D1-5F67-B252-BF2B-F80EEB7571A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29" name="Shape 4">
            <a:extLst>
              <a:ext uri="{FF2B5EF4-FFF2-40B4-BE49-F238E27FC236}">
                <a16:creationId xmlns:a16="http://schemas.microsoft.com/office/drawing/2014/main" id="{D3882FFB-741F-E485-EBD1-1DA74347F1E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30" name="Shape 5">
            <a:extLst>
              <a:ext uri="{FF2B5EF4-FFF2-40B4-BE49-F238E27FC236}">
                <a16:creationId xmlns:a16="http://schemas.microsoft.com/office/drawing/2014/main" id="{FCCBC766-AF6E-5664-1FE9-25A680637FD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31" name="Shape 6">
            <a:extLst>
              <a:ext uri="{FF2B5EF4-FFF2-40B4-BE49-F238E27FC236}">
                <a16:creationId xmlns:a16="http://schemas.microsoft.com/office/drawing/2014/main" id="{87750E34-45DA-E872-2AE2-2DE647E8614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32" name="Shape 7">
            <a:extLst>
              <a:ext uri="{FF2B5EF4-FFF2-40B4-BE49-F238E27FC236}">
                <a16:creationId xmlns:a16="http://schemas.microsoft.com/office/drawing/2014/main" id="{FAB1DA91-C98F-44B9-CBDB-6090C04DE6F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33" name="Shape 8">
            <a:extLst>
              <a:ext uri="{FF2B5EF4-FFF2-40B4-BE49-F238E27FC236}">
                <a16:creationId xmlns:a16="http://schemas.microsoft.com/office/drawing/2014/main" id="{BA07FC7C-325A-2501-E0E7-24E5E56F2A5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34" name="Shape 9">
            <a:extLst>
              <a:ext uri="{FF2B5EF4-FFF2-40B4-BE49-F238E27FC236}">
                <a16:creationId xmlns:a16="http://schemas.microsoft.com/office/drawing/2014/main" id="{A20F3950-BC6B-B10C-DBE7-DC7995A90C7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35" name="Shape 10">
            <a:extLst>
              <a:ext uri="{FF2B5EF4-FFF2-40B4-BE49-F238E27FC236}">
                <a16:creationId xmlns:a16="http://schemas.microsoft.com/office/drawing/2014/main" id="{99244298-E15A-1F4D-2FFB-E63BA0BD020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36" name="Shape 11">
            <a:extLst>
              <a:ext uri="{FF2B5EF4-FFF2-40B4-BE49-F238E27FC236}">
                <a16:creationId xmlns:a16="http://schemas.microsoft.com/office/drawing/2014/main" id="{3147D3BA-A3C4-8A55-3101-CB388AF4934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37" name="Shape 12">
            <a:extLst>
              <a:ext uri="{FF2B5EF4-FFF2-40B4-BE49-F238E27FC236}">
                <a16:creationId xmlns:a16="http://schemas.microsoft.com/office/drawing/2014/main" id="{3DC29C9F-DE0C-7DD5-1C62-D5D141CA49E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38" name="Shape 13">
            <a:extLst>
              <a:ext uri="{FF2B5EF4-FFF2-40B4-BE49-F238E27FC236}">
                <a16:creationId xmlns:a16="http://schemas.microsoft.com/office/drawing/2014/main" id="{9DEFC342-E099-A042-A786-6BD19C6F401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39" name="Shape 14">
            <a:extLst>
              <a:ext uri="{FF2B5EF4-FFF2-40B4-BE49-F238E27FC236}">
                <a16:creationId xmlns:a16="http://schemas.microsoft.com/office/drawing/2014/main" id="{4812100F-C9EE-4294-E06A-78D4D701B20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40" name="Shape 15">
            <a:extLst>
              <a:ext uri="{FF2B5EF4-FFF2-40B4-BE49-F238E27FC236}">
                <a16:creationId xmlns:a16="http://schemas.microsoft.com/office/drawing/2014/main" id="{F99092D3-FF97-89BF-4A08-CADCC532B12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41" name="Shape 16">
            <a:extLst>
              <a:ext uri="{FF2B5EF4-FFF2-40B4-BE49-F238E27FC236}">
                <a16:creationId xmlns:a16="http://schemas.microsoft.com/office/drawing/2014/main" id="{52B5BAA5-1687-0F40-8957-C5C12DDD64F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832</xdr:row>
      <xdr:rowOff>3246</xdr:rowOff>
    </xdr:from>
    <xdr:ext cx="33655" cy="33655"/>
    <xdr:grpSp>
      <xdr:nvGrpSpPr>
        <xdr:cNvPr id="7242" name="Group 17">
          <a:extLst>
            <a:ext uri="{FF2B5EF4-FFF2-40B4-BE49-F238E27FC236}">
              <a16:creationId xmlns:a16="http://schemas.microsoft.com/office/drawing/2014/main" id="{7192F3DE-660B-4234-97F7-4869A24548CA}"/>
            </a:ext>
          </a:extLst>
        </xdr:cNvPr>
        <xdr:cNvGrpSpPr/>
      </xdr:nvGrpSpPr>
      <xdr:grpSpPr>
        <a:xfrm>
          <a:off x="4603072" y="153308902"/>
          <a:ext cx="33655" cy="33655"/>
          <a:chOff x="0" y="0"/>
          <a:chExt cx="33655" cy="33655"/>
        </a:xfrm>
      </xdr:grpSpPr>
      <xdr:sp macro="" textlink="">
        <xdr:nvSpPr>
          <xdr:cNvPr id="7243" name="Shape 18">
            <a:extLst>
              <a:ext uri="{FF2B5EF4-FFF2-40B4-BE49-F238E27FC236}">
                <a16:creationId xmlns:a16="http://schemas.microsoft.com/office/drawing/2014/main" id="{1811B7E6-E96E-0711-AF1F-10C23BAE279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44" name="Shape 19">
            <a:extLst>
              <a:ext uri="{FF2B5EF4-FFF2-40B4-BE49-F238E27FC236}">
                <a16:creationId xmlns:a16="http://schemas.microsoft.com/office/drawing/2014/main" id="{6DCB95D6-53A3-9231-057A-20BFE607E55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45" name="Shape 20">
            <a:extLst>
              <a:ext uri="{FF2B5EF4-FFF2-40B4-BE49-F238E27FC236}">
                <a16:creationId xmlns:a16="http://schemas.microsoft.com/office/drawing/2014/main" id="{7484B256-8978-8793-F080-BD31531CA98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46" name="Shape 21">
            <a:extLst>
              <a:ext uri="{FF2B5EF4-FFF2-40B4-BE49-F238E27FC236}">
                <a16:creationId xmlns:a16="http://schemas.microsoft.com/office/drawing/2014/main" id="{4822C61F-8A7A-EDC6-DA8A-292B070F470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47" name="Shape 22">
            <a:extLst>
              <a:ext uri="{FF2B5EF4-FFF2-40B4-BE49-F238E27FC236}">
                <a16:creationId xmlns:a16="http://schemas.microsoft.com/office/drawing/2014/main" id="{6A086D16-89FE-17E4-EF5E-7DC44E610F0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48" name="Shape 23">
            <a:extLst>
              <a:ext uri="{FF2B5EF4-FFF2-40B4-BE49-F238E27FC236}">
                <a16:creationId xmlns:a16="http://schemas.microsoft.com/office/drawing/2014/main" id="{3DE7430A-710D-9A20-2F26-6B6117768CA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49" name="Shape 24">
            <a:extLst>
              <a:ext uri="{FF2B5EF4-FFF2-40B4-BE49-F238E27FC236}">
                <a16:creationId xmlns:a16="http://schemas.microsoft.com/office/drawing/2014/main" id="{199D0FFE-9E50-3838-1C32-DCAB708BD35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50" name="Shape 25">
            <a:extLst>
              <a:ext uri="{FF2B5EF4-FFF2-40B4-BE49-F238E27FC236}">
                <a16:creationId xmlns:a16="http://schemas.microsoft.com/office/drawing/2014/main" id="{FF337EF2-E9A7-63B0-A1A9-27EB3A06D28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51" name="Shape 26">
            <a:extLst>
              <a:ext uri="{FF2B5EF4-FFF2-40B4-BE49-F238E27FC236}">
                <a16:creationId xmlns:a16="http://schemas.microsoft.com/office/drawing/2014/main" id="{4DF772C7-1740-18DB-37DD-D7C8247AE39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52" name="Shape 27">
            <a:extLst>
              <a:ext uri="{FF2B5EF4-FFF2-40B4-BE49-F238E27FC236}">
                <a16:creationId xmlns:a16="http://schemas.microsoft.com/office/drawing/2014/main" id="{2C69A153-D7CB-FE3D-AA71-9F734CF85D6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53" name="Shape 28">
            <a:extLst>
              <a:ext uri="{FF2B5EF4-FFF2-40B4-BE49-F238E27FC236}">
                <a16:creationId xmlns:a16="http://schemas.microsoft.com/office/drawing/2014/main" id="{6B2EBEFD-96EB-358D-F302-82C303E4E32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54" name="Shape 29">
            <a:extLst>
              <a:ext uri="{FF2B5EF4-FFF2-40B4-BE49-F238E27FC236}">
                <a16:creationId xmlns:a16="http://schemas.microsoft.com/office/drawing/2014/main" id="{D8A92641-1533-0139-6568-1EAE53A796D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55" name="Shape 30">
            <a:extLst>
              <a:ext uri="{FF2B5EF4-FFF2-40B4-BE49-F238E27FC236}">
                <a16:creationId xmlns:a16="http://schemas.microsoft.com/office/drawing/2014/main" id="{7B102037-43F9-BC3B-6189-D376317A843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56" name="Shape 31">
            <a:extLst>
              <a:ext uri="{FF2B5EF4-FFF2-40B4-BE49-F238E27FC236}">
                <a16:creationId xmlns:a16="http://schemas.microsoft.com/office/drawing/2014/main" id="{99A32B32-B162-115C-DBAF-A41412E92E8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832</xdr:row>
      <xdr:rowOff>3703</xdr:rowOff>
    </xdr:from>
    <xdr:ext cx="33655" cy="33655"/>
    <xdr:grpSp>
      <xdr:nvGrpSpPr>
        <xdr:cNvPr id="7257" name="Group 32">
          <a:extLst>
            <a:ext uri="{FF2B5EF4-FFF2-40B4-BE49-F238E27FC236}">
              <a16:creationId xmlns:a16="http://schemas.microsoft.com/office/drawing/2014/main" id="{CC398B39-7067-4F7E-A74D-EEF9D57DF053}"/>
            </a:ext>
          </a:extLst>
        </xdr:cNvPr>
        <xdr:cNvGrpSpPr/>
      </xdr:nvGrpSpPr>
      <xdr:grpSpPr>
        <a:xfrm>
          <a:off x="4603072" y="153309359"/>
          <a:ext cx="33655" cy="33655"/>
          <a:chOff x="0" y="0"/>
          <a:chExt cx="33655" cy="33655"/>
        </a:xfrm>
      </xdr:grpSpPr>
      <xdr:sp macro="" textlink="">
        <xdr:nvSpPr>
          <xdr:cNvPr id="7258" name="Shape 33">
            <a:extLst>
              <a:ext uri="{FF2B5EF4-FFF2-40B4-BE49-F238E27FC236}">
                <a16:creationId xmlns:a16="http://schemas.microsoft.com/office/drawing/2014/main" id="{A9CDE8F5-AA85-666A-59A9-CC9CA7D9577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59" name="Shape 34">
            <a:extLst>
              <a:ext uri="{FF2B5EF4-FFF2-40B4-BE49-F238E27FC236}">
                <a16:creationId xmlns:a16="http://schemas.microsoft.com/office/drawing/2014/main" id="{30E0E082-310E-31CC-7F63-87F5D768FDB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60" name="Shape 35">
            <a:extLst>
              <a:ext uri="{FF2B5EF4-FFF2-40B4-BE49-F238E27FC236}">
                <a16:creationId xmlns:a16="http://schemas.microsoft.com/office/drawing/2014/main" id="{F8DD723D-926B-8032-5677-4DEC7A60279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61" name="Shape 36">
            <a:extLst>
              <a:ext uri="{FF2B5EF4-FFF2-40B4-BE49-F238E27FC236}">
                <a16:creationId xmlns:a16="http://schemas.microsoft.com/office/drawing/2014/main" id="{29A3D454-3986-4989-3B06-46964C3B8B2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62" name="Shape 37">
            <a:extLst>
              <a:ext uri="{FF2B5EF4-FFF2-40B4-BE49-F238E27FC236}">
                <a16:creationId xmlns:a16="http://schemas.microsoft.com/office/drawing/2014/main" id="{FCB2C658-5C8E-87A7-B4C3-F94644BF5D3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63" name="Shape 38">
            <a:extLst>
              <a:ext uri="{FF2B5EF4-FFF2-40B4-BE49-F238E27FC236}">
                <a16:creationId xmlns:a16="http://schemas.microsoft.com/office/drawing/2014/main" id="{D36CCDE6-38C2-90F6-F52A-9D836308B1B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64" name="Shape 39">
            <a:extLst>
              <a:ext uri="{FF2B5EF4-FFF2-40B4-BE49-F238E27FC236}">
                <a16:creationId xmlns:a16="http://schemas.microsoft.com/office/drawing/2014/main" id="{661EF83A-F9BA-5652-95F0-17C6EE713CC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65" name="Shape 40">
            <a:extLst>
              <a:ext uri="{FF2B5EF4-FFF2-40B4-BE49-F238E27FC236}">
                <a16:creationId xmlns:a16="http://schemas.microsoft.com/office/drawing/2014/main" id="{F362758D-08B6-1C3F-0871-D52DEE7AD85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66" name="Shape 41">
            <a:extLst>
              <a:ext uri="{FF2B5EF4-FFF2-40B4-BE49-F238E27FC236}">
                <a16:creationId xmlns:a16="http://schemas.microsoft.com/office/drawing/2014/main" id="{2AA2FCAF-B1CD-1151-A16B-87923D2AC91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67" name="Shape 42">
            <a:extLst>
              <a:ext uri="{FF2B5EF4-FFF2-40B4-BE49-F238E27FC236}">
                <a16:creationId xmlns:a16="http://schemas.microsoft.com/office/drawing/2014/main" id="{28C59251-FA86-D20C-CBB5-C6622D91B2C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68" name="Shape 43">
            <a:extLst>
              <a:ext uri="{FF2B5EF4-FFF2-40B4-BE49-F238E27FC236}">
                <a16:creationId xmlns:a16="http://schemas.microsoft.com/office/drawing/2014/main" id="{689B34B7-47D2-48DD-4081-7ABBDB52DA9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69" name="Shape 44">
            <a:extLst>
              <a:ext uri="{FF2B5EF4-FFF2-40B4-BE49-F238E27FC236}">
                <a16:creationId xmlns:a16="http://schemas.microsoft.com/office/drawing/2014/main" id="{26ADC640-0B14-25CD-9B94-FB888FFB96B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70" name="Shape 45">
            <a:extLst>
              <a:ext uri="{FF2B5EF4-FFF2-40B4-BE49-F238E27FC236}">
                <a16:creationId xmlns:a16="http://schemas.microsoft.com/office/drawing/2014/main" id="{55581FAA-025A-9AC7-DB51-0BC003393D8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71" name="Shape 46">
            <a:extLst>
              <a:ext uri="{FF2B5EF4-FFF2-40B4-BE49-F238E27FC236}">
                <a16:creationId xmlns:a16="http://schemas.microsoft.com/office/drawing/2014/main" id="{F3DC629C-7BE8-0125-3F16-F4630A2A505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832</xdr:row>
      <xdr:rowOff>3409</xdr:rowOff>
    </xdr:from>
    <xdr:ext cx="33655" cy="33655"/>
    <xdr:grpSp>
      <xdr:nvGrpSpPr>
        <xdr:cNvPr id="7272" name="Group 47">
          <a:extLst>
            <a:ext uri="{FF2B5EF4-FFF2-40B4-BE49-F238E27FC236}">
              <a16:creationId xmlns:a16="http://schemas.microsoft.com/office/drawing/2014/main" id="{012EA4BA-0BF9-413C-9213-3C016BBD8F9A}"/>
            </a:ext>
          </a:extLst>
        </xdr:cNvPr>
        <xdr:cNvGrpSpPr/>
      </xdr:nvGrpSpPr>
      <xdr:grpSpPr>
        <a:xfrm>
          <a:off x="4603072" y="153309065"/>
          <a:ext cx="33655" cy="33655"/>
          <a:chOff x="0" y="0"/>
          <a:chExt cx="33655" cy="33655"/>
        </a:xfrm>
      </xdr:grpSpPr>
      <xdr:sp macro="" textlink="">
        <xdr:nvSpPr>
          <xdr:cNvPr id="7273" name="Shape 48">
            <a:extLst>
              <a:ext uri="{FF2B5EF4-FFF2-40B4-BE49-F238E27FC236}">
                <a16:creationId xmlns:a16="http://schemas.microsoft.com/office/drawing/2014/main" id="{8C60BF55-651C-A4CF-6FCE-8850E2546F2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74" name="Shape 49">
            <a:extLst>
              <a:ext uri="{FF2B5EF4-FFF2-40B4-BE49-F238E27FC236}">
                <a16:creationId xmlns:a16="http://schemas.microsoft.com/office/drawing/2014/main" id="{15DB8E6B-7F8D-5932-000E-C333046EFA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75" name="Shape 50">
            <a:extLst>
              <a:ext uri="{FF2B5EF4-FFF2-40B4-BE49-F238E27FC236}">
                <a16:creationId xmlns:a16="http://schemas.microsoft.com/office/drawing/2014/main" id="{064067DB-0C56-E524-8616-C67311C4C72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76" name="Shape 51">
            <a:extLst>
              <a:ext uri="{FF2B5EF4-FFF2-40B4-BE49-F238E27FC236}">
                <a16:creationId xmlns:a16="http://schemas.microsoft.com/office/drawing/2014/main" id="{F8B50C44-F44C-3F3A-E618-8EA55414714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77" name="Shape 52">
            <a:extLst>
              <a:ext uri="{FF2B5EF4-FFF2-40B4-BE49-F238E27FC236}">
                <a16:creationId xmlns:a16="http://schemas.microsoft.com/office/drawing/2014/main" id="{BC71BEA3-A098-130E-6805-D7374C8F2C1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78" name="Shape 53">
            <a:extLst>
              <a:ext uri="{FF2B5EF4-FFF2-40B4-BE49-F238E27FC236}">
                <a16:creationId xmlns:a16="http://schemas.microsoft.com/office/drawing/2014/main" id="{6405E21D-39CC-920A-BC75-4C4D82D3904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79" name="Shape 54">
            <a:extLst>
              <a:ext uri="{FF2B5EF4-FFF2-40B4-BE49-F238E27FC236}">
                <a16:creationId xmlns:a16="http://schemas.microsoft.com/office/drawing/2014/main" id="{D0874BEF-D376-445A-0BC9-9C5BD210A03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80" name="Shape 55">
            <a:extLst>
              <a:ext uri="{FF2B5EF4-FFF2-40B4-BE49-F238E27FC236}">
                <a16:creationId xmlns:a16="http://schemas.microsoft.com/office/drawing/2014/main" id="{F4C92E5E-DD89-F05D-58FF-991101AE470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81" name="Shape 56">
            <a:extLst>
              <a:ext uri="{FF2B5EF4-FFF2-40B4-BE49-F238E27FC236}">
                <a16:creationId xmlns:a16="http://schemas.microsoft.com/office/drawing/2014/main" id="{79AC27EB-F948-842F-4A4A-D641790B1A2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82" name="Shape 57">
            <a:extLst>
              <a:ext uri="{FF2B5EF4-FFF2-40B4-BE49-F238E27FC236}">
                <a16:creationId xmlns:a16="http://schemas.microsoft.com/office/drawing/2014/main" id="{F63ECF2D-A53B-988A-552D-C83B78E646E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83" name="Shape 58">
            <a:extLst>
              <a:ext uri="{FF2B5EF4-FFF2-40B4-BE49-F238E27FC236}">
                <a16:creationId xmlns:a16="http://schemas.microsoft.com/office/drawing/2014/main" id="{BA0ECEA5-5DAE-E116-28C7-0B8BD601B2F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84" name="Shape 59">
            <a:extLst>
              <a:ext uri="{FF2B5EF4-FFF2-40B4-BE49-F238E27FC236}">
                <a16:creationId xmlns:a16="http://schemas.microsoft.com/office/drawing/2014/main" id="{A58A3D32-AF5E-3A94-037B-72475E9E8CD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85" name="Shape 60">
            <a:extLst>
              <a:ext uri="{FF2B5EF4-FFF2-40B4-BE49-F238E27FC236}">
                <a16:creationId xmlns:a16="http://schemas.microsoft.com/office/drawing/2014/main" id="{C3EB16C7-F1CF-2E40-941C-752778C4E9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286" name="Shape 61">
            <a:extLst>
              <a:ext uri="{FF2B5EF4-FFF2-40B4-BE49-F238E27FC236}">
                <a16:creationId xmlns:a16="http://schemas.microsoft.com/office/drawing/2014/main" id="{4F152A24-31D3-02CF-7D79-6DC0C053969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832</xdr:row>
      <xdr:rowOff>3962</xdr:rowOff>
    </xdr:from>
    <xdr:ext cx="33655" cy="33655"/>
    <xdr:grpSp>
      <xdr:nvGrpSpPr>
        <xdr:cNvPr id="7287" name="Group 62">
          <a:extLst>
            <a:ext uri="{FF2B5EF4-FFF2-40B4-BE49-F238E27FC236}">
              <a16:creationId xmlns:a16="http://schemas.microsoft.com/office/drawing/2014/main" id="{13B0471E-E8B7-45FA-9926-CA763F2A533C}"/>
            </a:ext>
          </a:extLst>
        </xdr:cNvPr>
        <xdr:cNvGrpSpPr/>
      </xdr:nvGrpSpPr>
      <xdr:grpSpPr>
        <a:xfrm>
          <a:off x="4603072" y="153309618"/>
          <a:ext cx="33655" cy="33655"/>
          <a:chOff x="0" y="0"/>
          <a:chExt cx="33655" cy="33655"/>
        </a:xfrm>
      </xdr:grpSpPr>
      <xdr:sp macro="" textlink="">
        <xdr:nvSpPr>
          <xdr:cNvPr id="7288" name="Shape 63">
            <a:extLst>
              <a:ext uri="{FF2B5EF4-FFF2-40B4-BE49-F238E27FC236}">
                <a16:creationId xmlns:a16="http://schemas.microsoft.com/office/drawing/2014/main" id="{A61C7129-9DDE-C836-1606-8602E8CE3AC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89" name="Shape 64">
            <a:extLst>
              <a:ext uri="{FF2B5EF4-FFF2-40B4-BE49-F238E27FC236}">
                <a16:creationId xmlns:a16="http://schemas.microsoft.com/office/drawing/2014/main" id="{DAF810C4-A6C9-C417-C980-C0CC2457182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90" name="Shape 65">
            <a:extLst>
              <a:ext uri="{FF2B5EF4-FFF2-40B4-BE49-F238E27FC236}">
                <a16:creationId xmlns:a16="http://schemas.microsoft.com/office/drawing/2014/main" id="{BB19F0DA-90B1-680A-1675-F0CA36E23D1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91" name="Shape 66">
            <a:extLst>
              <a:ext uri="{FF2B5EF4-FFF2-40B4-BE49-F238E27FC236}">
                <a16:creationId xmlns:a16="http://schemas.microsoft.com/office/drawing/2014/main" id="{0C5F54EF-6DE0-87EE-81D9-0DB2D261C1F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92" name="Shape 67">
            <a:extLst>
              <a:ext uri="{FF2B5EF4-FFF2-40B4-BE49-F238E27FC236}">
                <a16:creationId xmlns:a16="http://schemas.microsoft.com/office/drawing/2014/main" id="{BBECC6B6-E838-BE3E-6BD5-8872F87066A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93" name="Shape 68">
            <a:extLst>
              <a:ext uri="{FF2B5EF4-FFF2-40B4-BE49-F238E27FC236}">
                <a16:creationId xmlns:a16="http://schemas.microsoft.com/office/drawing/2014/main" id="{FADF0F63-CDEC-09D3-31C5-D7B84AEE334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94" name="Shape 69">
            <a:extLst>
              <a:ext uri="{FF2B5EF4-FFF2-40B4-BE49-F238E27FC236}">
                <a16:creationId xmlns:a16="http://schemas.microsoft.com/office/drawing/2014/main" id="{9B55D51E-5025-5DF8-0C70-C8C8C22E7B9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95" name="Shape 70">
            <a:extLst>
              <a:ext uri="{FF2B5EF4-FFF2-40B4-BE49-F238E27FC236}">
                <a16:creationId xmlns:a16="http://schemas.microsoft.com/office/drawing/2014/main" id="{1632A82C-3713-AA6E-9EAF-C3539E998B0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96" name="Shape 71">
            <a:extLst>
              <a:ext uri="{FF2B5EF4-FFF2-40B4-BE49-F238E27FC236}">
                <a16:creationId xmlns:a16="http://schemas.microsoft.com/office/drawing/2014/main" id="{75951E66-433E-AD81-848B-AAA4FA992A9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97" name="Shape 72">
            <a:extLst>
              <a:ext uri="{FF2B5EF4-FFF2-40B4-BE49-F238E27FC236}">
                <a16:creationId xmlns:a16="http://schemas.microsoft.com/office/drawing/2014/main" id="{EF9D2A5B-2560-12B5-953A-DD52D5949DD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298" name="Shape 73">
            <a:extLst>
              <a:ext uri="{FF2B5EF4-FFF2-40B4-BE49-F238E27FC236}">
                <a16:creationId xmlns:a16="http://schemas.microsoft.com/office/drawing/2014/main" id="{B88CC9ED-920E-A4E0-65E3-33467D2140E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299" name="Shape 74">
            <a:extLst>
              <a:ext uri="{FF2B5EF4-FFF2-40B4-BE49-F238E27FC236}">
                <a16:creationId xmlns:a16="http://schemas.microsoft.com/office/drawing/2014/main" id="{8653FB28-5A4C-2794-0EDB-4EBA390C780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00" name="Shape 75">
            <a:extLst>
              <a:ext uri="{FF2B5EF4-FFF2-40B4-BE49-F238E27FC236}">
                <a16:creationId xmlns:a16="http://schemas.microsoft.com/office/drawing/2014/main" id="{6A449DC0-B73F-E93C-86D5-0602AB79244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01" name="Shape 76">
            <a:extLst>
              <a:ext uri="{FF2B5EF4-FFF2-40B4-BE49-F238E27FC236}">
                <a16:creationId xmlns:a16="http://schemas.microsoft.com/office/drawing/2014/main" id="{AC717128-8BEF-273F-EA30-440D724A7D6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832</xdr:row>
      <xdr:rowOff>2978</xdr:rowOff>
    </xdr:from>
    <xdr:ext cx="33655" cy="33655"/>
    <xdr:grpSp>
      <xdr:nvGrpSpPr>
        <xdr:cNvPr id="7302" name="Group 2">
          <a:extLst>
            <a:ext uri="{FF2B5EF4-FFF2-40B4-BE49-F238E27FC236}">
              <a16:creationId xmlns:a16="http://schemas.microsoft.com/office/drawing/2014/main" id="{DCCC31CB-9BF3-4A9F-AE0F-EF6F9EAE8644}"/>
            </a:ext>
          </a:extLst>
        </xdr:cNvPr>
        <xdr:cNvGrpSpPr/>
      </xdr:nvGrpSpPr>
      <xdr:grpSpPr>
        <a:xfrm>
          <a:off x="4603072" y="153308634"/>
          <a:ext cx="33655" cy="33655"/>
          <a:chOff x="0" y="0"/>
          <a:chExt cx="33655" cy="33655"/>
        </a:xfrm>
      </xdr:grpSpPr>
      <xdr:sp macro="" textlink="">
        <xdr:nvSpPr>
          <xdr:cNvPr id="7303" name="Shape 3">
            <a:extLst>
              <a:ext uri="{FF2B5EF4-FFF2-40B4-BE49-F238E27FC236}">
                <a16:creationId xmlns:a16="http://schemas.microsoft.com/office/drawing/2014/main" id="{4236EEA6-D834-9AF5-5422-B29F7D036EB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04" name="Shape 4">
            <a:extLst>
              <a:ext uri="{FF2B5EF4-FFF2-40B4-BE49-F238E27FC236}">
                <a16:creationId xmlns:a16="http://schemas.microsoft.com/office/drawing/2014/main" id="{8DA1C9C2-EACB-4D0E-F0C8-43D21F05BA6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05" name="Shape 5">
            <a:extLst>
              <a:ext uri="{FF2B5EF4-FFF2-40B4-BE49-F238E27FC236}">
                <a16:creationId xmlns:a16="http://schemas.microsoft.com/office/drawing/2014/main" id="{55490ED8-0204-F0E4-8CBA-F7CA57D694B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06" name="Shape 6">
            <a:extLst>
              <a:ext uri="{FF2B5EF4-FFF2-40B4-BE49-F238E27FC236}">
                <a16:creationId xmlns:a16="http://schemas.microsoft.com/office/drawing/2014/main" id="{B060B2D2-097F-4656-0D92-C4CD9D740B5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07" name="Shape 7">
            <a:extLst>
              <a:ext uri="{FF2B5EF4-FFF2-40B4-BE49-F238E27FC236}">
                <a16:creationId xmlns:a16="http://schemas.microsoft.com/office/drawing/2014/main" id="{7B87C887-9651-3223-5E15-61B240B2A54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08" name="Shape 8">
            <a:extLst>
              <a:ext uri="{FF2B5EF4-FFF2-40B4-BE49-F238E27FC236}">
                <a16:creationId xmlns:a16="http://schemas.microsoft.com/office/drawing/2014/main" id="{12B4BBD8-AD5A-3663-BC26-CE85A76905D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09" name="Shape 9">
            <a:extLst>
              <a:ext uri="{FF2B5EF4-FFF2-40B4-BE49-F238E27FC236}">
                <a16:creationId xmlns:a16="http://schemas.microsoft.com/office/drawing/2014/main" id="{25E305A9-7C9A-A93A-1792-E52C4D6E9AD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10" name="Shape 10">
            <a:extLst>
              <a:ext uri="{FF2B5EF4-FFF2-40B4-BE49-F238E27FC236}">
                <a16:creationId xmlns:a16="http://schemas.microsoft.com/office/drawing/2014/main" id="{F4387B16-28FF-B00A-F5BE-AB8D6D5123A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11" name="Shape 11">
            <a:extLst>
              <a:ext uri="{FF2B5EF4-FFF2-40B4-BE49-F238E27FC236}">
                <a16:creationId xmlns:a16="http://schemas.microsoft.com/office/drawing/2014/main" id="{1B38CA0D-E609-FD6C-29F1-8DD69919A02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12" name="Shape 12">
            <a:extLst>
              <a:ext uri="{FF2B5EF4-FFF2-40B4-BE49-F238E27FC236}">
                <a16:creationId xmlns:a16="http://schemas.microsoft.com/office/drawing/2014/main" id="{DEEDA101-7564-866C-4093-0BAFF957428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13" name="Shape 13">
            <a:extLst>
              <a:ext uri="{FF2B5EF4-FFF2-40B4-BE49-F238E27FC236}">
                <a16:creationId xmlns:a16="http://schemas.microsoft.com/office/drawing/2014/main" id="{CBBE93F9-4DA1-06D1-8282-154F11985CF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14" name="Shape 14">
            <a:extLst>
              <a:ext uri="{FF2B5EF4-FFF2-40B4-BE49-F238E27FC236}">
                <a16:creationId xmlns:a16="http://schemas.microsoft.com/office/drawing/2014/main" id="{7BF7DD94-871E-09BD-0EC9-478F1724F8D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15" name="Shape 15">
            <a:extLst>
              <a:ext uri="{FF2B5EF4-FFF2-40B4-BE49-F238E27FC236}">
                <a16:creationId xmlns:a16="http://schemas.microsoft.com/office/drawing/2014/main" id="{5E1022B9-5909-F3FC-C0AF-AA1734DFD6F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16" name="Shape 16">
            <a:extLst>
              <a:ext uri="{FF2B5EF4-FFF2-40B4-BE49-F238E27FC236}">
                <a16:creationId xmlns:a16="http://schemas.microsoft.com/office/drawing/2014/main" id="{40A5660D-327B-CE1A-954E-DBE97316A6B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832</xdr:row>
      <xdr:rowOff>3246</xdr:rowOff>
    </xdr:from>
    <xdr:ext cx="33655" cy="33655"/>
    <xdr:grpSp>
      <xdr:nvGrpSpPr>
        <xdr:cNvPr id="7317" name="Group 17">
          <a:extLst>
            <a:ext uri="{FF2B5EF4-FFF2-40B4-BE49-F238E27FC236}">
              <a16:creationId xmlns:a16="http://schemas.microsoft.com/office/drawing/2014/main" id="{1CC7E103-4B6F-40E4-A101-892040E14E25}"/>
            </a:ext>
          </a:extLst>
        </xdr:cNvPr>
        <xdr:cNvGrpSpPr/>
      </xdr:nvGrpSpPr>
      <xdr:grpSpPr>
        <a:xfrm>
          <a:off x="4603072" y="153308902"/>
          <a:ext cx="33655" cy="33655"/>
          <a:chOff x="0" y="0"/>
          <a:chExt cx="33655" cy="33655"/>
        </a:xfrm>
      </xdr:grpSpPr>
      <xdr:sp macro="" textlink="">
        <xdr:nvSpPr>
          <xdr:cNvPr id="7318" name="Shape 18">
            <a:extLst>
              <a:ext uri="{FF2B5EF4-FFF2-40B4-BE49-F238E27FC236}">
                <a16:creationId xmlns:a16="http://schemas.microsoft.com/office/drawing/2014/main" id="{8DB66A92-C891-F195-0FD4-FF7F9BA9391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19" name="Shape 19">
            <a:extLst>
              <a:ext uri="{FF2B5EF4-FFF2-40B4-BE49-F238E27FC236}">
                <a16:creationId xmlns:a16="http://schemas.microsoft.com/office/drawing/2014/main" id="{B7305B05-2D3A-8B45-7964-4BAA72B5A28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20" name="Shape 20">
            <a:extLst>
              <a:ext uri="{FF2B5EF4-FFF2-40B4-BE49-F238E27FC236}">
                <a16:creationId xmlns:a16="http://schemas.microsoft.com/office/drawing/2014/main" id="{88E0E821-E659-0034-8C96-D7BF38A14C1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21" name="Shape 21">
            <a:extLst>
              <a:ext uri="{FF2B5EF4-FFF2-40B4-BE49-F238E27FC236}">
                <a16:creationId xmlns:a16="http://schemas.microsoft.com/office/drawing/2014/main" id="{75E8BFD6-2E81-23A8-BEB4-C0E3CF67C1C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22" name="Shape 22">
            <a:extLst>
              <a:ext uri="{FF2B5EF4-FFF2-40B4-BE49-F238E27FC236}">
                <a16:creationId xmlns:a16="http://schemas.microsoft.com/office/drawing/2014/main" id="{6AC8D324-BE9A-5019-1D84-4BEF332D11A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23" name="Shape 23">
            <a:extLst>
              <a:ext uri="{FF2B5EF4-FFF2-40B4-BE49-F238E27FC236}">
                <a16:creationId xmlns:a16="http://schemas.microsoft.com/office/drawing/2014/main" id="{15E6904E-3D0D-1266-3E93-2CF4EDDB08C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24" name="Shape 24">
            <a:extLst>
              <a:ext uri="{FF2B5EF4-FFF2-40B4-BE49-F238E27FC236}">
                <a16:creationId xmlns:a16="http://schemas.microsoft.com/office/drawing/2014/main" id="{96DC9895-54CB-0CEA-3601-2C548E9AE7E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25" name="Shape 25">
            <a:extLst>
              <a:ext uri="{FF2B5EF4-FFF2-40B4-BE49-F238E27FC236}">
                <a16:creationId xmlns:a16="http://schemas.microsoft.com/office/drawing/2014/main" id="{645158CC-E43C-831F-F922-304B44AA199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26" name="Shape 26">
            <a:extLst>
              <a:ext uri="{FF2B5EF4-FFF2-40B4-BE49-F238E27FC236}">
                <a16:creationId xmlns:a16="http://schemas.microsoft.com/office/drawing/2014/main" id="{F51B47EB-6E48-C606-9232-B524DDC558A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27" name="Shape 27">
            <a:extLst>
              <a:ext uri="{FF2B5EF4-FFF2-40B4-BE49-F238E27FC236}">
                <a16:creationId xmlns:a16="http://schemas.microsoft.com/office/drawing/2014/main" id="{95DE2852-A1F2-C9FB-6C3B-36F473E8AB8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28" name="Shape 28">
            <a:extLst>
              <a:ext uri="{FF2B5EF4-FFF2-40B4-BE49-F238E27FC236}">
                <a16:creationId xmlns:a16="http://schemas.microsoft.com/office/drawing/2014/main" id="{7BF4A2B1-58FF-A201-7C44-F4D6CEF31D7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29" name="Shape 29">
            <a:extLst>
              <a:ext uri="{FF2B5EF4-FFF2-40B4-BE49-F238E27FC236}">
                <a16:creationId xmlns:a16="http://schemas.microsoft.com/office/drawing/2014/main" id="{FCA72759-185E-6C77-543E-2758D943F26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30" name="Shape 30">
            <a:extLst>
              <a:ext uri="{FF2B5EF4-FFF2-40B4-BE49-F238E27FC236}">
                <a16:creationId xmlns:a16="http://schemas.microsoft.com/office/drawing/2014/main" id="{3D2A79C2-E58B-2613-D013-0C0C7F9C09C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31" name="Shape 31">
            <a:extLst>
              <a:ext uri="{FF2B5EF4-FFF2-40B4-BE49-F238E27FC236}">
                <a16:creationId xmlns:a16="http://schemas.microsoft.com/office/drawing/2014/main" id="{BBD694E2-1CC4-36CE-B31C-C95BBA9382A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832</xdr:row>
      <xdr:rowOff>3703</xdr:rowOff>
    </xdr:from>
    <xdr:ext cx="33655" cy="33655"/>
    <xdr:grpSp>
      <xdr:nvGrpSpPr>
        <xdr:cNvPr id="7332" name="Group 32">
          <a:extLst>
            <a:ext uri="{FF2B5EF4-FFF2-40B4-BE49-F238E27FC236}">
              <a16:creationId xmlns:a16="http://schemas.microsoft.com/office/drawing/2014/main" id="{0524CFC3-EBB4-4EFE-B5BC-47D4DA841957}"/>
            </a:ext>
          </a:extLst>
        </xdr:cNvPr>
        <xdr:cNvGrpSpPr/>
      </xdr:nvGrpSpPr>
      <xdr:grpSpPr>
        <a:xfrm>
          <a:off x="4603072" y="153309359"/>
          <a:ext cx="33655" cy="33655"/>
          <a:chOff x="0" y="0"/>
          <a:chExt cx="33655" cy="33655"/>
        </a:xfrm>
      </xdr:grpSpPr>
      <xdr:sp macro="" textlink="">
        <xdr:nvSpPr>
          <xdr:cNvPr id="7333" name="Shape 33">
            <a:extLst>
              <a:ext uri="{FF2B5EF4-FFF2-40B4-BE49-F238E27FC236}">
                <a16:creationId xmlns:a16="http://schemas.microsoft.com/office/drawing/2014/main" id="{6847C581-2649-DF69-E8A0-7D62B76DDCB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34" name="Shape 34">
            <a:extLst>
              <a:ext uri="{FF2B5EF4-FFF2-40B4-BE49-F238E27FC236}">
                <a16:creationId xmlns:a16="http://schemas.microsoft.com/office/drawing/2014/main" id="{118CD35E-8FBA-1322-4D75-A1A18DD4452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35" name="Shape 35">
            <a:extLst>
              <a:ext uri="{FF2B5EF4-FFF2-40B4-BE49-F238E27FC236}">
                <a16:creationId xmlns:a16="http://schemas.microsoft.com/office/drawing/2014/main" id="{B3A25AF3-2AF6-DDC7-E5C5-0002B78896E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36" name="Shape 36">
            <a:extLst>
              <a:ext uri="{FF2B5EF4-FFF2-40B4-BE49-F238E27FC236}">
                <a16:creationId xmlns:a16="http://schemas.microsoft.com/office/drawing/2014/main" id="{7530B141-7B6E-9200-415C-9D8C70FE2FC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37" name="Shape 37">
            <a:extLst>
              <a:ext uri="{FF2B5EF4-FFF2-40B4-BE49-F238E27FC236}">
                <a16:creationId xmlns:a16="http://schemas.microsoft.com/office/drawing/2014/main" id="{A161A586-7C67-5A5A-4F11-F6A9D887C8B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38" name="Shape 38">
            <a:extLst>
              <a:ext uri="{FF2B5EF4-FFF2-40B4-BE49-F238E27FC236}">
                <a16:creationId xmlns:a16="http://schemas.microsoft.com/office/drawing/2014/main" id="{9A8FE42F-F806-68A8-5F7B-78CAE57F687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39" name="Shape 39">
            <a:extLst>
              <a:ext uri="{FF2B5EF4-FFF2-40B4-BE49-F238E27FC236}">
                <a16:creationId xmlns:a16="http://schemas.microsoft.com/office/drawing/2014/main" id="{D5EB4C47-46DA-7A8D-C882-47DBECB24C8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40" name="Shape 40">
            <a:extLst>
              <a:ext uri="{FF2B5EF4-FFF2-40B4-BE49-F238E27FC236}">
                <a16:creationId xmlns:a16="http://schemas.microsoft.com/office/drawing/2014/main" id="{2896D03A-776E-E3A2-58FC-3278E8C5C41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41" name="Shape 41">
            <a:extLst>
              <a:ext uri="{FF2B5EF4-FFF2-40B4-BE49-F238E27FC236}">
                <a16:creationId xmlns:a16="http://schemas.microsoft.com/office/drawing/2014/main" id="{97C5160A-62DA-5CB4-0205-3E405745C14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42" name="Shape 42">
            <a:extLst>
              <a:ext uri="{FF2B5EF4-FFF2-40B4-BE49-F238E27FC236}">
                <a16:creationId xmlns:a16="http://schemas.microsoft.com/office/drawing/2014/main" id="{5FC16862-A492-ABF0-A76A-A6CD7ED23BF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43" name="Shape 43">
            <a:extLst>
              <a:ext uri="{FF2B5EF4-FFF2-40B4-BE49-F238E27FC236}">
                <a16:creationId xmlns:a16="http://schemas.microsoft.com/office/drawing/2014/main" id="{086A4891-B552-1C75-0683-4EA720A3120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44" name="Shape 44">
            <a:extLst>
              <a:ext uri="{FF2B5EF4-FFF2-40B4-BE49-F238E27FC236}">
                <a16:creationId xmlns:a16="http://schemas.microsoft.com/office/drawing/2014/main" id="{9997F595-B87E-623B-63EF-2BBCDA6EFA9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45" name="Shape 45">
            <a:extLst>
              <a:ext uri="{FF2B5EF4-FFF2-40B4-BE49-F238E27FC236}">
                <a16:creationId xmlns:a16="http://schemas.microsoft.com/office/drawing/2014/main" id="{E6AE0206-7AD8-0F3F-EAD7-0A539376818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46" name="Shape 46">
            <a:extLst>
              <a:ext uri="{FF2B5EF4-FFF2-40B4-BE49-F238E27FC236}">
                <a16:creationId xmlns:a16="http://schemas.microsoft.com/office/drawing/2014/main" id="{067C2F97-A91E-4D30-C23E-AF5EB1AE183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832</xdr:row>
      <xdr:rowOff>3409</xdr:rowOff>
    </xdr:from>
    <xdr:ext cx="33655" cy="33655"/>
    <xdr:grpSp>
      <xdr:nvGrpSpPr>
        <xdr:cNvPr id="7347" name="Group 47">
          <a:extLst>
            <a:ext uri="{FF2B5EF4-FFF2-40B4-BE49-F238E27FC236}">
              <a16:creationId xmlns:a16="http://schemas.microsoft.com/office/drawing/2014/main" id="{D879CB55-2380-44A5-8445-0F29DAAE9844}"/>
            </a:ext>
          </a:extLst>
        </xdr:cNvPr>
        <xdr:cNvGrpSpPr/>
      </xdr:nvGrpSpPr>
      <xdr:grpSpPr>
        <a:xfrm>
          <a:off x="4603072" y="153309065"/>
          <a:ext cx="33655" cy="33655"/>
          <a:chOff x="0" y="0"/>
          <a:chExt cx="33655" cy="33655"/>
        </a:xfrm>
      </xdr:grpSpPr>
      <xdr:sp macro="" textlink="">
        <xdr:nvSpPr>
          <xdr:cNvPr id="7348" name="Shape 48">
            <a:extLst>
              <a:ext uri="{FF2B5EF4-FFF2-40B4-BE49-F238E27FC236}">
                <a16:creationId xmlns:a16="http://schemas.microsoft.com/office/drawing/2014/main" id="{6D8E14E6-43B0-47F8-23B8-34ABDA7A2FF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49" name="Shape 49">
            <a:extLst>
              <a:ext uri="{FF2B5EF4-FFF2-40B4-BE49-F238E27FC236}">
                <a16:creationId xmlns:a16="http://schemas.microsoft.com/office/drawing/2014/main" id="{7D1716F7-B89A-5EB7-FF93-3A52A2E00FE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50" name="Shape 50">
            <a:extLst>
              <a:ext uri="{FF2B5EF4-FFF2-40B4-BE49-F238E27FC236}">
                <a16:creationId xmlns:a16="http://schemas.microsoft.com/office/drawing/2014/main" id="{837E8826-8894-0050-B31E-AE75493F2C7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51" name="Shape 51">
            <a:extLst>
              <a:ext uri="{FF2B5EF4-FFF2-40B4-BE49-F238E27FC236}">
                <a16:creationId xmlns:a16="http://schemas.microsoft.com/office/drawing/2014/main" id="{2B4019D0-B937-10EA-6A34-33292EC2D42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52" name="Shape 52">
            <a:extLst>
              <a:ext uri="{FF2B5EF4-FFF2-40B4-BE49-F238E27FC236}">
                <a16:creationId xmlns:a16="http://schemas.microsoft.com/office/drawing/2014/main" id="{26328FAA-4CAD-AB38-744F-78FE987A173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53" name="Shape 53">
            <a:extLst>
              <a:ext uri="{FF2B5EF4-FFF2-40B4-BE49-F238E27FC236}">
                <a16:creationId xmlns:a16="http://schemas.microsoft.com/office/drawing/2014/main" id="{69C66707-8887-20F3-DF4F-28C350C7B85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54" name="Shape 54">
            <a:extLst>
              <a:ext uri="{FF2B5EF4-FFF2-40B4-BE49-F238E27FC236}">
                <a16:creationId xmlns:a16="http://schemas.microsoft.com/office/drawing/2014/main" id="{205F8E84-7116-0D45-3430-A64E40BAFF2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55" name="Shape 55">
            <a:extLst>
              <a:ext uri="{FF2B5EF4-FFF2-40B4-BE49-F238E27FC236}">
                <a16:creationId xmlns:a16="http://schemas.microsoft.com/office/drawing/2014/main" id="{25A6B2B2-DBF8-9008-7B6E-6934C616C0B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56" name="Shape 56">
            <a:extLst>
              <a:ext uri="{FF2B5EF4-FFF2-40B4-BE49-F238E27FC236}">
                <a16:creationId xmlns:a16="http://schemas.microsoft.com/office/drawing/2014/main" id="{FE90834F-B5F4-A2AB-CE52-1054A1DBE65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57" name="Shape 57">
            <a:extLst>
              <a:ext uri="{FF2B5EF4-FFF2-40B4-BE49-F238E27FC236}">
                <a16:creationId xmlns:a16="http://schemas.microsoft.com/office/drawing/2014/main" id="{DC398D44-8873-4C64-D48B-95FE57CE335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58" name="Shape 58">
            <a:extLst>
              <a:ext uri="{FF2B5EF4-FFF2-40B4-BE49-F238E27FC236}">
                <a16:creationId xmlns:a16="http://schemas.microsoft.com/office/drawing/2014/main" id="{7DDCC4A5-FED2-FDF8-DB55-A3621BFD3E4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59" name="Shape 59">
            <a:extLst>
              <a:ext uri="{FF2B5EF4-FFF2-40B4-BE49-F238E27FC236}">
                <a16:creationId xmlns:a16="http://schemas.microsoft.com/office/drawing/2014/main" id="{1001E853-55CB-37CB-5680-B36C9D4830A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60" name="Shape 60">
            <a:extLst>
              <a:ext uri="{FF2B5EF4-FFF2-40B4-BE49-F238E27FC236}">
                <a16:creationId xmlns:a16="http://schemas.microsoft.com/office/drawing/2014/main" id="{C4A72BB4-9A13-2A5F-88A6-AC1D89E7880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61" name="Shape 61">
            <a:extLst>
              <a:ext uri="{FF2B5EF4-FFF2-40B4-BE49-F238E27FC236}">
                <a16:creationId xmlns:a16="http://schemas.microsoft.com/office/drawing/2014/main" id="{6799D82A-2441-F80B-986A-1EE931C719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832</xdr:row>
      <xdr:rowOff>3962</xdr:rowOff>
    </xdr:from>
    <xdr:ext cx="33655" cy="33655"/>
    <xdr:grpSp>
      <xdr:nvGrpSpPr>
        <xdr:cNvPr id="7362" name="Group 62">
          <a:extLst>
            <a:ext uri="{FF2B5EF4-FFF2-40B4-BE49-F238E27FC236}">
              <a16:creationId xmlns:a16="http://schemas.microsoft.com/office/drawing/2014/main" id="{29ABF63A-E20F-4B9C-B9A2-088CF11D7315}"/>
            </a:ext>
          </a:extLst>
        </xdr:cNvPr>
        <xdr:cNvGrpSpPr/>
      </xdr:nvGrpSpPr>
      <xdr:grpSpPr>
        <a:xfrm>
          <a:off x="4603072" y="153309618"/>
          <a:ext cx="33655" cy="33655"/>
          <a:chOff x="0" y="0"/>
          <a:chExt cx="33655" cy="33655"/>
        </a:xfrm>
      </xdr:grpSpPr>
      <xdr:sp macro="" textlink="">
        <xdr:nvSpPr>
          <xdr:cNvPr id="7363" name="Shape 63">
            <a:extLst>
              <a:ext uri="{FF2B5EF4-FFF2-40B4-BE49-F238E27FC236}">
                <a16:creationId xmlns:a16="http://schemas.microsoft.com/office/drawing/2014/main" id="{F4ABBB06-9B4B-8B94-D265-16FBF8F9256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64" name="Shape 64">
            <a:extLst>
              <a:ext uri="{FF2B5EF4-FFF2-40B4-BE49-F238E27FC236}">
                <a16:creationId xmlns:a16="http://schemas.microsoft.com/office/drawing/2014/main" id="{17C07D2A-4F85-8076-6CB0-F8F998BA065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65" name="Shape 65">
            <a:extLst>
              <a:ext uri="{FF2B5EF4-FFF2-40B4-BE49-F238E27FC236}">
                <a16:creationId xmlns:a16="http://schemas.microsoft.com/office/drawing/2014/main" id="{68F4CE7D-4D35-BCD6-B2BF-4BF2910C77D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66" name="Shape 66">
            <a:extLst>
              <a:ext uri="{FF2B5EF4-FFF2-40B4-BE49-F238E27FC236}">
                <a16:creationId xmlns:a16="http://schemas.microsoft.com/office/drawing/2014/main" id="{F9A981A6-3B32-0DDC-C0BB-DEEE6146694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67" name="Shape 67">
            <a:extLst>
              <a:ext uri="{FF2B5EF4-FFF2-40B4-BE49-F238E27FC236}">
                <a16:creationId xmlns:a16="http://schemas.microsoft.com/office/drawing/2014/main" id="{EC9A06A6-AEFC-DE75-16BC-71B97C57A26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68" name="Shape 68">
            <a:extLst>
              <a:ext uri="{FF2B5EF4-FFF2-40B4-BE49-F238E27FC236}">
                <a16:creationId xmlns:a16="http://schemas.microsoft.com/office/drawing/2014/main" id="{20152469-F33C-8E8A-49D3-17B94093D12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69" name="Shape 69">
            <a:extLst>
              <a:ext uri="{FF2B5EF4-FFF2-40B4-BE49-F238E27FC236}">
                <a16:creationId xmlns:a16="http://schemas.microsoft.com/office/drawing/2014/main" id="{CDF2AD0D-BA2E-E790-A7BE-CD6CD0DAD74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70" name="Shape 70">
            <a:extLst>
              <a:ext uri="{FF2B5EF4-FFF2-40B4-BE49-F238E27FC236}">
                <a16:creationId xmlns:a16="http://schemas.microsoft.com/office/drawing/2014/main" id="{71B6A85D-0B25-5DCB-ED97-98B049B9EB4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71" name="Shape 71">
            <a:extLst>
              <a:ext uri="{FF2B5EF4-FFF2-40B4-BE49-F238E27FC236}">
                <a16:creationId xmlns:a16="http://schemas.microsoft.com/office/drawing/2014/main" id="{A2E6A79D-AE6F-33C9-22F4-570574EB7CD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72" name="Shape 72">
            <a:extLst>
              <a:ext uri="{FF2B5EF4-FFF2-40B4-BE49-F238E27FC236}">
                <a16:creationId xmlns:a16="http://schemas.microsoft.com/office/drawing/2014/main" id="{B4D1A6DA-5D24-98CB-BA02-042CA437A20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73" name="Shape 73">
            <a:extLst>
              <a:ext uri="{FF2B5EF4-FFF2-40B4-BE49-F238E27FC236}">
                <a16:creationId xmlns:a16="http://schemas.microsoft.com/office/drawing/2014/main" id="{7C5F708C-251B-7606-AB76-33CC6979FD9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74" name="Shape 74">
            <a:extLst>
              <a:ext uri="{FF2B5EF4-FFF2-40B4-BE49-F238E27FC236}">
                <a16:creationId xmlns:a16="http://schemas.microsoft.com/office/drawing/2014/main" id="{544E152C-C96D-27AB-3E18-971E266AB95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75" name="Shape 75">
            <a:extLst>
              <a:ext uri="{FF2B5EF4-FFF2-40B4-BE49-F238E27FC236}">
                <a16:creationId xmlns:a16="http://schemas.microsoft.com/office/drawing/2014/main" id="{06456157-C23A-3597-A603-5F9EEF8E666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376" name="Shape 76">
            <a:extLst>
              <a:ext uri="{FF2B5EF4-FFF2-40B4-BE49-F238E27FC236}">
                <a16:creationId xmlns:a16="http://schemas.microsoft.com/office/drawing/2014/main" id="{26D1BC4B-46AF-CA60-5658-61E81035246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843</xdr:row>
      <xdr:rowOff>2978</xdr:rowOff>
    </xdr:from>
    <xdr:ext cx="33655" cy="33655"/>
    <xdr:grpSp>
      <xdr:nvGrpSpPr>
        <xdr:cNvPr id="7377" name="Group 2">
          <a:extLst>
            <a:ext uri="{FF2B5EF4-FFF2-40B4-BE49-F238E27FC236}">
              <a16:creationId xmlns:a16="http://schemas.microsoft.com/office/drawing/2014/main" id="{BFF1520C-0BE4-472C-95E1-DA69059FEF46}"/>
            </a:ext>
          </a:extLst>
        </xdr:cNvPr>
        <xdr:cNvGrpSpPr/>
      </xdr:nvGrpSpPr>
      <xdr:grpSpPr>
        <a:xfrm>
          <a:off x="4603072" y="155294830"/>
          <a:ext cx="33655" cy="33655"/>
          <a:chOff x="0" y="0"/>
          <a:chExt cx="33655" cy="33655"/>
        </a:xfrm>
      </xdr:grpSpPr>
      <xdr:sp macro="" textlink="">
        <xdr:nvSpPr>
          <xdr:cNvPr id="7378" name="Shape 3">
            <a:extLst>
              <a:ext uri="{FF2B5EF4-FFF2-40B4-BE49-F238E27FC236}">
                <a16:creationId xmlns:a16="http://schemas.microsoft.com/office/drawing/2014/main" id="{1804A449-5168-32CD-08AB-9305287C46A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79" name="Shape 4">
            <a:extLst>
              <a:ext uri="{FF2B5EF4-FFF2-40B4-BE49-F238E27FC236}">
                <a16:creationId xmlns:a16="http://schemas.microsoft.com/office/drawing/2014/main" id="{7C2F977D-19FF-90D8-499A-33778E92CEF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80" name="Shape 5">
            <a:extLst>
              <a:ext uri="{FF2B5EF4-FFF2-40B4-BE49-F238E27FC236}">
                <a16:creationId xmlns:a16="http://schemas.microsoft.com/office/drawing/2014/main" id="{39370219-D16D-1885-E060-AAEF276779D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81" name="Shape 6">
            <a:extLst>
              <a:ext uri="{FF2B5EF4-FFF2-40B4-BE49-F238E27FC236}">
                <a16:creationId xmlns:a16="http://schemas.microsoft.com/office/drawing/2014/main" id="{15E43755-AB19-7899-EC68-19C1AE5C2F2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82" name="Shape 7">
            <a:extLst>
              <a:ext uri="{FF2B5EF4-FFF2-40B4-BE49-F238E27FC236}">
                <a16:creationId xmlns:a16="http://schemas.microsoft.com/office/drawing/2014/main" id="{D567D98F-575A-D749-1BB7-996DA23F069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83" name="Shape 8">
            <a:extLst>
              <a:ext uri="{FF2B5EF4-FFF2-40B4-BE49-F238E27FC236}">
                <a16:creationId xmlns:a16="http://schemas.microsoft.com/office/drawing/2014/main" id="{6A4E9D97-59F8-D7D8-369B-FF8A05A577D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84" name="Shape 9">
            <a:extLst>
              <a:ext uri="{FF2B5EF4-FFF2-40B4-BE49-F238E27FC236}">
                <a16:creationId xmlns:a16="http://schemas.microsoft.com/office/drawing/2014/main" id="{528BF9ED-58BA-6880-D931-C54CE773DC7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85" name="Shape 10">
            <a:extLst>
              <a:ext uri="{FF2B5EF4-FFF2-40B4-BE49-F238E27FC236}">
                <a16:creationId xmlns:a16="http://schemas.microsoft.com/office/drawing/2014/main" id="{9B53086D-2018-65C9-65BA-BD96D45CB1B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86" name="Shape 11">
            <a:extLst>
              <a:ext uri="{FF2B5EF4-FFF2-40B4-BE49-F238E27FC236}">
                <a16:creationId xmlns:a16="http://schemas.microsoft.com/office/drawing/2014/main" id="{4F86CED2-9C49-BA0F-8B8C-B9DA85B20FD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87" name="Shape 12">
            <a:extLst>
              <a:ext uri="{FF2B5EF4-FFF2-40B4-BE49-F238E27FC236}">
                <a16:creationId xmlns:a16="http://schemas.microsoft.com/office/drawing/2014/main" id="{063C0A6F-CD26-4B75-5051-BD30FC949AB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88" name="Shape 13">
            <a:extLst>
              <a:ext uri="{FF2B5EF4-FFF2-40B4-BE49-F238E27FC236}">
                <a16:creationId xmlns:a16="http://schemas.microsoft.com/office/drawing/2014/main" id="{354B7F02-F7A4-F2A8-0DAC-A3B22B203BE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89" name="Shape 14">
            <a:extLst>
              <a:ext uri="{FF2B5EF4-FFF2-40B4-BE49-F238E27FC236}">
                <a16:creationId xmlns:a16="http://schemas.microsoft.com/office/drawing/2014/main" id="{920AE2D1-E623-EDC1-BBD2-7534E4FD1CE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90" name="Shape 15">
            <a:extLst>
              <a:ext uri="{FF2B5EF4-FFF2-40B4-BE49-F238E27FC236}">
                <a16:creationId xmlns:a16="http://schemas.microsoft.com/office/drawing/2014/main" id="{704A4C76-7106-CBE9-01CD-8CABA17BE9D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91" name="Shape 16">
            <a:extLst>
              <a:ext uri="{FF2B5EF4-FFF2-40B4-BE49-F238E27FC236}">
                <a16:creationId xmlns:a16="http://schemas.microsoft.com/office/drawing/2014/main" id="{F9F917F1-9898-CF60-7C18-D642E2958BE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843</xdr:row>
      <xdr:rowOff>3246</xdr:rowOff>
    </xdr:from>
    <xdr:ext cx="33655" cy="33655"/>
    <xdr:grpSp>
      <xdr:nvGrpSpPr>
        <xdr:cNvPr id="7392" name="Group 17">
          <a:extLst>
            <a:ext uri="{FF2B5EF4-FFF2-40B4-BE49-F238E27FC236}">
              <a16:creationId xmlns:a16="http://schemas.microsoft.com/office/drawing/2014/main" id="{7CBADFA6-516A-41D6-938B-AD6F6D74E167}"/>
            </a:ext>
          </a:extLst>
        </xdr:cNvPr>
        <xdr:cNvGrpSpPr/>
      </xdr:nvGrpSpPr>
      <xdr:grpSpPr>
        <a:xfrm>
          <a:off x="4603072" y="155295098"/>
          <a:ext cx="33655" cy="33655"/>
          <a:chOff x="0" y="0"/>
          <a:chExt cx="33655" cy="33655"/>
        </a:xfrm>
      </xdr:grpSpPr>
      <xdr:sp macro="" textlink="">
        <xdr:nvSpPr>
          <xdr:cNvPr id="7393" name="Shape 18">
            <a:extLst>
              <a:ext uri="{FF2B5EF4-FFF2-40B4-BE49-F238E27FC236}">
                <a16:creationId xmlns:a16="http://schemas.microsoft.com/office/drawing/2014/main" id="{D6459ADA-9C1A-1123-1DD1-46DCFE91414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94" name="Shape 19">
            <a:extLst>
              <a:ext uri="{FF2B5EF4-FFF2-40B4-BE49-F238E27FC236}">
                <a16:creationId xmlns:a16="http://schemas.microsoft.com/office/drawing/2014/main" id="{3A69FCFD-3FAA-0DCE-5673-7F5669D1732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95" name="Shape 20">
            <a:extLst>
              <a:ext uri="{FF2B5EF4-FFF2-40B4-BE49-F238E27FC236}">
                <a16:creationId xmlns:a16="http://schemas.microsoft.com/office/drawing/2014/main" id="{3C7E82F3-4A18-6A63-A3FC-F8A0D75D856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96" name="Shape 21">
            <a:extLst>
              <a:ext uri="{FF2B5EF4-FFF2-40B4-BE49-F238E27FC236}">
                <a16:creationId xmlns:a16="http://schemas.microsoft.com/office/drawing/2014/main" id="{C387025B-5149-A5A7-A187-1236684EC81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97" name="Shape 22">
            <a:extLst>
              <a:ext uri="{FF2B5EF4-FFF2-40B4-BE49-F238E27FC236}">
                <a16:creationId xmlns:a16="http://schemas.microsoft.com/office/drawing/2014/main" id="{03C6B07C-3DC4-D68E-58F7-66F53C2A022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398" name="Shape 23">
            <a:extLst>
              <a:ext uri="{FF2B5EF4-FFF2-40B4-BE49-F238E27FC236}">
                <a16:creationId xmlns:a16="http://schemas.microsoft.com/office/drawing/2014/main" id="{DC65D0C1-C085-D600-8474-33F34D5C0A3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399" name="Shape 24">
            <a:extLst>
              <a:ext uri="{FF2B5EF4-FFF2-40B4-BE49-F238E27FC236}">
                <a16:creationId xmlns:a16="http://schemas.microsoft.com/office/drawing/2014/main" id="{D869A19C-A9B6-B62D-C9B5-D43D8326921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00" name="Shape 25">
            <a:extLst>
              <a:ext uri="{FF2B5EF4-FFF2-40B4-BE49-F238E27FC236}">
                <a16:creationId xmlns:a16="http://schemas.microsoft.com/office/drawing/2014/main" id="{0CEEDC50-377D-6FE5-BAC0-90E4A90B787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01" name="Shape 26">
            <a:extLst>
              <a:ext uri="{FF2B5EF4-FFF2-40B4-BE49-F238E27FC236}">
                <a16:creationId xmlns:a16="http://schemas.microsoft.com/office/drawing/2014/main" id="{330BA53C-AC23-5D15-CBCF-C2E075316E9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02" name="Shape 27">
            <a:extLst>
              <a:ext uri="{FF2B5EF4-FFF2-40B4-BE49-F238E27FC236}">
                <a16:creationId xmlns:a16="http://schemas.microsoft.com/office/drawing/2014/main" id="{C3D6317B-56BA-CC84-8A16-98FA6E786D9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03" name="Shape 28">
            <a:extLst>
              <a:ext uri="{FF2B5EF4-FFF2-40B4-BE49-F238E27FC236}">
                <a16:creationId xmlns:a16="http://schemas.microsoft.com/office/drawing/2014/main" id="{4501D42E-2447-A7B1-1F7B-40EA4A37431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04" name="Shape 29">
            <a:extLst>
              <a:ext uri="{FF2B5EF4-FFF2-40B4-BE49-F238E27FC236}">
                <a16:creationId xmlns:a16="http://schemas.microsoft.com/office/drawing/2014/main" id="{D8B4E7E1-5D5D-5AB9-6099-43BA7D630BF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05" name="Shape 30">
            <a:extLst>
              <a:ext uri="{FF2B5EF4-FFF2-40B4-BE49-F238E27FC236}">
                <a16:creationId xmlns:a16="http://schemas.microsoft.com/office/drawing/2014/main" id="{380EB2EF-726F-0556-B480-5A50AE9B64E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06" name="Shape 31">
            <a:extLst>
              <a:ext uri="{FF2B5EF4-FFF2-40B4-BE49-F238E27FC236}">
                <a16:creationId xmlns:a16="http://schemas.microsoft.com/office/drawing/2014/main" id="{A4C9425E-F2A9-056E-2F4A-61D64023496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843</xdr:row>
      <xdr:rowOff>3703</xdr:rowOff>
    </xdr:from>
    <xdr:ext cx="33655" cy="33655"/>
    <xdr:grpSp>
      <xdr:nvGrpSpPr>
        <xdr:cNvPr id="7407" name="Group 32">
          <a:extLst>
            <a:ext uri="{FF2B5EF4-FFF2-40B4-BE49-F238E27FC236}">
              <a16:creationId xmlns:a16="http://schemas.microsoft.com/office/drawing/2014/main" id="{0EC60028-1FB8-432D-8BA6-E6C501551135}"/>
            </a:ext>
          </a:extLst>
        </xdr:cNvPr>
        <xdr:cNvGrpSpPr/>
      </xdr:nvGrpSpPr>
      <xdr:grpSpPr>
        <a:xfrm>
          <a:off x="4603072" y="155295555"/>
          <a:ext cx="33655" cy="33655"/>
          <a:chOff x="0" y="0"/>
          <a:chExt cx="33655" cy="33655"/>
        </a:xfrm>
      </xdr:grpSpPr>
      <xdr:sp macro="" textlink="">
        <xdr:nvSpPr>
          <xdr:cNvPr id="7408" name="Shape 33">
            <a:extLst>
              <a:ext uri="{FF2B5EF4-FFF2-40B4-BE49-F238E27FC236}">
                <a16:creationId xmlns:a16="http://schemas.microsoft.com/office/drawing/2014/main" id="{18C1AF42-93BA-9700-EB4B-25B1D7C59EB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09" name="Shape 34">
            <a:extLst>
              <a:ext uri="{FF2B5EF4-FFF2-40B4-BE49-F238E27FC236}">
                <a16:creationId xmlns:a16="http://schemas.microsoft.com/office/drawing/2014/main" id="{68B7CEA5-CE63-F6AA-89DE-2CD0D1D9900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10" name="Shape 35">
            <a:extLst>
              <a:ext uri="{FF2B5EF4-FFF2-40B4-BE49-F238E27FC236}">
                <a16:creationId xmlns:a16="http://schemas.microsoft.com/office/drawing/2014/main" id="{49AAF4A1-FA7D-4AC6-5D1D-BEE2FEAC565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11" name="Shape 36">
            <a:extLst>
              <a:ext uri="{FF2B5EF4-FFF2-40B4-BE49-F238E27FC236}">
                <a16:creationId xmlns:a16="http://schemas.microsoft.com/office/drawing/2014/main" id="{24522609-1606-0F4B-0A88-814E9E690FE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12" name="Shape 37">
            <a:extLst>
              <a:ext uri="{FF2B5EF4-FFF2-40B4-BE49-F238E27FC236}">
                <a16:creationId xmlns:a16="http://schemas.microsoft.com/office/drawing/2014/main" id="{A8BFE74F-27A4-EC2F-D25B-EC17B048B48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13" name="Shape 38">
            <a:extLst>
              <a:ext uri="{FF2B5EF4-FFF2-40B4-BE49-F238E27FC236}">
                <a16:creationId xmlns:a16="http://schemas.microsoft.com/office/drawing/2014/main" id="{3AA53AA5-ED0D-F45E-FB58-10807E6F51B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14" name="Shape 39">
            <a:extLst>
              <a:ext uri="{FF2B5EF4-FFF2-40B4-BE49-F238E27FC236}">
                <a16:creationId xmlns:a16="http://schemas.microsoft.com/office/drawing/2014/main" id="{29F6BA7A-9F26-15D4-A98E-EC273942F25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15" name="Shape 40">
            <a:extLst>
              <a:ext uri="{FF2B5EF4-FFF2-40B4-BE49-F238E27FC236}">
                <a16:creationId xmlns:a16="http://schemas.microsoft.com/office/drawing/2014/main" id="{E89ED036-CA84-0068-BC30-25BA87C33FB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16" name="Shape 41">
            <a:extLst>
              <a:ext uri="{FF2B5EF4-FFF2-40B4-BE49-F238E27FC236}">
                <a16:creationId xmlns:a16="http://schemas.microsoft.com/office/drawing/2014/main" id="{60D0F8FF-052F-E56F-74A2-52F08374076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17" name="Shape 42">
            <a:extLst>
              <a:ext uri="{FF2B5EF4-FFF2-40B4-BE49-F238E27FC236}">
                <a16:creationId xmlns:a16="http://schemas.microsoft.com/office/drawing/2014/main" id="{684761A8-0529-3020-62EE-1226D911184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18" name="Shape 43">
            <a:extLst>
              <a:ext uri="{FF2B5EF4-FFF2-40B4-BE49-F238E27FC236}">
                <a16:creationId xmlns:a16="http://schemas.microsoft.com/office/drawing/2014/main" id="{A9A22222-B2B2-F053-1F45-E8DD6E338C4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19" name="Shape 44">
            <a:extLst>
              <a:ext uri="{FF2B5EF4-FFF2-40B4-BE49-F238E27FC236}">
                <a16:creationId xmlns:a16="http://schemas.microsoft.com/office/drawing/2014/main" id="{86B945A2-90F6-5623-9BF4-115551AE6E4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20" name="Shape 45">
            <a:extLst>
              <a:ext uri="{FF2B5EF4-FFF2-40B4-BE49-F238E27FC236}">
                <a16:creationId xmlns:a16="http://schemas.microsoft.com/office/drawing/2014/main" id="{1D879A26-A4F3-3BE1-9FB5-C9BBB589576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21" name="Shape 46">
            <a:extLst>
              <a:ext uri="{FF2B5EF4-FFF2-40B4-BE49-F238E27FC236}">
                <a16:creationId xmlns:a16="http://schemas.microsoft.com/office/drawing/2014/main" id="{DB26FA65-3540-E2E3-308C-EE336464C60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843</xdr:row>
      <xdr:rowOff>3409</xdr:rowOff>
    </xdr:from>
    <xdr:ext cx="33655" cy="33655"/>
    <xdr:grpSp>
      <xdr:nvGrpSpPr>
        <xdr:cNvPr id="7422" name="Group 47">
          <a:extLst>
            <a:ext uri="{FF2B5EF4-FFF2-40B4-BE49-F238E27FC236}">
              <a16:creationId xmlns:a16="http://schemas.microsoft.com/office/drawing/2014/main" id="{2281A4BE-53AC-4B46-928E-12DF9E8263BA}"/>
            </a:ext>
          </a:extLst>
        </xdr:cNvPr>
        <xdr:cNvGrpSpPr/>
      </xdr:nvGrpSpPr>
      <xdr:grpSpPr>
        <a:xfrm>
          <a:off x="4603072" y="155295261"/>
          <a:ext cx="33655" cy="33655"/>
          <a:chOff x="0" y="0"/>
          <a:chExt cx="33655" cy="33655"/>
        </a:xfrm>
      </xdr:grpSpPr>
      <xdr:sp macro="" textlink="">
        <xdr:nvSpPr>
          <xdr:cNvPr id="7423" name="Shape 48">
            <a:extLst>
              <a:ext uri="{FF2B5EF4-FFF2-40B4-BE49-F238E27FC236}">
                <a16:creationId xmlns:a16="http://schemas.microsoft.com/office/drawing/2014/main" id="{1F830360-0691-E781-D359-1E719C59036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24" name="Shape 49">
            <a:extLst>
              <a:ext uri="{FF2B5EF4-FFF2-40B4-BE49-F238E27FC236}">
                <a16:creationId xmlns:a16="http://schemas.microsoft.com/office/drawing/2014/main" id="{70D55FD7-6E41-0D7B-F35D-399E35705C1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25" name="Shape 50">
            <a:extLst>
              <a:ext uri="{FF2B5EF4-FFF2-40B4-BE49-F238E27FC236}">
                <a16:creationId xmlns:a16="http://schemas.microsoft.com/office/drawing/2014/main" id="{D87B7CDA-0C41-7636-49AA-008004C34A4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26" name="Shape 51">
            <a:extLst>
              <a:ext uri="{FF2B5EF4-FFF2-40B4-BE49-F238E27FC236}">
                <a16:creationId xmlns:a16="http://schemas.microsoft.com/office/drawing/2014/main" id="{63A54DDB-E29D-121A-B9D6-CDD356F05E9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27" name="Shape 52">
            <a:extLst>
              <a:ext uri="{FF2B5EF4-FFF2-40B4-BE49-F238E27FC236}">
                <a16:creationId xmlns:a16="http://schemas.microsoft.com/office/drawing/2014/main" id="{6C3AF0EC-9B8D-BF79-A80A-982345563BD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28" name="Shape 53">
            <a:extLst>
              <a:ext uri="{FF2B5EF4-FFF2-40B4-BE49-F238E27FC236}">
                <a16:creationId xmlns:a16="http://schemas.microsoft.com/office/drawing/2014/main" id="{2FD118DC-059F-1108-7C70-E32C15C0209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29" name="Shape 54">
            <a:extLst>
              <a:ext uri="{FF2B5EF4-FFF2-40B4-BE49-F238E27FC236}">
                <a16:creationId xmlns:a16="http://schemas.microsoft.com/office/drawing/2014/main" id="{C1DC24B3-EF31-519D-CEB2-895599DA830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30" name="Shape 55">
            <a:extLst>
              <a:ext uri="{FF2B5EF4-FFF2-40B4-BE49-F238E27FC236}">
                <a16:creationId xmlns:a16="http://schemas.microsoft.com/office/drawing/2014/main" id="{D9AE0C45-0918-F15D-68DA-51F3FB48911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31" name="Shape 56">
            <a:extLst>
              <a:ext uri="{FF2B5EF4-FFF2-40B4-BE49-F238E27FC236}">
                <a16:creationId xmlns:a16="http://schemas.microsoft.com/office/drawing/2014/main" id="{CA2104C4-8B27-3886-0637-1BF43C9A1DF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32" name="Shape 57">
            <a:extLst>
              <a:ext uri="{FF2B5EF4-FFF2-40B4-BE49-F238E27FC236}">
                <a16:creationId xmlns:a16="http://schemas.microsoft.com/office/drawing/2014/main" id="{AAC56BEE-0C97-EE8D-1A70-149D0424CFA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33" name="Shape 58">
            <a:extLst>
              <a:ext uri="{FF2B5EF4-FFF2-40B4-BE49-F238E27FC236}">
                <a16:creationId xmlns:a16="http://schemas.microsoft.com/office/drawing/2014/main" id="{7762980C-98E7-5C26-7235-A6852D5B7DB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34" name="Shape 59">
            <a:extLst>
              <a:ext uri="{FF2B5EF4-FFF2-40B4-BE49-F238E27FC236}">
                <a16:creationId xmlns:a16="http://schemas.microsoft.com/office/drawing/2014/main" id="{B9BD0D5F-601C-CC15-F19E-A683500975B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35" name="Shape 60">
            <a:extLst>
              <a:ext uri="{FF2B5EF4-FFF2-40B4-BE49-F238E27FC236}">
                <a16:creationId xmlns:a16="http://schemas.microsoft.com/office/drawing/2014/main" id="{8D2E574A-55F0-2C15-0521-3DBD0A512DE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36" name="Shape 61">
            <a:extLst>
              <a:ext uri="{FF2B5EF4-FFF2-40B4-BE49-F238E27FC236}">
                <a16:creationId xmlns:a16="http://schemas.microsoft.com/office/drawing/2014/main" id="{4DB77A61-168F-361F-9AD3-1A7427FCD89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843</xdr:row>
      <xdr:rowOff>3962</xdr:rowOff>
    </xdr:from>
    <xdr:ext cx="33655" cy="33655"/>
    <xdr:grpSp>
      <xdr:nvGrpSpPr>
        <xdr:cNvPr id="7437" name="Group 62">
          <a:extLst>
            <a:ext uri="{FF2B5EF4-FFF2-40B4-BE49-F238E27FC236}">
              <a16:creationId xmlns:a16="http://schemas.microsoft.com/office/drawing/2014/main" id="{83D561E8-590D-4D00-B076-1E57B07D5BAA}"/>
            </a:ext>
          </a:extLst>
        </xdr:cNvPr>
        <xdr:cNvGrpSpPr/>
      </xdr:nvGrpSpPr>
      <xdr:grpSpPr>
        <a:xfrm>
          <a:off x="4603072" y="155295814"/>
          <a:ext cx="33655" cy="33655"/>
          <a:chOff x="0" y="0"/>
          <a:chExt cx="33655" cy="33655"/>
        </a:xfrm>
      </xdr:grpSpPr>
      <xdr:sp macro="" textlink="">
        <xdr:nvSpPr>
          <xdr:cNvPr id="7438" name="Shape 63">
            <a:extLst>
              <a:ext uri="{FF2B5EF4-FFF2-40B4-BE49-F238E27FC236}">
                <a16:creationId xmlns:a16="http://schemas.microsoft.com/office/drawing/2014/main" id="{61C0B6B1-4B27-FFF6-BB57-79FFBF9334B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39" name="Shape 64">
            <a:extLst>
              <a:ext uri="{FF2B5EF4-FFF2-40B4-BE49-F238E27FC236}">
                <a16:creationId xmlns:a16="http://schemas.microsoft.com/office/drawing/2014/main" id="{7824EA3A-53BC-9D17-76A1-12F5BBAC8B0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440" name="Shape 65">
            <a:extLst>
              <a:ext uri="{FF2B5EF4-FFF2-40B4-BE49-F238E27FC236}">
                <a16:creationId xmlns:a16="http://schemas.microsoft.com/office/drawing/2014/main" id="{2FF3E66D-7F96-EB26-531D-3EDEBECF891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41" name="Shape 66">
            <a:extLst>
              <a:ext uri="{FF2B5EF4-FFF2-40B4-BE49-F238E27FC236}">
                <a16:creationId xmlns:a16="http://schemas.microsoft.com/office/drawing/2014/main" id="{374B3545-9BAB-C780-A727-8D20146BD77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442" name="Shape 67">
            <a:extLst>
              <a:ext uri="{FF2B5EF4-FFF2-40B4-BE49-F238E27FC236}">
                <a16:creationId xmlns:a16="http://schemas.microsoft.com/office/drawing/2014/main" id="{1CB48CCE-3F5B-18A6-9027-91467F8E30E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43" name="Shape 68">
            <a:extLst>
              <a:ext uri="{FF2B5EF4-FFF2-40B4-BE49-F238E27FC236}">
                <a16:creationId xmlns:a16="http://schemas.microsoft.com/office/drawing/2014/main" id="{BA7A9C4B-DCDB-4037-2BA1-907C9C1F94C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444" name="Shape 69">
            <a:extLst>
              <a:ext uri="{FF2B5EF4-FFF2-40B4-BE49-F238E27FC236}">
                <a16:creationId xmlns:a16="http://schemas.microsoft.com/office/drawing/2014/main" id="{25B99EA6-FC86-BB40-5B63-31FA374509F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45" name="Shape 70">
            <a:extLst>
              <a:ext uri="{FF2B5EF4-FFF2-40B4-BE49-F238E27FC236}">
                <a16:creationId xmlns:a16="http://schemas.microsoft.com/office/drawing/2014/main" id="{6991C239-E519-D9D1-0DA8-BCA9E4AAD8F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446" name="Shape 71">
            <a:extLst>
              <a:ext uri="{FF2B5EF4-FFF2-40B4-BE49-F238E27FC236}">
                <a16:creationId xmlns:a16="http://schemas.microsoft.com/office/drawing/2014/main" id="{FD6EAD4F-3509-2B3D-E1B1-46FF47F8155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47" name="Shape 72">
            <a:extLst>
              <a:ext uri="{FF2B5EF4-FFF2-40B4-BE49-F238E27FC236}">
                <a16:creationId xmlns:a16="http://schemas.microsoft.com/office/drawing/2014/main" id="{BFBD4DAE-1A9E-7426-07C9-8557B867DB9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448" name="Shape 73">
            <a:extLst>
              <a:ext uri="{FF2B5EF4-FFF2-40B4-BE49-F238E27FC236}">
                <a16:creationId xmlns:a16="http://schemas.microsoft.com/office/drawing/2014/main" id="{296223E9-76FA-04B3-58EB-E5837013BD0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49" name="Shape 74">
            <a:extLst>
              <a:ext uri="{FF2B5EF4-FFF2-40B4-BE49-F238E27FC236}">
                <a16:creationId xmlns:a16="http://schemas.microsoft.com/office/drawing/2014/main" id="{36F02345-B60C-9CC2-6047-12A5B5A4037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450" name="Shape 75">
            <a:extLst>
              <a:ext uri="{FF2B5EF4-FFF2-40B4-BE49-F238E27FC236}">
                <a16:creationId xmlns:a16="http://schemas.microsoft.com/office/drawing/2014/main" id="{8FC6A316-FD7D-F424-4BB6-2F96885DEAA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451" name="Shape 76">
            <a:extLst>
              <a:ext uri="{FF2B5EF4-FFF2-40B4-BE49-F238E27FC236}">
                <a16:creationId xmlns:a16="http://schemas.microsoft.com/office/drawing/2014/main" id="{A3C36DCE-40B9-2D02-B09D-A1CE3DFB8A8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843</xdr:row>
      <xdr:rowOff>2978</xdr:rowOff>
    </xdr:from>
    <xdr:ext cx="33655" cy="33655"/>
    <xdr:grpSp>
      <xdr:nvGrpSpPr>
        <xdr:cNvPr id="7452" name="Group 2">
          <a:extLst>
            <a:ext uri="{FF2B5EF4-FFF2-40B4-BE49-F238E27FC236}">
              <a16:creationId xmlns:a16="http://schemas.microsoft.com/office/drawing/2014/main" id="{5BE574A6-A11F-4B7A-BE99-0612876C6985}"/>
            </a:ext>
          </a:extLst>
        </xdr:cNvPr>
        <xdr:cNvGrpSpPr/>
      </xdr:nvGrpSpPr>
      <xdr:grpSpPr>
        <a:xfrm>
          <a:off x="4603072" y="155294830"/>
          <a:ext cx="33655" cy="33655"/>
          <a:chOff x="0" y="0"/>
          <a:chExt cx="33655" cy="33655"/>
        </a:xfrm>
      </xdr:grpSpPr>
      <xdr:sp macro="" textlink="">
        <xdr:nvSpPr>
          <xdr:cNvPr id="7453" name="Shape 3">
            <a:extLst>
              <a:ext uri="{FF2B5EF4-FFF2-40B4-BE49-F238E27FC236}">
                <a16:creationId xmlns:a16="http://schemas.microsoft.com/office/drawing/2014/main" id="{7411C9D2-7FF8-BB5F-94A4-E4CF19C1CE6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54" name="Shape 4">
            <a:extLst>
              <a:ext uri="{FF2B5EF4-FFF2-40B4-BE49-F238E27FC236}">
                <a16:creationId xmlns:a16="http://schemas.microsoft.com/office/drawing/2014/main" id="{70F13F5C-E5C5-A831-1723-33BD3D7F5F4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55" name="Shape 5">
            <a:extLst>
              <a:ext uri="{FF2B5EF4-FFF2-40B4-BE49-F238E27FC236}">
                <a16:creationId xmlns:a16="http://schemas.microsoft.com/office/drawing/2014/main" id="{F0C5E947-9B43-AB01-8433-4731D65BA77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56" name="Shape 6">
            <a:extLst>
              <a:ext uri="{FF2B5EF4-FFF2-40B4-BE49-F238E27FC236}">
                <a16:creationId xmlns:a16="http://schemas.microsoft.com/office/drawing/2014/main" id="{23D9688D-B6DD-3CD4-97E4-07FE5B549F2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57" name="Shape 7">
            <a:extLst>
              <a:ext uri="{FF2B5EF4-FFF2-40B4-BE49-F238E27FC236}">
                <a16:creationId xmlns:a16="http://schemas.microsoft.com/office/drawing/2014/main" id="{07D3358E-2725-DB7D-320C-6D2F39C2AC0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58" name="Shape 8">
            <a:extLst>
              <a:ext uri="{FF2B5EF4-FFF2-40B4-BE49-F238E27FC236}">
                <a16:creationId xmlns:a16="http://schemas.microsoft.com/office/drawing/2014/main" id="{ABED14E0-5D14-DDD4-0372-75EBE434CD4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59" name="Shape 9">
            <a:extLst>
              <a:ext uri="{FF2B5EF4-FFF2-40B4-BE49-F238E27FC236}">
                <a16:creationId xmlns:a16="http://schemas.microsoft.com/office/drawing/2014/main" id="{B6FCDDA2-BA87-8197-999E-744385CB2CF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60" name="Shape 10">
            <a:extLst>
              <a:ext uri="{FF2B5EF4-FFF2-40B4-BE49-F238E27FC236}">
                <a16:creationId xmlns:a16="http://schemas.microsoft.com/office/drawing/2014/main" id="{505D1A38-7651-9F57-47FF-DFC9C8360CC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61" name="Shape 11">
            <a:extLst>
              <a:ext uri="{FF2B5EF4-FFF2-40B4-BE49-F238E27FC236}">
                <a16:creationId xmlns:a16="http://schemas.microsoft.com/office/drawing/2014/main" id="{55012B0E-E6AE-C7AF-24F5-186B538A367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62" name="Shape 12">
            <a:extLst>
              <a:ext uri="{FF2B5EF4-FFF2-40B4-BE49-F238E27FC236}">
                <a16:creationId xmlns:a16="http://schemas.microsoft.com/office/drawing/2014/main" id="{4BBCEAAB-C3B1-3ABF-8F14-8095C7AC519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63" name="Shape 13">
            <a:extLst>
              <a:ext uri="{FF2B5EF4-FFF2-40B4-BE49-F238E27FC236}">
                <a16:creationId xmlns:a16="http://schemas.microsoft.com/office/drawing/2014/main" id="{BCA25501-68AA-6E84-816C-77F43DB9484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64" name="Shape 14">
            <a:extLst>
              <a:ext uri="{FF2B5EF4-FFF2-40B4-BE49-F238E27FC236}">
                <a16:creationId xmlns:a16="http://schemas.microsoft.com/office/drawing/2014/main" id="{16C6623A-1BEF-F288-9240-09BD83059D0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65" name="Shape 15">
            <a:extLst>
              <a:ext uri="{FF2B5EF4-FFF2-40B4-BE49-F238E27FC236}">
                <a16:creationId xmlns:a16="http://schemas.microsoft.com/office/drawing/2014/main" id="{A82A48FF-A204-1912-903D-6B721AA504E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66" name="Shape 16">
            <a:extLst>
              <a:ext uri="{FF2B5EF4-FFF2-40B4-BE49-F238E27FC236}">
                <a16:creationId xmlns:a16="http://schemas.microsoft.com/office/drawing/2014/main" id="{D4AEFB55-497B-412F-5038-39F93075E17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843</xdr:row>
      <xdr:rowOff>3246</xdr:rowOff>
    </xdr:from>
    <xdr:ext cx="33655" cy="33655"/>
    <xdr:grpSp>
      <xdr:nvGrpSpPr>
        <xdr:cNvPr id="7467" name="Group 17">
          <a:extLst>
            <a:ext uri="{FF2B5EF4-FFF2-40B4-BE49-F238E27FC236}">
              <a16:creationId xmlns:a16="http://schemas.microsoft.com/office/drawing/2014/main" id="{BEC8705E-4BF4-467A-AB1B-1DDDD0E1FA0B}"/>
            </a:ext>
          </a:extLst>
        </xdr:cNvPr>
        <xdr:cNvGrpSpPr/>
      </xdr:nvGrpSpPr>
      <xdr:grpSpPr>
        <a:xfrm>
          <a:off x="4603072" y="155295098"/>
          <a:ext cx="33655" cy="33655"/>
          <a:chOff x="0" y="0"/>
          <a:chExt cx="33655" cy="33655"/>
        </a:xfrm>
      </xdr:grpSpPr>
      <xdr:sp macro="" textlink="">
        <xdr:nvSpPr>
          <xdr:cNvPr id="7468" name="Shape 18">
            <a:extLst>
              <a:ext uri="{FF2B5EF4-FFF2-40B4-BE49-F238E27FC236}">
                <a16:creationId xmlns:a16="http://schemas.microsoft.com/office/drawing/2014/main" id="{099CCACE-F26C-F622-88E9-29F3B8E07EA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69" name="Shape 19">
            <a:extLst>
              <a:ext uri="{FF2B5EF4-FFF2-40B4-BE49-F238E27FC236}">
                <a16:creationId xmlns:a16="http://schemas.microsoft.com/office/drawing/2014/main" id="{0C5C147A-2482-0E8F-678F-B686ADCEABB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70" name="Shape 20">
            <a:extLst>
              <a:ext uri="{FF2B5EF4-FFF2-40B4-BE49-F238E27FC236}">
                <a16:creationId xmlns:a16="http://schemas.microsoft.com/office/drawing/2014/main" id="{7A385937-B972-8081-4095-8F66133D461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71" name="Shape 21">
            <a:extLst>
              <a:ext uri="{FF2B5EF4-FFF2-40B4-BE49-F238E27FC236}">
                <a16:creationId xmlns:a16="http://schemas.microsoft.com/office/drawing/2014/main" id="{9B9DC3F9-4F66-5532-7DD1-2648E45FE5E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72" name="Shape 22">
            <a:extLst>
              <a:ext uri="{FF2B5EF4-FFF2-40B4-BE49-F238E27FC236}">
                <a16:creationId xmlns:a16="http://schemas.microsoft.com/office/drawing/2014/main" id="{21809B65-4751-808A-96B6-413D7EFEC55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73" name="Shape 23">
            <a:extLst>
              <a:ext uri="{FF2B5EF4-FFF2-40B4-BE49-F238E27FC236}">
                <a16:creationId xmlns:a16="http://schemas.microsoft.com/office/drawing/2014/main" id="{83F1AB1A-FDD9-4CD2-17A4-1DBEE81BDDB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74" name="Shape 24">
            <a:extLst>
              <a:ext uri="{FF2B5EF4-FFF2-40B4-BE49-F238E27FC236}">
                <a16:creationId xmlns:a16="http://schemas.microsoft.com/office/drawing/2014/main" id="{74152DD1-969E-542C-5FB7-C67649AC612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75" name="Shape 25">
            <a:extLst>
              <a:ext uri="{FF2B5EF4-FFF2-40B4-BE49-F238E27FC236}">
                <a16:creationId xmlns:a16="http://schemas.microsoft.com/office/drawing/2014/main" id="{06BBFE41-B738-F945-63A9-B3E5689B36C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76" name="Shape 26">
            <a:extLst>
              <a:ext uri="{FF2B5EF4-FFF2-40B4-BE49-F238E27FC236}">
                <a16:creationId xmlns:a16="http://schemas.microsoft.com/office/drawing/2014/main" id="{9C41E667-6F09-9BD1-85A2-8FB300232D0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77" name="Shape 27">
            <a:extLst>
              <a:ext uri="{FF2B5EF4-FFF2-40B4-BE49-F238E27FC236}">
                <a16:creationId xmlns:a16="http://schemas.microsoft.com/office/drawing/2014/main" id="{62F5D676-F8CC-6E63-3A63-3F030F41BDD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78" name="Shape 28">
            <a:extLst>
              <a:ext uri="{FF2B5EF4-FFF2-40B4-BE49-F238E27FC236}">
                <a16:creationId xmlns:a16="http://schemas.microsoft.com/office/drawing/2014/main" id="{BFA37766-FA1C-45FC-3759-21577DB52CE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79" name="Shape 29">
            <a:extLst>
              <a:ext uri="{FF2B5EF4-FFF2-40B4-BE49-F238E27FC236}">
                <a16:creationId xmlns:a16="http://schemas.microsoft.com/office/drawing/2014/main" id="{AED49B96-1A9C-546B-4D2B-8BD1A7E221B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80" name="Shape 30">
            <a:extLst>
              <a:ext uri="{FF2B5EF4-FFF2-40B4-BE49-F238E27FC236}">
                <a16:creationId xmlns:a16="http://schemas.microsoft.com/office/drawing/2014/main" id="{F728259B-C9AC-D8D8-6E57-2A05CCE4FCF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81" name="Shape 31">
            <a:extLst>
              <a:ext uri="{FF2B5EF4-FFF2-40B4-BE49-F238E27FC236}">
                <a16:creationId xmlns:a16="http://schemas.microsoft.com/office/drawing/2014/main" id="{3F62CFA7-AE0E-9C64-D6DE-E45DF2F01BD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843</xdr:row>
      <xdr:rowOff>3703</xdr:rowOff>
    </xdr:from>
    <xdr:ext cx="33655" cy="33655"/>
    <xdr:grpSp>
      <xdr:nvGrpSpPr>
        <xdr:cNvPr id="7482" name="Group 32">
          <a:extLst>
            <a:ext uri="{FF2B5EF4-FFF2-40B4-BE49-F238E27FC236}">
              <a16:creationId xmlns:a16="http://schemas.microsoft.com/office/drawing/2014/main" id="{BEA9F57A-E4CF-4787-A02E-3DD0B67D4651}"/>
            </a:ext>
          </a:extLst>
        </xdr:cNvPr>
        <xdr:cNvGrpSpPr/>
      </xdr:nvGrpSpPr>
      <xdr:grpSpPr>
        <a:xfrm>
          <a:off x="4603072" y="155295555"/>
          <a:ext cx="33655" cy="33655"/>
          <a:chOff x="0" y="0"/>
          <a:chExt cx="33655" cy="33655"/>
        </a:xfrm>
      </xdr:grpSpPr>
      <xdr:sp macro="" textlink="">
        <xdr:nvSpPr>
          <xdr:cNvPr id="7483" name="Shape 33">
            <a:extLst>
              <a:ext uri="{FF2B5EF4-FFF2-40B4-BE49-F238E27FC236}">
                <a16:creationId xmlns:a16="http://schemas.microsoft.com/office/drawing/2014/main" id="{4EB9D53E-62E9-D518-5E49-2F248AA9E4F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84" name="Shape 34">
            <a:extLst>
              <a:ext uri="{FF2B5EF4-FFF2-40B4-BE49-F238E27FC236}">
                <a16:creationId xmlns:a16="http://schemas.microsoft.com/office/drawing/2014/main" id="{BACDFE95-555A-058C-08E2-6717B5FB4A4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85" name="Shape 35">
            <a:extLst>
              <a:ext uri="{FF2B5EF4-FFF2-40B4-BE49-F238E27FC236}">
                <a16:creationId xmlns:a16="http://schemas.microsoft.com/office/drawing/2014/main" id="{11091366-1007-BF67-F469-DC7A8F55024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86" name="Shape 36">
            <a:extLst>
              <a:ext uri="{FF2B5EF4-FFF2-40B4-BE49-F238E27FC236}">
                <a16:creationId xmlns:a16="http://schemas.microsoft.com/office/drawing/2014/main" id="{A17AA96B-FC3D-E78F-7786-7D261449313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87" name="Shape 37">
            <a:extLst>
              <a:ext uri="{FF2B5EF4-FFF2-40B4-BE49-F238E27FC236}">
                <a16:creationId xmlns:a16="http://schemas.microsoft.com/office/drawing/2014/main" id="{EC53D097-55D8-3B32-69F0-89FC4E81AAF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88" name="Shape 38">
            <a:extLst>
              <a:ext uri="{FF2B5EF4-FFF2-40B4-BE49-F238E27FC236}">
                <a16:creationId xmlns:a16="http://schemas.microsoft.com/office/drawing/2014/main" id="{BFD8B93C-F055-0B5B-B9F0-E2EBC6ABFD5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89" name="Shape 39">
            <a:extLst>
              <a:ext uri="{FF2B5EF4-FFF2-40B4-BE49-F238E27FC236}">
                <a16:creationId xmlns:a16="http://schemas.microsoft.com/office/drawing/2014/main" id="{FAEB300D-8A3C-FE4E-D02F-4213A46DE69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90" name="Shape 40">
            <a:extLst>
              <a:ext uri="{FF2B5EF4-FFF2-40B4-BE49-F238E27FC236}">
                <a16:creationId xmlns:a16="http://schemas.microsoft.com/office/drawing/2014/main" id="{7F04DD2D-64D0-3DA7-688C-2CD2FC8C5D0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91" name="Shape 41">
            <a:extLst>
              <a:ext uri="{FF2B5EF4-FFF2-40B4-BE49-F238E27FC236}">
                <a16:creationId xmlns:a16="http://schemas.microsoft.com/office/drawing/2014/main" id="{A88F0AFC-C9E2-4815-3D35-444986CB8C0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92" name="Shape 42">
            <a:extLst>
              <a:ext uri="{FF2B5EF4-FFF2-40B4-BE49-F238E27FC236}">
                <a16:creationId xmlns:a16="http://schemas.microsoft.com/office/drawing/2014/main" id="{35EE4F79-4293-ADA5-CBB7-F3A4D0358D4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93" name="Shape 43">
            <a:extLst>
              <a:ext uri="{FF2B5EF4-FFF2-40B4-BE49-F238E27FC236}">
                <a16:creationId xmlns:a16="http://schemas.microsoft.com/office/drawing/2014/main" id="{86213E33-F283-CF58-7940-0841E7C8501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94" name="Shape 44">
            <a:extLst>
              <a:ext uri="{FF2B5EF4-FFF2-40B4-BE49-F238E27FC236}">
                <a16:creationId xmlns:a16="http://schemas.microsoft.com/office/drawing/2014/main" id="{B98D48AF-B382-4029-2EE1-049BF3B880B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95" name="Shape 45">
            <a:extLst>
              <a:ext uri="{FF2B5EF4-FFF2-40B4-BE49-F238E27FC236}">
                <a16:creationId xmlns:a16="http://schemas.microsoft.com/office/drawing/2014/main" id="{C634AD3D-C2DF-FB7E-BAB9-D2EC99BDFCA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496" name="Shape 46">
            <a:extLst>
              <a:ext uri="{FF2B5EF4-FFF2-40B4-BE49-F238E27FC236}">
                <a16:creationId xmlns:a16="http://schemas.microsoft.com/office/drawing/2014/main" id="{E58D33A5-E6AD-6F14-B5C8-5E3A475EB96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843</xdr:row>
      <xdr:rowOff>3409</xdr:rowOff>
    </xdr:from>
    <xdr:ext cx="33655" cy="33655"/>
    <xdr:grpSp>
      <xdr:nvGrpSpPr>
        <xdr:cNvPr id="7497" name="Group 47">
          <a:extLst>
            <a:ext uri="{FF2B5EF4-FFF2-40B4-BE49-F238E27FC236}">
              <a16:creationId xmlns:a16="http://schemas.microsoft.com/office/drawing/2014/main" id="{05D37692-E7FD-4AF7-9B24-39CE4D2792B3}"/>
            </a:ext>
          </a:extLst>
        </xdr:cNvPr>
        <xdr:cNvGrpSpPr/>
      </xdr:nvGrpSpPr>
      <xdr:grpSpPr>
        <a:xfrm>
          <a:off x="4603072" y="155295261"/>
          <a:ext cx="33655" cy="33655"/>
          <a:chOff x="0" y="0"/>
          <a:chExt cx="33655" cy="33655"/>
        </a:xfrm>
      </xdr:grpSpPr>
      <xdr:sp macro="" textlink="">
        <xdr:nvSpPr>
          <xdr:cNvPr id="7498" name="Shape 48">
            <a:extLst>
              <a:ext uri="{FF2B5EF4-FFF2-40B4-BE49-F238E27FC236}">
                <a16:creationId xmlns:a16="http://schemas.microsoft.com/office/drawing/2014/main" id="{4AC336CB-D549-1410-2306-49090F4F0F3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499" name="Shape 49">
            <a:extLst>
              <a:ext uri="{FF2B5EF4-FFF2-40B4-BE49-F238E27FC236}">
                <a16:creationId xmlns:a16="http://schemas.microsoft.com/office/drawing/2014/main" id="{063DC6B5-1A32-D3C7-BC0F-9DBE246CBBC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00" name="Shape 50">
            <a:extLst>
              <a:ext uri="{FF2B5EF4-FFF2-40B4-BE49-F238E27FC236}">
                <a16:creationId xmlns:a16="http://schemas.microsoft.com/office/drawing/2014/main" id="{06C5A189-3B4A-A85A-6773-24E7C88946A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01" name="Shape 51">
            <a:extLst>
              <a:ext uri="{FF2B5EF4-FFF2-40B4-BE49-F238E27FC236}">
                <a16:creationId xmlns:a16="http://schemas.microsoft.com/office/drawing/2014/main" id="{DF9D9DE6-BF2D-22E3-2FE6-D19DBA7C13F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02" name="Shape 52">
            <a:extLst>
              <a:ext uri="{FF2B5EF4-FFF2-40B4-BE49-F238E27FC236}">
                <a16:creationId xmlns:a16="http://schemas.microsoft.com/office/drawing/2014/main" id="{C51609C8-364E-287D-5981-F2845359205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03" name="Shape 53">
            <a:extLst>
              <a:ext uri="{FF2B5EF4-FFF2-40B4-BE49-F238E27FC236}">
                <a16:creationId xmlns:a16="http://schemas.microsoft.com/office/drawing/2014/main" id="{0EF35DDB-441D-45DE-7E2C-46E2DA486E0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04" name="Shape 54">
            <a:extLst>
              <a:ext uri="{FF2B5EF4-FFF2-40B4-BE49-F238E27FC236}">
                <a16:creationId xmlns:a16="http://schemas.microsoft.com/office/drawing/2014/main" id="{5265FE14-1563-BD4B-05A1-98FABDB9906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05" name="Shape 55">
            <a:extLst>
              <a:ext uri="{FF2B5EF4-FFF2-40B4-BE49-F238E27FC236}">
                <a16:creationId xmlns:a16="http://schemas.microsoft.com/office/drawing/2014/main" id="{F13ABC0E-1CF9-6974-88AA-65DD4BDCC89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06" name="Shape 56">
            <a:extLst>
              <a:ext uri="{FF2B5EF4-FFF2-40B4-BE49-F238E27FC236}">
                <a16:creationId xmlns:a16="http://schemas.microsoft.com/office/drawing/2014/main" id="{24202C97-D4FC-CBCA-D741-3C0603925E8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07" name="Shape 57">
            <a:extLst>
              <a:ext uri="{FF2B5EF4-FFF2-40B4-BE49-F238E27FC236}">
                <a16:creationId xmlns:a16="http://schemas.microsoft.com/office/drawing/2014/main" id="{0B5A3FF4-E11A-8686-325C-34B96578EE4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08" name="Shape 58">
            <a:extLst>
              <a:ext uri="{FF2B5EF4-FFF2-40B4-BE49-F238E27FC236}">
                <a16:creationId xmlns:a16="http://schemas.microsoft.com/office/drawing/2014/main" id="{41F34A9A-D8F7-C42E-4118-52651B3E939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09" name="Shape 59">
            <a:extLst>
              <a:ext uri="{FF2B5EF4-FFF2-40B4-BE49-F238E27FC236}">
                <a16:creationId xmlns:a16="http://schemas.microsoft.com/office/drawing/2014/main" id="{7DEB0D2D-889E-7766-F5F8-204A68992CB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10" name="Shape 60">
            <a:extLst>
              <a:ext uri="{FF2B5EF4-FFF2-40B4-BE49-F238E27FC236}">
                <a16:creationId xmlns:a16="http://schemas.microsoft.com/office/drawing/2014/main" id="{58BFF110-5466-59FF-B26E-BE5F9E57747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11" name="Shape 61">
            <a:extLst>
              <a:ext uri="{FF2B5EF4-FFF2-40B4-BE49-F238E27FC236}">
                <a16:creationId xmlns:a16="http://schemas.microsoft.com/office/drawing/2014/main" id="{8817D96B-D745-259A-7B23-E1EEB2619B9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843</xdr:row>
      <xdr:rowOff>3962</xdr:rowOff>
    </xdr:from>
    <xdr:ext cx="33655" cy="33655"/>
    <xdr:grpSp>
      <xdr:nvGrpSpPr>
        <xdr:cNvPr id="7512" name="Group 62">
          <a:extLst>
            <a:ext uri="{FF2B5EF4-FFF2-40B4-BE49-F238E27FC236}">
              <a16:creationId xmlns:a16="http://schemas.microsoft.com/office/drawing/2014/main" id="{875C5F2D-09E0-42FC-A9E4-F2EA76230929}"/>
            </a:ext>
          </a:extLst>
        </xdr:cNvPr>
        <xdr:cNvGrpSpPr/>
      </xdr:nvGrpSpPr>
      <xdr:grpSpPr>
        <a:xfrm>
          <a:off x="4603072" y="155295814"/>
          <a:ext cx="33655" cy="33655"/>
          <a:chOff x="0" y="0"/>
          <a:chExt cx="33655" cy="33655"/>
        </a:xfrm>
      </xdr:grpSpPr>
      <xdr:sp macro="" textlink="">
        <xdr:nvSpPr>
          <xdr:cNvPr id="7513" name="Shape 63">
            <a:extLst>
              <a:ext uri="{FF2B5EF4-FFF2-40B4-BE49-F238E27FC236}">
                <a16:creationId xmlns:a16="http://schemas.microsoft.com/office/drawing/2014/main" id="{0D4D7C91-CDB2-F491-F3A1-C7DBB10451D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14" name="Shape 64">
            <a:extLst>
              <a:ext uri="{FF2B5EF4-FFF2-40B4-BE49-F238E27FC236}">
                <a16:creationId xmlns:a16="http://schemas.microsoft.com/office/drawing/2014/main" id="{D76C405B-D4A8-10A0-7EF3-B39B7095DA6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15" name="Shape 65">
            <a:extLst>
              <a:ext uri="{FF2B5EF4-FFF2-40B4-BE49-F238E27FC236}">
                <a16:creationId xmlns:a16="http://schemas.microsoft.com/office/drawing/2014/main" id="{4F7FA8E8-FF32-BAC4-BF7D-B192EFF381D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16" name="Shape 66">
            <a:extLst>
              <a:ext uri="{FF2B5EF4-FFF2-40B4-BE49-F238E27FC236}">
                <a16:creationId xmlns:a16="http://schemas.microsoft.com/office/drawing/2014/main" id="{5F498E27-3896-A512-A0AB-3A2A7A87819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17" name="Shape 67">
            <a:extLst>
              <a:ext uri="{FF2B5EF4-FFF2-40B4-BE49-F238E27FC236}">
                <a16:creationId xmlns:a16="http://schemas.microsoft.com/office/drawing/2014/main" id="{FEC6B484-7C90-EB0E-11B4-8CEA1C15A05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18" name="Shape 68">
            <a:extLst>
              <a:ext uri="{FF2B5EF4-FFF2-40B4-BE49-F238E27FC236}">
                <a16:creationId xmlns:a16="http://schemas.microsoft.com/office/drawing/2014/main" id="{E5AA676D-7F89-BE75-F6FA-AAB8818B57E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19" name="Shape 69">
            <a:extLst>
              <a:ext uri="{FF2B5EF4-FFF2-40B4-BE49-F238E27FC236}">
                <a16:creationId xmlns:a16="http://schemas.microsoft.com/office/drawing/2014/main" id="{FE220CBA-E790-0B64-B520-9E6C5B8310E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20" name="Shape 70">
            <a:extLst>
              <a:ext uri="{FF2B5EF4-FFF2-40B4-BE49-F238E27FC236}">
                <a16:creationId xmlns:a16="http://schemas.microsoft.com/office/drawing/2014/main" id="{6C4F645E-9BC8-9CB4-5BA9-CC799831BA8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21" name="Shape 71">
            <a:extLst>
              <a:ext uri="{FF2B5EF4-FFF2-40B4-BE49-F238E27FC236}">
                <a16:creationId xmlns:a16="http://schemas.microsoft.com/office/drawing/2014/main" id="{5DFCCF89-8DA4-4DFA-D2AF-B4E638B0980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22" name="Shape 72">
            <a:extLst>
              <a:ext uri="{FF2B5EF4-FFF2-40B4-BE49-F238E27FC236}">
                <a16:creationId xmlns:a16="http://schemas.microsoft.com/office/drawing/2014/main" id="{8E249061-9994-8AED-8C67-8AB742FF6ED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23" name="Shape 73">
            <a:extLst>
              <a:ext uri="{FF2B5EF4-FFF2-40B4-BE49-F238E27FC236}">
                <a16:creationId xmlns:a16="http://schemas.microsoft.com/office/drawing/2014/main" id="{ADFD0CD5-1CCC-DA1E-C4A7-99B14359003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24" name="Shape 74">
            <a:extLst>
              <a:ext uri="{FF2B5EF4-FFF2-40B4-BE49-F238E27FC236}">
                <a16:creationId xmlns:a16="http://schemas.microsoft.com/office/drawing/2014/main" id="{EFED53E5-1B23-9C8D-1400-C6E1C4F6754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25" name="Shape 75">
            <a:extLst>
              <a:ext uri="{FF2B5EF4-FFF2-40B4-BE49-F238E27FC236}">
                <a16:creationId xmlns:a16="http://schemas.microsoft.com/office/drawing/2014/main" id="{AE10BEC2-3823-BAE7-21CF-E91CE4B7DAC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26" name="Shape 76">
            <a:extLst>
              <a:ext uri="{FF2B5EF4-FFF2-40B4-BE49-F238E27FC236}">
                <a16:creationId xmlns:a16="http://schemas.microsoft.com/office/drawing/2014/main" id="{71EB4E79-2B07-34AB-B2C1-E9B3CA373EC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854</xdr:row>
      <xdr:rowOff>2978</xdr:rowOff>
    </xdr:from>
    <xdr:ext cx="33655" cy="33655"/>
    <xdr:grpSp>
      <xdr:nvGrpSpPr>
        <xdr:cNvPr id="7527" name="Group 2">
          <a:extLst>
            <a:ext uri="{FF2B5EF4-FFF2-40B4-BE49-F238E27FC236}">
              <a16:creationId xmlns:a16="http://schemas.microsoft.com/office/drawing/2014/main" id="{A45D0B0B-7D7D-4A6F-98EA-D8D44A9620DC}"/>
            </a:ext>
          </a:extLst>
        </xdr:cNvPr>
        <xdr:cNvGrpSpPr/>
      </xdr:nvGrpSpPr>
      <xdr:grpSpPr>
        <a:xfrm>
          <a:off x="4603072" y="157287273"/>
          <a:ext cx="33655" cy="33655"/>
          <a:chOff x="0" y="0"/>
          <a:chExt cx="33655" cy="33655"/>
        </a:xfrm>
      </xdr:grpSpPr>
      <xdr:sp macro="" textlink="">
        <xdr:nvSpPr>
          <xdr:cNvPr id="7528" name="Shape 3">
            <a:extLst>
              <a:ext uri="{FF2B5EF4-FFF2-40B4-BE49-F238E27FC236}">
                <a16:creationId xmlns:a16="http://schemas.microsoft.com/office/drawing/2014/main" id="{7F208DEF-BD18-CE84-8006-0BA7334094B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29" name="Shape 4">
            <a:extLst>
              <a:ext uri="{FF2B5EF4-FFF2-40B4-BE49-F238E27FC236}">
                <a16:creationId xmlns:a16="http://schemas.microsoft.com/office/drawing/2014/main" id="{B7E6F8A5-324C-2E40-62CC-00491362659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30" name="Shape 5">
            <a:extLst>
              <a:ext uri="{FF2B5EF4-FFF2-40B4-BE49-F238E27FC236}">
                <a16:creationId xmlns:a16="http://schemas.microsoft.com/office/drawing/2014/main" id="{719AEFA7-7F5C-AF2A-7BCD-90CB69283FA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31" name="Shape 6">
            <a:extLst>
              <a:ext uri="{FF2B5EF4-FFF2-40B4-BE49-F238E27FC236}">
                <a16:creationId xmlns:a16="http://schemas.microsoft.com/office/drawing/2014/main" id="{DE32D0DC-C64B-0106-930C-1E8116B2139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32" name="Shape 7">
            <a:extLst>
              <a:ext uri="{FF2B5EF4-FFF2-40B4-BE49-F238E27FC236}">
                <a16:creationId xmlns:a16="http://schemas.microsoft.com/office/drawing/2014/main" id="{E34861DD-AA3F-35D7-9C9F-64560A3864B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33" name="Shape 8">
            <a:extLst>
              <a:ext uri="{FF2B5EF4-FFF2-40B4-BE49-F238E27FC236}">
                <a16:creationId xmlns:a16="http://schemas.microsoft.com/office/drawing/2014/main" id="{69B991BE-8829-AD9C-D376-7A93D6F115E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34" name="Shape 9">
            <a:extLst>
              <a:ext uri="{FF2B5EF4-FFF2-40B4-BE49-F238E27FC236}">
                <a16:creationId xmlns:a16="http://schemas.microsoft.com/office/drawing/2014/main" id="{2B3E12EB-6EEE-1554-E359-6FAEC68A241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35" name="Shape 10">
            <a:extLst>
              <a:ext uri="{FF2B5EF4-FFF2-40B4-BE49-F238E27FC236}">
                <a16:creationId xmlns:a16="http://schemas.microsoft.com/office/drawing/2014/main" id="{B77E0409-FA5E-11BE-AB35-96EAD33F59B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36" name="Shape 11">
            <a:extLst>
              <a:ext uri="{FF2B5EF4-FFF2-40B4-BE49-F238E27FC236}">
                <a16:creationId xmlns:a16="http://schemas.microsoft.com/office/drawing/2014/main" id="{821F1355-FB1A-E898-0088-BC0B53D2A2E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37" name="Shape 12">
            <a:extLst>
              <a:ext uri="{FF2B5EF4-FFF2-40B4-BE49-F238E27FC236}">
                <a16:creationId xmlns:a16="http://schemas.microsoft.com/office/drawing/2014/main" id="{3FA142B2-121F-E986-8ECA-C51FCBC4612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38" name="Shape 13">
            <a:extLst>
              <a:ext uri="{FF2B5EF4-FFF2-40B4-BE49-F238E27FC236}">
                <a16:creationId xmlns:a16="http://schemas.microsoft.com/office/drawing/2014/main" id="{C9C8FBB1-2CFD-2E6C-3BAC-DEED177CEDC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39" name="Shape 14">
            <a:extLst>
              <a:ext uri="{FF2B5EF4-FFF2-40B4-BE49-F238E27FC236}">
                <a16:creationId xmlns:a16="http://schemas.microsoft.com/office/drawing/2014/main" id="{30994313-070C-081A-E351-795237C0F85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40" name="Shape 15">
            <a:extLst>
              <a:ext uri="{FF2B5EF4-FFF2-40B4-BE49-F238E27FC236}">
                <a16:creationId xmlns:a16="http://schemas.microsoft.com/office/drawing/2014/main" id="{CDD1E1AD-350E-696A-3682-79FC5FC94BB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41" name="Shape 16">
            <a:extLst>
              <a:ext uri="{FF2B5EF4-FFF2-40B4-BE49-F238E27FC236}">
                <a16:creationId xmlns:a16="http://schemas.microsoft.com/office/drawing/2014/main" id="{6975F28A-AA1E-C78F-6E2F-125CFE06102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854</xdr:row>
      <xdr:rowOff>3246</xdr:rowOff>
    </xdr:from>
    <xdr:ext cx="33655" cy="33655"/>
    <xdr:grpSp>
      <xdr:nvGrpSpPr>
        <xdr:cNvPr id="7542" name="Group 17">
          <a:extLst>
            <a:ext uri="{FF2B5EF4-FFF2-40B4-BE49-F238E27FC236}">
              <a16:creationId xmlns:a16="http://schemas.microsoft.com/office/drawing/2014/main" id="{660488E3-2C74-4B90-A822-05D181383202}"/>
            </a:ext>
          </a:extLst>
        </xdr:cNvPr>
        <xdr:cNvGrpSpPr/>
      </xdr:nvGrpSpPr>
      <xdr:grpSpPr>
        <a:xfrm>
          <a:off x="4603072" y="157287541"/>
          <a:ext cx="33655" cy="33655"/>
          <a:chOff x="0" y="0"/>
          <a:chExt cx="33655" cy="33655"/>
        </a:xfrm>
      </xdr:grpSpPr>
      <xdr:sp macro="" textlink="">
        <xdr:nvSpPr>
          <xdr:cNvPr id="7543" name="Shape 18">
            <a:extLst>
              <a:ext uri="{FF2B5EF4-FFF2-40B4-BE49-F238E27FC236}">
                <a16:creationId xmlns:a16="http://schemas.microsoft.com/office/drawing/2014/main" id="{5EC00DE8-0C00-2F50-AF1E-99EAE21B1AE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44" name="Shape 19">
            <a:extLst>
              <a:ext uri="{FF2B5EF4-FFF2-40B4-BE49-F238E27FC236}">
                <a16:creationId xmlns:a16="http://schemas.microsoft.com/office/drawing/2014/main" id="{5A474FB1-4DA7-DD7A-68AD-BCB4073EA35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45" name="Shape 20">
            <a:extLst>
              <a:ext uri="{FF2B5EF4-FFF2-40B4-BE49-F238E27FC236}">
                <a16:creationId xmlns:a16="http://schemas.microsoft.com/office/drawing/2014/main" id="{9DFDB3E1-8F43-BBDF-D3DE-C113DA52905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46" name="Shape 21">
            <a:extLst>
              <a:ext uri="{FF2B5EF4-FFF2-40B4-BE49-F238E27FC236}">
                <a16:creationId xmlns:a16="http://schemas.microsoft.com/office/drawing/2014/main" id="{FFE5EDD3-5D37-958F-2F4C-E1A90180F51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47" name="Shape 22">
            <a:extLst>
              <a:ext uri="{FF2B5EF4-FFF2-40B4-BE49-F238E27FC236}">
                <a16:creationId xmlns:a16="http://schemas.microsoft.com/office/drawing/2014/main" id="{92CEAE63-F469-4925-188C-EF61F7DC49D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48" name="Shape 23">
            <a:extLst>
              <a:ext uri="{FF2B5EF4-FFF2-40B4-BE49-F238E27FC236}">
                <a16:creationId xmlns:a16="http://schemas.microsoft.com/office/drawing/2014/main" id="{E0CA253E-1928-8A49-3980-EB2AB7453F8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49" name="Shape 24">
            <a:extLst>
              <a:ext uri="{FF2B5EF4-FFF2-40B4-BE49-F238E27FC236}">
                <a16:creationId xmlns:a16="http://schemas.microsoft.com/office/drawing/2014/main" id="{CEAB8769-3A41-794E-6A47-E2960888C49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50" name="Shape 25">
            <a:extLst>
              <a:ext uri="{FF2B5EF4-FFF2-40B4-BE49-F238E27FC236}">
                <a16:creationId xmlns:a16="http://schemas.microsoft.com/office/drawing/2014/main" id="{60EBF509-8979-80DE-6266-4D8E1938D4F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51" name="Shape 26">
            <a:extLst>
              <a:ext uri="{FF2B5EF4-FFF2-40B4-BE49-F238E27FC236}">
                <a16:creationId xmlns:a16="http://schemas.microsoft.com/office/drawing/2014/main" id="{629923EF-D4A6-D532-F68E-4493AA3A235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52" name="Shape 27">
            <a:extLst>
              <a:ext uri="{FF2B5EF4-FFF2-40B4-BE49-F238E27FC236}">
                <a16:creationId xmlns:a16="http://schemas.microsoft.com/office/drawing/2014/main" id="{E3F98B57-147D-6E23-0E51-EB5AB615977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53" name="Shape 28">
            <a:extLst>
              <a:ext uri="{FF2B5EF4-FFF2-40B4-BE49-F238E27FC236}">
                <a16:creationId xmlns:a16="http://schemas.microsoft.com/office/drawing/2014/main" id="{44667AFF-28B7-035F-2D62-FBC5AEF3410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54" name="Shape 29">
            <a:extLst>
              <a:ext uri="{FF2B5EF4-FFF2-40B4-BE49-F238E27FC236}">
                <a16:creationId xmlns:a16="http://schemas.microsoft.com/office/drawing/2014/main" id="{3A5B3762-E8B5-4486-DC14-1C44E9FACF2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55" name="Shape 30">
            <a:extLst>
              <a:ext uri="{FF2B5EF4-FFF2-40B4-BE49-F238E27FC236}">
                <a16:creationId xmlns:a16="http://schemas.microsoft.com/office/drawing/2014/main" id="{8C7F9233-3029-776C-8B63-02DA3EA885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56" name="Shape 31">
            <a:extLst>
              <a:ext uri="{FF2B5EF4-FFF2-40B4-BE49-F238E27FC236}">
                <a16:creationId xmlns:a16="http://schemas.microsoft.com/office/drawing/2014/main" id="{B05D168A-03F7-EE1F-D3B5-693D7756227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854</xdr:row>
      <xdr:rowOff>3703</xdr:rowOff>
    </xdr:from>
    <xdr:ext cx="33655" cy="33655"/>
    <xdr:grpSp>
      <xdr:nvGrpSpPr>
        <xdr:cNvPr id="7557" name="Group 32">
          <a:extLst>
            <a:ext uri="{FF2B5EF4-FFF2-40B4-BE49-F238E27FC236}">
              <a16:creationId xmlns:a16="http://schemas.microsoft.com/office/drawing/2014/main" id="{9144A80C-5C89-48EA-9610-5871E417FD0D}"/>
            </a:ext>
          </a:extLst>
        </xdr:cNvPr>
        <xdr:cNvGrpSpPr/>
      </xdr:nvGrpSpPr>
      <xdr:grpSpPr>
        <a:xfrm>
          <a:off x="4603072" y="157287998"/>
          <a:ext cx="33655" cy="33655"/>
          <a:chOff x="0" y="0"/>
          <a:chExt cx="33655" cy="33655"/>
        </a:xfrm>
      </xdr:grpSpPr>
      <xdr:sp macro="" textlink="">
        <xdr:nvSpPr>
          <xdr:cNvPr id="7558" name="Shape 33">
            <a:extLst>
              <a:ext uri="{FF2B5EF4-FFF2-40B4-BE49-F238E27FC236}">
                <a16:creationId xmlns:a16="http://schemas.microsoft.com/office/drawing/2014/main" id="{1A0DB7ED-8A76-9848-32D4-74D454143CA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59" name="Shape 34">
            <a:extLst>
              <a:ext uri="{FF2B5EF4-FFF2-40B4-BE49-F238E27FC236}">
                <a16:creationId xmlns:a16="http://schemas.microsoft.com/office/drawing/2014/main" id="{35910B1A-ADDE-8470-A484-EF882A99109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60" name="Shape 35">
            <a:extLst>
              <a:ext uri="{FF2B5EF4-FFF2-40B4-BE49-F238E27FC236}">
                <a16:creationId xmlns:a16="http://schemas.microsoft.com/office/drawing/2014/main" id="{4778838D-3449-E182-2278-B16A0DC0114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61" name="Shape 36">
            <a:extLst>
              <a:ext uri="{FF2B5EF4-FFF2-40B4-BE49-F238E27FC236}">
                <a16:creationId xmlns:a16="http://schemas.microsoft.com/office/drawing/2014/main" id="{40CCE5FB-3626-CE4F-CA9A-17F603507D4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62" name="Shape 37">
            <a:extLst>
              <a:ext uri="{FF2B5EF4-FFF2-40B4-BE49-F238E27FC236}">
                <a16:creationId xmlns:a16="http://schemas.microsoft.com/office/drawing/2014/main" id="{97ECC9BA-84AD-4F12-EE54-80F24715CAD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63" name="Shape 38">
            <a:extLst>
              <a:ext uri="{FF2B5EF4-FFF2-40B4-BE49-F238E27FC236}">
                <a16:creationId xmlns:a16="http://schemas.microsoft.com/office/drawing/2014/main" id="{D703D041-BD63-89B3-78BA-AA124027AA4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64" name="Shape 39">
            <a:extLst>
              <a:ext uri="{FF2B5EF4-FFF2-40B4-BE49-F238E27FC236}">
                <a16:creationId xmlns:a16="http://schemas.microsoft.com/office/drawing/2014/main" id="{D05E2BA1-7275-1A6B-33F6-68F152D66D0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65" name="Shape 40">
            <a:extLst>
              <a:ext uri="{FF2B5EF4-FFF2-40B4-BE49-F238E27FC236}">
                <a16:creationId xmlns:a16="http://schemas.microsoft.com/office/drawing/2014/main" id="{CCD853C4-35CD-E958-4E6C-0BEE693797B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66" name="Shape 41">
            <a:extLst>
              <a:ext uri="{FF2B5EF4-FFF2-40B4-BE49-F238E27FC236}">
                <a16:creationId xmlns:a16="http://schemas.microsoft.com/office/drawing/2014/main" id="{768C851E-60B2-AA51-E304-82D964C8686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67" name="Shape 42">
            <a:extLst>
              <a:ext uri="{FF2B5EF4-FFF2-40B4-BE49-F238E27FC236}">
                <a16:creationId xmlns:a16="http://schemas.microsoft.com/office/drawing/2014/main" id="{0B548F41-BF86-2E98-9870-72EB54DFFC5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68" name="Shape 43">
            <a:extLst>
              <a:ext uri="{FF2B5EF4-FFF2-40B4-BE49-F238E27FC236}">
                <a16:creationId xmlns:a16="http://schemas.microsoft.com/office/drawing/2014/main" id="{B7124A62-D6D7-96C2-F8F7-9793C8644C5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69" name="Shape 44">
            <a:extLst>
              <a:ext uri="{FF2B5EF4-FFF2-40B4-BE49-F238E27FC236}">
                <a16:creationId xmlns:a16="http://schemas.microsoft.com/office/drawing/2014/main" id="{DA2C783C-C8BA-4351-5FC6-A26C63484EF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70" name="Shape 45">
            <a:extLst>
              <a:ext uri="{FF2B5EF4-FFF2-40B4-BE49-F238E27FC236}">
                <a16:creationId xmlns:a16="http://schemas.microsoft.com/office/drawing/2014/main" id="{5B4A0144-0A97-A498-6B81-0F41DDAF3F6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71" name="Shape 46">
            <a:extLst>
              <a:ext uri="{FF2B5EF4-FFF2-40B4-BE49-F238E27FC236}">
                <a16:creationId xmlns:a16="http://schemas.microsoft.com/office/drawing/2014/main" id="{12CABE74-4814-A3EA-8A86-B373EC77444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854</xdr:row>
      <xdr:rowOff>3409</xdr:rowOff>
    </xdr:from>
    <xdr:ext cx="33655" cy="33655"/>
    <xdr:grpSp>
      <xdr:nvGrpSpPr>
        <xdr:cNvPr id="7572" name="Group 47">
          <a:extLst>
            <a:ext uri="{FF2B5EF4-FFF2-40B4-BE49-F238E27FC236}">
              <a16:creationId xmlns:a16="http://schemas.microsoft.com/office/drawing/2014/main" id="{74B69B30-F072-4A66-8C03-F68346B5CB69}"/>
            </a:ext>
          </a:extLst>
        </xdr:cNvPr>
        <xdr:cNvGrpSpPr/>
      </xdr:nvGrpSpPr>
      <xdr:grpSpPr>
        <a:xfrm>
          <a:off x="4603072" y="157287704"/>
          <a:ext cx="33655" cy="33655"/>
          <a:chOff x="0" y="0"/>
          <a:chExt cx="33655" cy="33655"/>
        </a:xfrm>
      </xdr:grpSpPr>
      <xdr:sp macro="" textlink="">
        <xdr:nvSpPr>
          <xdr:cNvPr id="7573" name="Shape 48">
            <a:extLst>
              <a:ext uri="{FF2B5EF4-FFF2-40B4-BE49-F238E27FC236}">
                <a16:creationId xmlns:a16="http://schemas.microsoft.com/office/drawing/2014/main" id="{1F5646BD-427F-53CF-5D8F-89B57DBCE59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74" name="Shape 49">
            <a:extLst>
              <a:ext uri="{FF2B5EF4-FFF2-40B4-BE49-F238E27FC236}">
                <a16:creationId xmlns:a16="http://schemas.microsoft.com/office/drawing/2014/main" id="{596C8883-3875-06E9-C15E-6A4ADDD8EA7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75" name="Shape 50">
            <a:extLst>
              <a:ext uri="{FF2B5EF4-FFF2-40B4-BE49-F238E27FC236}">
                <a16:creationId xmlns:a16="http://schemas.microsoft.com/office/drawing/2014/main" id="{8B7CFF9E-7554-7AD4-59AB-DB50FF9F3AA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76" name="Shape 51">
            <a:extLst>
              <a:ext uri="{FF2B5EF4-FFF2-40B4-BE49-F238E27FC236}">
                <a16:creationId xmlns:a16="http://schemas.microsoft.com/office/drawing/2014/main" id="{B2B2FC40-72CF-087C-3C47-8CB3A1D98ED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77" name="Shape 52">
            <a:extLst>
              <a:ext uri="{FF2B5EF4-FFF2-40B4-BE49-F238E27FC236}">
                <a16:creationId xmlns:a16="http://schemas.microsoft.com/office/drawing/2014/main" id="{8D5CC38C-FBA2-1E27-8C74-76C3F12D59C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78" name="Shape 53">
            <a:extLst>
              <a:ext uri="{FF2B5EF4-FFF2-40B4-BE49-F238E27FC236}">
                <a16:creationId xmlns:a16="http://schemas.microsoft.com/office/drawing/2014/main" id="{23D4268E-190C-6E49-673C-7AB21C709C9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79" name="Shape 54">
            <a:extLst>
              <a:ext uri="{FF2B5EF4-FFF2-40B4-BE49-F238E27FC236}">
                <a16:creationId xmlns:a16="http://schemas.microsoft.com/office/drawing/2014/main" id="{444EB2B3-59ED-C07A-D7E4-F8B28F6C204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80" name="Shape 55">
            <a:extLst>
              <a:ext uri="{FF2B5EF4-FFF2-40B4-BE49-F238E27FC236}">
                <a16:creationId xmlns:a16="http://schemas.microsoft.com/office/drawing/2014/main" id="{4834A2C6-E11C-AE52-546E-CB312AB0E64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81" name="Shape 56">
            <a:extLst>
              <a:ext uri="{FF2B5EF4-FFF2-40B4-BE49-F238E27FC236}">
                <a16:creationId xmlns:a16="http://schemas.microsoft.com/office/drawing/2014/main" id="{61669466-3898-29FD-C6D8-BFD05D5A7F5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82" name="Shape 57">
            <a:extLst>
              <a:ext uri="{FF2B5EF4-FFF2-40B4-BE49-F238E27FC236}">
                <a16:creationId xmlns:a16="http://schemas.microsoft.com/office/drawing/2014/main" id="{70C32E38-F5F9-CB04-823F-1638780BD64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83" name="Shape 58">
            <a:extLst>
              <a:ext uri="{FF2B5EF4-FFF2-40B4-BE49-F238E27FC236}">
                <a16:creationId xmlns:a16="http://schemas.microsoft.com/office/drawing/2014/main" id="{972EEC30-5522-3F1A-F293-513744DF396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84" name="Shape 59">
            <a:extLst>
              <a:ext uri="{FF2B5EF4-FFF2-40B4-BE49-F238E27FC236}">
                <a16:creationId xmlns:a16="http://schemas.microsoft.com/office/drawing/2014/main" id="{341E2612-4A41-42A6-4E67-E912B1017F6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85" name="Shape 60">
            <a:extLst>
              <a:ext uri="{FF2B5EF4-FFF2-40B4-BE49-F238E27FC236}">
                <a16:creationId xmlns:a16="http://schemas.microsoft.com/office/drawing/2014/main" id="{C55D4427-2EA9-A36A-01DE-266B0AC84EB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586" name="Shape 61">
            <a:extLst>
              <a:ext uri="{FF2B5EF4-FFF2-40B4-BE49-F238E27FC236}">
                <a16:creationId xmlns:a16="http://schemas.microsoft.com/office/drawing/2014/main" id="{AFBD8C73-BAB5-DD67-776C-492248C68E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854</xdr:row>
      <xdr:rowOff>3962</xdr:rowOff>
    </xdr:from>
    <xdr:ext cx="33655" cy="33655"/>
    <xdr:grpSp>
      <xdr:nvGrpSpPr>
        <xdr:cNvPr id="7587" name="Group 62">
          <a:extLst>
            <a:ext uri="{FF2B5EF4-FFF2-40B4-BE49-F238E27FC236}">
              <a16:creationId xmlns:a16="http://schemas.microsoft.com/office/drawing/2014/main" id="{0D1F2C83-EDEE-4615-BCC7-2E6C974B4CF3}"/>
            </a:ext>
          </a:extLst>
        </xdr:cNvPr>
        <xdr:cNvGrpSpPr/>
      </xdr:nvGrpSpPr>
      <xdr:grpSpPr>
        <a:xfrm>
          <a:off x="4603072" y="157288257"/>
          <a:ext cx="33655" cy="33655"/>
          <a:chOff x="0" y="0"/>
          <a:chExt cx="33655" cy="33655"/>
        </a:xfrm>
      </xdr:grpSpPr>
      <xdr:sp macro="" textlink="">
        <xdr:nvSpPr>
          <xdr:cNvPr id="7588" name="Shape 63">
            <a:extLst>
              <a:ext uri="{FF2B5EF4-FFF2-40B4-BE49-F238E27FC236}">
                <a16:creationId xmlns:a16="http://schemas.microsoft.com/office/drawing/2014/main" id="{A992CE20-481D-76DD-2A2B-E8247D210FF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89" name="Shape 64">
            <a:extLst>
              <a:ext uri="{FF2B5EF4-FFF2-40B4-BE49-F238E27FC236}">
                <a16:creationId xmlns:a16="http://schemas.microsoft.com/office/drawing/2014/main" id="{1879B38B-E1DB-86B4-85F8-09C7168019C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90" name="Shape 65">
            <a:extLst>
              <a:ext uri="{FF2B5EF4-FFF2-40B4-BE49-F238E27FC236}">
                <a16:creationId xmlns:a16="http://schemas.microsoft.com/office/drawing/2014/main" id="{236A372B-21CC-7C33-E1B2-09552F3A3D9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91" name="Shape 66">
            <a:extLst>
              <a:ext uri="{FF2B5EF4-FFF2-40B4-BE49-F238E27FC236}">
                <a16:creationId xmlns:a16="http://schemas.microsoft.com/office/drawing/2014/main" id="{6AD91F92-831C-6AEC-C183-7C4F3712EDD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92" name="Shape 67">
            <a:extLst>
              <a:ext uri="{FF2B5EF4-FFF2-40B4-BE49-F238E27FC236}">
                <a16:creationId xmlns:a16="http://schemas.microsoft.com/office/drawing/2014/main" id="{36413BAF-7C67-5A12-867C-A618CB993DE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93" name="Shape 68">
            <a:extLst>
              <a:ext uri="{FF2B5EF4-FFF2-40B4-BE49-F238E27FC236}">
                <a16:creationId xmlns:a16="http://schemas.microsoft.com/office/drawing/2014/main" id="{1D9AE3E9-0ACA-DEED-558B-D08E27AE6FC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94" name="Shape 69">
            <a:extLst>
              <a:ext uri="{FF2B5EF4-FFF2-40B4-BE49-F238E27FC236}">
                <a16:creationId xmlns:a16="http://schemas.microsoft.com/office/drawing/2014/main" id="{A0B497D6-38BB-E4B0-25C7-8D101314FB4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95" name="Shape 70">
            <a:extLst>
              <a:ext uri="{FF2B5EF4-FFF2-40B4-BE49-F238E27FC236}">
                <a16:creationId xmlns:a16="http://schemas.microsoft.com/office/drawing/2014/main" id="{1826FD86-B583-7570-2582-583CD52C5F7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96" name="Shape 71">
            <a:extLst>
              <a:ext uri="{FF2B5EF4-FFF2-40B4-BE49-F238E27FC236}">
                <a16:creationId xmlns:a16="http://schemas.microsoft.com/office/drawing/2014/main" id="{5D1DFD21-CD10-0DC1-B20F-E793CCB19C6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97" name="Shape 72">
            <a:extLst>
              <a:ext uri="{FF2B5EF4-FFF2-40B4-BE49-F238E27FC236}">
                <a16:creationId xmlns:a16="http://schemas.microsoft.com/office/drawing/2014/main" id="{07311301-9BA0-53E7-2DB4-DC42EE8FA73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598" name="Shape 73">
            <a:extLst>
              <a:ext uri="{FF2B5EF4-FFF2-40B4-BE49-F238E27FC236}">
                <a16:creationId xmlns:a16="http://schemas.microsoft.com/office/drawing/2014/main" id="{B28A450E-8576-7D42-4B94-668DFF6ED80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599" name="Shape 74">
            <a:extLst>
              <a:ext uri="{FF2B5EF4-FFF2-40B4-BE49-F238E27FC236}">
                <a16:creationId xmlns:a16="http://schemas.microsoft.com/office/drawing/2014/main" id="{2D729EB0-B3CB-8438-7348-9388E8C76EB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00" name="Shape 75">
            <a:extLst>
              <a:ext uri="{FF2B5EF4-FFF2-40B4-BE49-F238E27FC236}">
                <a16:creationId xmlns:a16="http://schemas.microsoft.com/office/drawing/2014/main" id="{D53D2779-41E6-AA94-2F1B-E6840518CFD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01" name="Shape 76">
            <a:extLst>
              <a:ext uri="{FF2B5EF4-FFF2-40B4-BE49-F238E27FC236}">
                <a16:creationId xmlns:a16="http://schemas.microsoft.com/office/drawing/2014/main" id="{6A230882-D45A-3086-B331-2CF0D81CF1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854</xdr:row>
      <xdr:rowOff>2978</xdr:rowOff>
    </xdr:from>
    <xdr:ext cx="33655" cy="33655"/>
    <xdr:grpSp>
      <xdr:nvGrpSpPr>
        <xdr:cNvPr id="7602" name="Group 2">
          <a:extLst>
            <a:ext uri="{FF2B5EF4-FFF2-40B4-BE49-F238E27FC236}">
              <a16:creationId xmlns:a16="http://schemas.microsoft.com/office/drawing/2014/main" id="{332B2008-0D0F-451B-8B37-534904B5316F}"/>
            </a:ext>
          </a:extLst>
        </xdr:cNvPr>
        <xdr:cNvGrpSpPr/>
      </xdr:nvGrpSpPr>
      <xdr:grpSpPr>
        <a:xfrm>
          <a:off x="4603072" y="157287273"/>
          <a:ext cx="33655" cy="33655"/>
          <a:chOff x="0" y="0"/>
          <a:chExt cx="33655" cy="33655"/>
        </a:xfrm>
      </xdr:grpSpPr>
      <xdr:sp macro="" textlink="">
        <xdr:nvSpPr>
          <xdr:cNvPr id="7603" name="Shape 3">
            <a:extLst>
              <a:ext uri="{FF2B5EF4-FFF2-40B4-BE49-F238E27FC236}">
                <a16:creationId xmlns:a16="http://schemas.microsoft.com/office/drawing/2014/main" id="{405B7307-8432-B462-2D5E-0D4F87CD277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04" name="Shape 4">
            <a:extLst>
              <a:ext uri="{FF2B5EF4-FFF2-40B4-BE49-F238E27FC236}">
                <a16:creationId xmlns:a16="http://schemas.microsoft.com/office/drawing/2014/main" id="{D44BF003-D0E6-0E27-23F4-65857070404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05" name="Shape 5">
            <a:extLst>
              <a:ext uri="{FF2B5EF4-FFF2-40B4-BE49-F238E27FC236}">
                <a16:creationId xmlns:a16="http://schemas.microsoft.com/office/drawing/2014/main" id="{EEEAFF12-F0DB-85CB-95EC-CAC6D6F9074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06" name="Shape 6">
            <a:extLst>
              <a:ext uri="{FF2B5EF4-FFF2-40B4-BE49-F238E27FC236}">
                <a16:creationId xmlns:a16="http://schemas.microsoft.com/office/drawing/2014/main" id="{FBAAEC37-6781-6959-4D7D-698F189F013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07" name="Shape 7">
            <a:extLst>
              <a:ext uri="{FF2B5EF4-FFF2-40B4-BE49-F238E27FC236}">
                <a16:creationId xmlns:a16="http://schemas.microsoft.com/office/drawing/2014/main" id="{CF1E8778-8AC8-2831-57FD-3C4FF2764FD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08" name="Shape 8">
            <a:extLst>
              <a:ext uri="{FF2B5EF4-FFF2-40B4-BE49-F238E27FC236}">
                <a16:creationId xmlns:a16="http://schemas.microsoft.com/office/drawing/2014/main" id="{E631F69B-70B6-C952-5E5B-9ED36A306AB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09" name="Shape 9">
            <a:extLst>
              <a:ext uri="{FF2B5EF4-FFF2-40B4-BE49-F238E27FC236}">
                <a16:creationId xmlns:a16="http://schemas.microsoft.com/office/drawing/2014/main" id="{C3902F03-5142-D33D-BF65-01A11C34C98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10" name="Shape 10">
            <a:extLst>
              <a:ext uri="{FF2B5EF4-FFF2-40B4-BE49-F238E27FC236}">
                <a16:creationId xmlns:a16="http://schemas.microsoft.com/office/drawing/2014/main" id="{C3537C24-6B42-DE99-510F-157DE11B73E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11" name="Shape 11">
            <a:extLst>
              <a:ext uri="{FF2B5EF4-FFF2-40B4-BE49-F238E27FC236}">
                <a16:creationId xmlns:a16="http://schemas.microsoft.com/office/drawing/2014/main" id="{A6A1B2B7-CF66-3699-B6B6-305DD418278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12" name="Shape 12">
            <a:extLst>
              <a:ext uri="{FF2B5EF4-FFF2-40B4-BE49-F238E27FC236}">
                <a16:creationId xmlns:a16="http://schemas.microsoft.com/office/drawing/2014/main" id="{D4348B23-3888-33CE-DFD4-D0C4416A311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13" name="Shape 13">
            <a:extLst>
              <a:ext uri="{FF2B5EF4-FFF2-40B4-BE49-F238E27FC236}">
                <a16:creationId xmlns:a16="http://schemas.microsoft.com/office/drawing/2014/main" id="{F1E02388-5C11-50AB-393E-83AFE0CC7F9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14" name="Shape 14">
            <a:extLst>
              <a:ext uri="{FF2B5EF4-FFF2-40B4-BE49-F238E27FC236}">
                <a16:creationId xmlns:a16="http://schemas.microsoft.com/office/drawing/2014/main" id="{4F7F5109-F3D9-52FA-1FFA-F99BDAE8FF3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15" name="Shape 15">
            <a:extLst>
              <a:ext uri="{FF2B5EF4-FFF2-40B4-BE49-F238E27FC236}">
                <a16:creationId xmlns:a16="http://schemas.microsoft.com/office/drawing/2014/main" id="{2585E6D1-CCC4-5EE1-9610-E216C12CC10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16" name="Shape 16">
            <a:extLst>
              <a:ext uri="{FF2B5EF4-FFF2-40B4-BE49-F238E27FC236}">
                <a16:creationId xmlns:a16="http://schemas.microsoft.com/office/drawing/2014/main" id="{829848F4-752C-AB24-D93D-FE530AE0FC9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854</xdr:row>
      <xdr:rowOff>3246</xdr:rowOff>
    </xdr:from>
    <xdr:ext cx="33655" cy="33655"/>
    <xdr:grpSp>
      <xdr:nvGrpSpPr>
        <xdr:cNvPr id="7617" name="Group 17">
          <a:extLst>
            <a:ext uri="{FF2B5EF4-FFF2-40B4-BE49-F238E27FC236}">
              <a16:creationId xmlns:a16="http://schemas.microsoft.com/office/drawing/2014/main" id="{75FA7DE6-712B-4177-BA02-BF27CAC57781}"/>
            </a:ext>
          </a:extLst>
        </xdr:cNvPr>
        <xdr:cNvGrpSpPr/>
      </xdr:nvGrpSpPr>
      <xdr:grpSpPr>
        <a:xfrm>
          <a:off x="4603072" y="157287541"/>
          <a:ext cx="33655" cy="33655"/>
          <a:chOff x="0" y="0"/>
          <a:chExt cx="33655" cy="33655"/>
        </a:xfrm>
      </xdr:grpSpPr>
      <xdr:sp macro="" textlink="">
        <xdr:nvSpPr>
          <xdr:cNvPr id="7618" name="Shape 18">
            <a:extLst>
              <a:ext uri="{FF2B5EF4-FFF2-40B4-BE49-F238E27FC236}">
                <a16:creationId xmlns:a16="http://schemas.microsoft.com/office/drawing/2014/main" id="{AFD5C022-2890-278B-D549-B20CB00D444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19" name="Shape 19">
            <a:extLst>
              <a:ext uri="{FF2B5EF4-FFF2-40B4-BE49-F238E27FC236}">
                <a16:creationId xmlns:a16="http://schemas.microsoft.com/office/drawing/2014/main" id="{D169348E-11ED-C119-7894-E43975FF154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20" name="Shape 20">
            <a:extLst>
              <a:ext uri="{FF2B5EF4-FFF2-40B4-BE49-F238E27FC236}">
                <a16:creationId xmlns:a16="http://schemas.microsoft.com/office/drawing/2014/main" id="{AF1DE232-9D5C-31B4-EA19-0395BB8FFCF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21" name="Shape 21">
            <a:extLst>
              <a:ext uri="{FF2B5EF4-FFF2-40B4-BE49-F238E27FC236}">
                <a16:creationId xmlns:a16="http://schemas.microsoft.com/office/drawing/2014/main" id="{DD7FA425-F2F6-D170-B66E-8AE83CC4E06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22" name="Shape 22">
            <a:extLst>
              <a:ext uri="{FF2B5EF4-FFF2-40B4-BE49-F238E27FC236}">
                <a16:creationId xmlns:a16="http://schemas.microsoft.com/office/drawing/2014/main" id="{521E4C2C-3924-EE50-E4F6-AABC9C7F290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23" name="Shape 23">
            <a:extLst>
              <a:ext uri="{FF2B5EF4-FFF2-40B4-BE49-F238E27FC236}">
                <a16:creationId xmlns:a16="http://schemas.microsoft.com/office/drawing/2014/main" id="{2FE986F7-BF2D-60CB-6763-D8399C5BA0D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24" name="Shape 24">
            <a:extLst>
              <a:ext uri="{FF2B5EF4-FFF2-40B4-BE49-F238E27FC236}">
                <a16:creationId xmlns:a16="http://schemas.microsoft.com/office/drawing/2014/main" id="{2A49D488-B96F-9B04-8A92-3E9CA5F72C4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25" name="Shape 25">
            <a:extLst>
              <a:ext uri="{FF2B5EF4-FFF2-40B4-BE49-F238E27FC236}">
                <a16:creationId xmlns:a16="http://schemas.microsoft.com/office/drawing/2014/main" id="{B848F625-44DC-70AA-CCB4-11D01D80473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26" name="Shape 26">
            <a:extLst>
              <a:ext uri="{FF2B5EF4-FFF2-40B4-BE49-F238E27FC236}">
                <a16:creationId xmlns:a16="http://schemas.microsoft.com/office/drawing/2014/main" id="{6216B312-CA2C-AFAC-5D94-48E442F53BA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27" name="Shape 27">
            <a:extLst>
              <a:ext uri="{FF2B5EF4-FFF2-40B4-BE49-F238E27FC236}">
                <a16:creationId xmlns:a16="http://schemas.microsoft.com/office/drawing/2014/main" id="{5ECDA5D1-E983-F19A-0F79-90AD51C753C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28" name="Shape 28">
            <a:extLst>
              <a:ext uri="{FF2B5EF4-FFF2-40B4-BE49-F238E27FC236}">
                <a16:creationId xmlns:a16="http://schemas.microsoft.com/office/drawing/2014/main" id="{45B170F5-3509-3667-468E-D41F2473A8A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29" name="Shape 29">
            <a:extLst>
              <a:ext uri="{FF2B5EF4-FFF2-40B4-BE49-F238E27FC236}">
                <a16:creationId xmlns:a16="http://schemas.microsoft.com/office/drawing/2014/main" id="{13732C72-5678-D16A-80C3-E93760C648F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30" name="Shape 30">
            <a:extLst>
              <a:ext uri="{FF2B5EF4-FFF2-40B4-BE49-F238E27FC236}">
                <a16:creationId xmlns:a16="http://schemas.microsoft.com/office/drawing/2014/main" id="{3BB436E5-BF8B-871B-4FA2-5D20E9E2215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31" name="Shape 31">
            <a:extLst>
              <a:ext uri="{FF2B5EF4-FFF2-40B4-BE49-F238E27FC236}">
                <a16:creationId xmlns:a16="http://schemas.microsoft.com/office/drawing/2014/main" id="{2A544F89-D663-E02D-A4C0-922FF4D107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854</xdr:row>
      <xdr:rowOff>3703</xdr:rowOff>
    </xdr:from>
    <xdr:ext cx="33655" cy="33655"/>
    <xdr:grpSp>
      <xdr:nvGrpSpPr>
        <xdr:cNvPr id="7632" name="Group 32">
          <a:extLst>
            <a:ext uri="{FF2B5EF4-FFF2-40B4-BE49-F238E27FC236}">
              <a16:creationId xmlns:a16="http://schemas.microsoft.com/office/drawing/2014/main" id="{1743473C-1455-4136-9DF3-CBE6BB2E5427}"/>
            </a:ext>
          </a:extLst>
        </xdr:cNvPr>
        <xdr:cNvGrpSpPr/>
      </xdr:nvGrpSpPr>
      <xdr:grpSpPr>
        <a:xfrm>
          <a:off x="4603072" y="157287998"/>
          <a:ext cx="33655" cy="33655"/>
          <a:chOff x="0" y="0"/>
          <a:chExt cx="33655" cy="33655"/>
        </a:xfrm>
      </xdr:grpSpPr>
      <xdr:sp macro="" textlink="">
        <xdr:nvSpPr>
          <xdr:cNvPr id="7633" name="Shape 33">
            <a:extLst>
              <a:ext uri="{FF2B5EF4-FFF2-40B4-BE49-F238E27FC236}">
                <a16:creationId xmlns:a16="http://schemas.microsoft.com/office/drawing/2014/main" id="{04FA0E91-FD6D-A01F-5BAF-44CDE915EE0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34" name="Shape 34">
            <a:extLst>
              <a:ext uri="{FF2B5EF4-FFF2-40B4-BE49-F238E27FC236}">
                <a16:creationId xmlns:a16="http://schemas.microsoft.com/office/drawing/2014/main" id="{5832B736-5749-47F5-E5C0-331261FA72E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35" name="Shape 35">
            <a:extLst>
              <a:ext uri="{FF2B5EF4-FFF2-40B4-BE49-F238E27FC236}">
                <a16:creationId xmlns:a16="http://schemas.microsoft.com/office/drawing/2014/main" id="{65A3A294-04ED-95C1-C6E7-B3C7A6E4413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36" name="Shape 36">
            <a:extLst>
              <a:ext uri="{FF2B5EF4-FFF2-40B4-BE49-F238E27FC236}">
                <a16:creationId xmlns:a16="http://schemas.microsoft.com/office/drawing/2014/main" id="{F87FFEE8-7DF2-412C-20EF-070A2840B93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37" name="Shape 37">
            <a:extLst>
              <a:ext uri="{FF2B5EF4-FFF2-40B4-BE49-F238E27FC236}">
                <a16:creationId xmlns:a16="http://schemas.microsoft.com/office/drawing/2014/main" id="{FAB56950-6C5D-60E9-5FE0-81383E6AA88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38" name="Shape 38">
            <a:extLst>
              <a:ext uri="{FF2B5EF4-FFF2-40B4-BE49-F238E27FC236}">
                <a16:creationId xmlns:a16="http://schemas.microsoft.com/office/drawing/2014/main" id="{0994DA60-0213-EBC1-A4F1-E5DB9C37F3E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39" name="Shape 39">
            <a:extLst>
              <a:ext uri="{FF2B5EF4-FFF2-40B4-BE49-F238E27FC236}">
                <a16:creationId xmlns:a16="http://schemas.microsoft.com/office/drawing/2014/main" id="{5D11C62E-8279-DC25-BDFB-B786CE27F00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40" name="Shape 40">
            <a:extLst>
              <a:ext uri="{FF2B5EF4-FFF2-40B4-BE49-F238E27FC236}">
                <a16:creationId xmlns:a16="http://schemas.microsoft.com/office/drawing/2014/main" id="{0C056985-2192-E497-2ADE-7D174B8BAE3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41" name="Shape 41">
            <a:extLst>
              <a:ext uri="{FF2B5EF4-FFF2-40B4-BE49-F238E27FC236}">
                <a16:creationId xmlns:a16="http://schemas.microsoft.com/office/drawing/2014/main" id="{6A9DC020-6E8E-5B91-6C9C-3F6CB1F5008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42" name="Shape 42">
            <a:extLst>
              <a:ext uri="{FF2B5EF4-FFF2-40B4-BE49-F238E27FC236}">
                <a16:creationId xmlns:a16="http://schemas.microsoft.com/office/drawing/2014/main" id="{7BC7582A-062C-2663-3C9A-053D54AA4E0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43" name="Shape 43">
            <a:extLst>
              <a:ext uri="{FF2B5EF4-FFF2-40B4-BE49-F238E27FC236}">
                <a16:creationId xmlns:a16="http://schemas.microsoft.com/office/drawing/2014/main" id="{672EF36F-6945-5516-BF60-AD10DC7FFD4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44" name="Shape 44">
            <a:extLst>
              <a:ext uri="{FF2B5EF4-FFF2-40B4-BE49-F238E27FC236}">
                <a16:creationId xmlns:a16="http://schemas.microsoft.com/office/drawing/2014/main" id="{89E6AB8D-0A52-7EDB-E8C7-D023D3CC991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45" name="Shape 45">
            <a:extLst>
              <a:ext uri="{FF2B5EF4-FFF2-40B4-BE49-F238E27FC236}">
                <a16:creationId xmlns:a16="http://schemas.microsoft.com/office/drawing/2014/main" id="{83B910C9-E1E0-EFB2-83C3-0819FD2F5E9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46" name="Shape 46">
            <a:extLst>
              <a:ext uri="{FF2B5EF4-FFF2-40B4-BE49-F238E27FC236}">
                <a16:creationId xmlns:a16="http://schemas.microsoft.com/office/drawing/2014/main" id="{AFCDF437-354A-6A47-5F36-A460FAC5EC9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854</xdr:row>
      <xdr:rowOff>3409</xdr:rowOff>
    </xdr:from>
    <xdr:ext cx="33655" cy="33655"/>
    <xdr:grpSp>
      <xdr:nvGrpSpPr>
        <xdr:cNvPr id="7647" name="Group 47">
          <a:extLst>
            <a:ext uri="{FF2B5EF4-FFF2-40B4-BE49-F238E27FC236}">
              <a16:creationId xmlns:a16="http://schemas.microsoft.com/office/drawing/2014/main" id="{5994AC1A-005B-45B9-9923-77A4F535AEC8}"/>
            </a:ext>
          </a:extLst>
        </xdr:cNvPr>
        <xdr:cNvGrpSpPr/>
      </xdr:nvGrpSpPr>
      <xdr:grpSpPr>
        <a:xfrm>
          <a:off x="4603072" y="157287704"/>
          <a:ext cx="33655" cy="33655"/>
          <a:chOff x="0" y="0"/>
          <a:chExt cx="33655" cy="33655"/>
        </a:xfrm>
      </xdr:grpSpPr>
      <xdr:sp macro="" textlink="">
        <xdr:nvSpPr>
          <xdr:cNvPr id="7648" name="Shape 48">
            <a:extLst>
              <a:ext uri="{FF2B5EF4-FFF2-40B4-BE49-F238E27FC236}">
                <a16:creationId xmlns:a16="http://schemas.microsoft.com/office/drawing/2014/main" id="{ED5F7667-2D4E-BA9A-869B-190D85797DF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49" name="Shape 49">
            <a:extLst>
              <a:ext uri="{FF2B5EF4-FFF2-40B4-BE49-F238E27FC236}">
                <a16:creationId xmlns:a16="http://schemas.microsoft.com/office/drawing/2014/main" id="{3DCBF452-99EF-CBE4-147E-58866CECC60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50" name="Shape 50">
            <a:extLst>
              <a:ext uri="{FF2B5EF4-FFF2-40B4-BE49-F238E27FC236}">
                <a16:creationId xmlns:a16="http://schemas.microsoft.com/office/drawing/2014/main" id="{374FB37D-456D-C7FC-F7AB-C434E8981DA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51" name="Shape 51">
            <a:extLst>
              <a:ext uri="{FF2B5EF4-FFF2-40B4-BE49-F238E27FC236}">
                <a16:creationId xmlns:a16="http://schemas.microsoft.com/office/drawing/2014/main" id="{AF56F714-D555-D51B-E63A-DEBB67E6BA4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52" name="Shape 52">
            <a:extLst>
              <a:ext uri="{FF2B5EF4-FFF2-40B4-BE49-F238E27FC236}">
                <a16:creationId xmlns:a16="http://schemas.microsoft.com/office/drawing/2014/main" id="{7D6DDD7B-1C1D-54BA-40AD-4268F5BE3F8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53" name="Shape 53">
            <a:extLst>
              <a:ext uri="{FF2B5EF4-FFF2-40B4-BE49-F238E27FC236}">
                <a16:creationId xmlns:a16="http://schemas.microsoft.com/office/drawing/2014/main" id="{16BA9279-1536-D687-5474-E9D6D137E0E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54" name="Shape 54">
            <a:extLst>
              <a:ext uri="{FF2B5EF4-FFF2-40B4-BE49-F238E27FC236}">
                <a16:creationId xmlns:a16="http://schemas.microsoft.com/office/drawing/2014/main" id="{0B3D38B5-3685-879A-D86C-A7D620DA2FB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55" name="Shape 55">
            <a:extLst>
              <a:ext uri="{FF2B5EF4-FFF2-40B4-BE49-F238E27FC236}">
                <a16:creationId xmlns:a16="http://schemas.microsoft.com/office/drawing/2014/main" id="{DA71BF85-F850-D0E9-97F9-6117644058C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56" name="Shape 56">
            <a:extLst>
              <a:ext uri="{FF2B5EF4-FFF2-40B4-BE49-F238E27FC236}">
                <a16:creationId xmlns:a16="http://schemas.microsoft.com/office/drawing/2014/main" id="{40EB7800-E201-8796-762F-9385DA58E78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57" name="Shape 57">
            <a:extLst>
              <a:ext uri="{FF2B5EF4-FFF2-40B4-BE49-F238E27FC236}">
                <a16:creationId xmlns:a16="http://schemas.microsoft.com/office/drawing/2014/main" id="{17A91A1A-FD9A-046A-B35E-5ECD8730B04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58" name="Shape 58">
            <a:extLst>
              <a:ext uri="{FF2B5EF4-FFF2-40B4-BE49-F238E27FC236}">
                <a16:creationId xmlns:a16="http://schemas.microsoft.com/office/drawing/2014/main" id="{D2B386B9-0A7E-F584-34D3-530AE3BA997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59" name="Shape 59">
            <a:extLst>
              <a:ext uri="{FF2B5EF4-FFF2-40B4-BE49-F238E27FC236}">
                <a16:creationId xmlns:a16="http://schemas.microsoft.com/office/drawing/2014/main" id="{3D4E5C78-C688-4383-5C50-0C324CA2DD9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60" name="Shape 60">
            <a:extLst>
              <a:ext uri="{FF2B5EF4-FFF2-40B4-BE49-F238E27FC236}">
                <a16:creationId xmlns:a16="http://schemas.microsoft.com/office/drawing/2014/main" id="{BFF8BD2E-10BE-A61B-788B-DE79C1B648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61" name="Shape 61">
            <a:extLst>
              <a:ext uri="{FF2B5EF4-FFF2-40B4-BE49-F238E27FC236}">
                <a16:creationId xmlns:a16="http://schemas.microsoft.com/office/drawing/2014/main" id="{E31A367D-8B88-6843-AF05-B9D033D29FA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854</xdr:row>
      <xdr:rowOff>3962</xdr:rowOff>
    </xdr:from>
    <xdr:ext cx="33655" cy="33655"/>
    <xdr:grpSp>
      <xdr:nvGrpSpPr>
        <xdr:cNvPr id="7662" name="Group 62">
          <a:extLst>
            <a:ext uri="{FF2B5EF4-FFF2-40B4-BE49-F238E27FC236}">
              <a16:creationId xmlns:a16="http://schemas.microsoft.com/office/drawing/2014/main" id="{EF0BECC5-13BD-4179-8D6B-53EF1E8B5F2A}"/>
            </a:ext>
          </a:extLst>
        </xdr:cNvPr>
        <xdr:cNvGrpSpPr/>
      </xdr:nvGrpSpPr>
      <xdr:grpSpPr>
        <a:xfrm>
          <a:off x="4603072" y="157288257"/>
          <a:ext cx="33655" cy="33655"/>
          <a:chOff x="0" y="0"/>
          <a:chExt cx="33655" cy="33655"/>
        </a:xfrm>
      </xdr:grpSpPr>
      <xdr:sp macro="" textlink="">
        <xdr:nvSpPr>
          <xdr:cNvPr id="7663" name="Shape 63">
            <a:extLst>
              <a:ext uri="{FF2B5EF4-FFF2-40B4-BE49-F238E27FC236}">
                <a16:creationId xmlns:a16="http://schemas.microsoft.com/office/drawing/2014/main" id="{72C05612-A4E6-2F8B-F40D-EFF484DEBF6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64" name="Shape 64">
            <a:extLst>
              <a:ext uri="{FF2B5EF4-FFF2-40B4-BE49-F238E27FC236}">
                <a16:creationId xmlns:a16="http://schemas.microsoft.com/office/drawing/2014/main" id="{5956BFC3-61ED-F784-32BB-8B0C295275C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65" name="Shape 65">
            <a:extLst>
              <a:ext uri="{FF2B5EF4-FFF2-40B4-BE49-F238E27FC236}">
                <a16:creationId xmlns:a16="http://schemas.microsoft.com/office/drawing/2014/main" id="{00F6211C-B04B-4680-8ADA-289BADBD2F0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66" name="Shape 66">
            <a:extLst>
              <a:ext uri="{FF2B5EF4-FFF2-40B4-BE49-F238E27FC236}">
                <a16:creationId xmlns:a16="http://schemas.microsoft.com/office/drawing/2014/main" id="{36BB4466-55CC-5E2C-C911-71BD1075A26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67" name="Shape 67">
            <a:extLst>
              <a:ext uri="{FF2B5EF4-FFF2-40B4-BE49-F238E27FC236}">
                <a16:creationId xmlns:a16="http://schemas.microsoft.com/office/drawing/2014/main" id="{10C2D0E7-BB8D-4F9C-CC08-80EDB045BDA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68" name="Shape 68">
            <a:extLst>
              <a:ext uri="{FF2B5EF4-FFF2-40B4-BE49-F238E27FC236}">
                <a16:creationId xmlns:a16="http://schemas.microsoft.com/office/drawing/2014/main" id="{7B764D19-4666-CF30-8E62-DAFEC072BDB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69" name="Shape 69">
            <a:extLst>
              <a:ext uri="{FF2B5EF4-FFF2-40B4-BE49-F238E27FC236}">
                <a16:creationId xmlns:a16="http://schemas.microsoft.com/office/drawing/2014/main" id="{4CC1CFEC-375A-B53B-688F-8F854790D54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70" name="Shape 70">
            <a:extLst>
              <a:ext uri="{FF2B5EF4-FFF2-40B4-BE49-F238E27FC236}">
                <a16:creationId xmlns:a16="http://schemas.microsoft.com/office/drawing/2014/main" id="{62F63459-7FE5-9D1A-E470-3E0C0C0F211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71" name="Shape 71">
            <a:extLst>
              <a:ext uri="{FF2B5EF4-FFF2-40B4-BE49-F238E27FC236}">
                <a16:creationId xmlns:a16="http://schemas.microsoft.com/office/drawing/2014/main" id="{9B26C31D-E4BE-6915-571F-D1330D59E02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72" name="Shape 72">
            <a:extLst>
              <a:ext uri="{FF2B5EF4-FFF2-40B4-BE49-F238E27FC236}">
                <a16:creationId xmlns:a16="http://schemas.microsoft.com/office/drawing/2014/main" id="{8BBACF9A-950A-9954-7EC1-CC955D55FBA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73" name="Shape 73">
            <a:extLst>
              <a:ext uri="{FF2B5EF4-FFF2-40B4-BE49-F238E27FC236}">
                <a16:creationId xmlns:a16="http://schemas.microsoft.com/office/drawing/2014/main" id="{A507C7FA-F2DD-DF2E-DAF7-03537DE1A8D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74" name="Shape 74">
            <a:extLst>
              <a:ext uri="{FF2B5EF4-FFF2-40B4-BE49-F238E27FC236}">
                <a16:creationId xmlns:a16="http://schemas.microsoft.com/office/drawing/2014/main" id="{A79F6FF0-70E7-7311-0C83-09AC5C1C5EA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75" name="Shape 75">
            <a:extLst>
              <a:ext uri="{FF2B5EF4-FFF2-40B4-BE49-F238E27FC236}">
                <a16:creationId xmlns:a16="http://schemas.microsoft.com/office/drawing/2014/main" id="{51ADCB9C-6CC4-5072-B0F9-3CE20185A70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676" name="Shape 76">
            <a:extLst>
              <a:ext uri="{FF2B5EF4-FFF2-40B4-BE49-F238E27FC236}">
                <a16:creationId xmlns:a16="http://schemas.microsoft.com/office/drawing/2014/main" id="{05B66949-5B89-FAFE-A6CF-53853BCB930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865</xdr:row>
      <xdr:rowOff>2978</xdr:rowOff>
    </xdr:from>
    <xdr:ext cx="33655" cy="33655"/>
    <xdr:grpSp>
      <xdr:nvGrpSpPr>
        <xdr:cNvPr id="7677" name="Group 2">
          <a:extLst>
            <a:ext uri="{FF2B5EF4-FFF2-40B4-BE49-F238E27FC236}">
              <a16:creationId xmlns:a16="http://schemas.microsoft.com/office/drawing/2014/main" id="{A15FD0E1-3AC0-4D9A-8685-3BEABB559538}"/>
            </a:ext>
          </a:extLst>
        </xdr:cNvPr>
        <xdr:cNvGrpSpPr/>
      </xdr:nvGrpSpPr>
      <xdr:grpSpPr>
        <a:xfrm>
          <a:off x="4603072" y="159279716"/>
          <a:ext cx="33655" cy="33655"/>
          <a:chOff x="0" y="0"/>
          <a:chExt cx="33655" cy="33655"/>
        </a:xfrm>
      </xdr:grpSpPr>
      <xdr:sp macro="" textlink="">
        <xdr:nvSpPr>
          <xdr:cNvPr id="7678" name="Shape 3">
            <a:extLst>
              <a:ext uri="{FF2B5EF4-FFF2-40B4-BE49-F238E27FC236}">
                <a16:creationId xmlns:a16="http://schemas.microsoft.com/office/drawing/2014/main" id="{AB6F7DD7-E3C1-6BBD-3A90-FD0AB563E99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79" name="Shape 4">
            <a:extLst>
              <a:ext uri="{FF2B5EF4-FFF2-40B4-BE49-F238E27FC236}">
                <a16:creationId xmlns:a16="http://schemas.microsoft.com/office/drawing/2014/main" id="{9E837774-1D62-ED2E-13AB-2D962764F98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80" name="Shape 5">
            <a:extLst>
              <a:ext uri="{FF2B5EF4-FFF2-40B4-BE49-F238E27FC236}">
                <a16:creationId xmlns:a16="http://schemas.microsoft.com/office/drawing/2014/main" id="{FD9A6012-6675-BDDE-A6A0-235A69FC3C4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81" name="Shape 6">
            <a:extLst>
              <a:ext uri="{FF2B5EF4-FFF2-40B4-BE49-F238E27FC236}">
                <a16:creationId xmlns:a16="http://schemas.microsoft.com/office/drawing/2014/main" id="{E0D37DE0-ACFF-29A2-98C5-0A08450FC31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82" name="Shape 7">
            <a:extLst>
              <a:ext uri="{FF2B5EF4-FFF2-40B4-BE49-F238E27FC236}">
                <a16:creationId xmlns:a16="http://schemas.microsoft.com/office/drawing/2014/main" id="{347CC5D5-74F6-B90D-04C2-4A177129AE8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83" name="Shape 8">
            <a:extLst>
              <a:ext uri="{FF2B5EF4-FFF2-40B4-BE49-F238E27FC236}">
                <a16:creationId xmlns:a16="http://schemas.microsoft.com/office/drawing/2014/main" id="{D1794FCE-1FC7-9A7E-5450-C0461E0E045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84" name="Shape 9">
            <a:extLst>
              <a:ext uri="{FF2B5EF4-FFF2-40B4-BE49-F238E27FC236}">
                <a16:creationId xmlns:a16="http://schemas.microsoft.com/office/drawing/2014/main" id="{30F2AB41-3189-64C2-8B7F-1543924DE9A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85" name="Shape 10">
            <a:extLst>
              <a:ext uri="{FF2B5EF4-FFF2-40B4-BE49-F238E27FC236}">
                <a16:creationId xmlns:a16="http://schemas.microsoft.com/office/drawing/2014/main" id="{08118659-19AC-9F3B-A8B5-7CA6537B5AE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86" name="Shape 11">
            <a:extLst>
              <a:ext uri="{FF2B5EF4-FFF2-40B4-BE49-F238E27FC236}">
                <a16:creationId xmlns:a16="http://schemas.microsoft.com/office/drawing/2014/main" id="{0951C961-1C2B-D054-4E75-6A0D68DEFA3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87" name="Shape 12">
            <a:extLst>
              <a:ext uri="{FF2B5EF4-FFF2-40B4-BE49-F238E27FC236}">
                <a16:creationId xmlns:a16="http://schemas.microsoft.com/office/drawing/2014/main" id="{700BE5ED-2412-054F-D83E-B2218D79178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88" name="Shape 13">
            <a:extLst>
              <a:ext uri="{FF2B5EF4-FFF2-40B4-BE49-F238E27FC236}">
                <a16:creationId xmlns:a16="http://schemas.microsoft.com/office/drawing/2014/main" id="{EC722327-8313-8145-F060-A01192FE742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89" name="Shape 14">
            <a:extLst>
              <a:ext uri="{FF2B5EF4-FFF2-40B4-BE49-F238E27FC236}">
                <a16:creationId xmlns:a16="http://schemas.microsoft.com/office/drawing/2014/main" id="{C87E5957-E66A-DC4B-0FA9-DE6BD5FD879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90" name="Shape 15">
            <a:extLst>
              <a:ext uri="{FF2B5EF4-FFF2-40B4-BE49-F238E27FC236}">
                <a16:creationId xmlns:a16="http://schemas.microsoft.com/office/drawing/2014/main" id="{A876DFD8-4FD1-0186-9242-605BDDBF0DF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91" name="Shape 16">
            <a:extLst>
              <a:ext uri="{FF2B5EF4-FFF2-40B4-BE49-F238E27FC236}">
                <a16:creationId xmlns:a16="http://schemas.microsoft.com/office/drawing/2014/main" id="{7A9738F1-0C1D-106A-2C16-EB622B20CC4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865</xdr:row>
      <xdr:rowOff>3246</xdr:rowOff>
    </xdr:from>
    <xdr:ext cx="33655" cy="33655"/>
    <xdr:grpSp>
      <xdr:nvGrpSpPr>
        <xdr:cNvPr id="7692" name="Group 17">
          <a:extLst>
            <a:ext uri="{FF2B5EF4-FFF2-40B4-BE49-F238E27FC236}">
              <a16:creationId xmlns:a16="http://schemas.microsoft.com/office/drawing/2014/main" id="{B0A79B06-333E-4C2F-9B21-4056776FC6D1}"/>
            </a:ext>
          </a:extLst>
        </xdr:cNvPr>
        <xdr:cNvGrpSpPr/>
      </xdr:nvGrpSpPr>
      <xdr:grpSpPr>
        <a:xfrm>
          <a:off x="4603072" y="159279984"/>
          <a:ext cx="33655" cy="33655"/>
          <a:chOff x="0" y="0"/>
          <a:chExt cx="33655" cy="33655"/>
        </a:xfrm>
      </xdr:grpSpPr>
      <xdr:sp macro="" textlink="">
        <xdr:nvSpPr>
          <xdr:cNvPr id="7693" name="Shape 18">
            <a:extLst>
              <a:ext uri="{FF2B5EF4-FFF2-40B4-BE49-F238E27FC236}">
                <a16:creationId xmlns:a16="http://schemas.microsoft.com/office/drawing/2014/main" id="{2680258A-8E67-5844-9F43-E896F147CF5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94" name="Shape 19">
            <a:extLst>
              <a:ext uri="{FF2B5EF4-FFF2-40B4-BE49-F238E27FC236}">
                <a16:creationId xmlns:a16="http://schemas.microsoft.com/office/drawing/2014/main" id="{4CF085A0-81F3-4BB4-D49C-C9F9658C89C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95" name="Shape 20">
            <a:extLst>
              <a:ext uri="{FF2B5EF4-FFF2-40B4-BE49-F238E27FC236}">
                <a16:creationId xmlns:a16="http://schemas.microsoft.com/office/drawing/2014/main" id="{051E2931-3F9D-051B-DE47-4D316194FED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96" name="Shape 21">
            <a:extLst>
              <a:ext uri="{FF2B5EF4-FFF2-40B4-BE49-F238E27FC236}">
                <a16:creationId xmlns:a16="http://schemas.microsoft.com/office/drawing/2014/main" id="{ED7A7278-4823-0CC3-9BB9-5833549AFAF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97" name="Shape 22">
            <a:extLst>
              <a:ext uri="{FF2B5EF4-FFF2-40B4-BE49-F238E27FC236}">
                <a16:creationId xmlns:a16="http://schemas.microsoft.com/office/drawing/2014/main" id="{A77F96F8-E830-3ACE-7112-0FF8B7345E1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698" name="Shape 23">
            <a:extLst>
              <a:ext uri="{FF2B5EF4-FFF2-40B4-BE49-F238E27FC236}">
                <a16:creationId xmlns:a16="http://schemas.microsoft.com/office/drawing/2014/main" id="{126180F1-AC16-21DC-B25B-428EB6C7D57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699" name="Shape 24">
            <a:extLst>
              <a:ext uri="{FF2B5EF4-FFF2-40B4-BE49-F238E27FC236}">
                <a16:creationId xmlns:a16="http://schemas.microsoft.com/office/drawing/2014/main" id="{C65B8CD3-B99B-C7D1-FDB1-D21E0B0A45F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00" name="Shape 25">
            <a:extLst>
              <a:ext uri="{FF2B5EF4-FFF2-40B4-BE49-F238E27FC236}">
                <a16:creationId xmlns:a16="http://schemas.microsoft.com/office/drawing/2014/main" id="{7C2970BD-BE65-D4C3-30E5-CA19A208ABD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01" name="Shape 26">
            <a:extLst>
              <a:ext uri="{FF2B5EF4-FFF2-40B4-BE49-F238E27FC236}">
                <a16:creationId xmlns:a16="http://schemas.microsoft.com/office/drawing/2014/main" id="{A2730AC2-4390-66D5-A61A-E795544839C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02" name="Shape 27">
            <a:extLst>
              <a:ext uri="{FF2B5EF4-FFF2-40B4-BE49-F238E27FC236}">
                <a16:creationId xmlns:a16="http://schemas.microsoft.com/office/drawing/2014/main" id="{DCF0B665-F169-6EE3-10BB-4C80B5AF6A5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03" name="Shape 28">
            <a:extLst>
              <a:ext uri="{FF2B5EF4-FFF2-40B4-BE49-F238E27FC236}">
                <a16:creationId xmlns:a16="http://schemas.microsoft.com/office/drawing/2014/main" id="{6D61145C-C126-888F-33CA-9464D48C2AB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04" name="Shape 29">
            <a:extLst>
              <a:ext uri="{FF2B5EF4-FFF2-40B4-BE49-F238E27FC236}">
                <a16:creationId xmlns:a16="http://schemas.microsoft.com/office/drawing/2014/main" id="{9AD20B49-76B3-A1AF-8C19-6617CB4EDFE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05" name="Shape 30">
            <a:extLst>
              <a:ext uri="{FF2B5EF4-FFF2-40B4-BE49-F238E27FC236}">
                <a16:creationId xmlns:a16="http://schemas.microsoft.com/office/drawing/2014/main" id="{DA4503D3-833D-E6C5-1CF4-59BC6ED6A2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06" name="Shape 31">
            <a:extLst>
              <a:ext uri="{FF2B5EF4-FFF2-40B4-BE49-F238E27FC236}">
                <a16:creationId xmlns:a16="http://schemas.microsoft.com/office/drawing/2014/main" id="{02A87523-B8EA-568A-24FD-4B09AAA0102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865</xdr:row>
      <xdr:rowOff>3703</xdr:rowOff>
    </xdr:from>
    <xdr:ext cx="33655" cy="33655"/>
    <xdr:grpSp>
      <xdr:nvGrpSpPr>
        <xdr:cNvPr id="7707" name="Group 32">
          <a:extLst>
            <a:ext uri="{FF2B5EF4-FFF2-40B4-BE49-F238E27FC236}">
              <a16:creationId xmlns:a16="http://schemas.microsoft.com/office/drawing/2014/main" id="{3BC36911-59E2-4107-BE36-20907582F4FB}"/>
            </a:ext>
          </a:extLst>
        </xdr:cNvPr>
        <xdr:cNvGrpSpPr/>
      </xdr:nvGrpSpPr>
      <xdr:grpSpPr>
        <a:xfrm>
          <a:off x="4603072" y="159280441"/>
          <a:ext cx="33655" cy="33655"/>
          <a:chOff x="0" y="0"/>
          <a:chExt cx="33655" cy="33655"/>
        </a:xfrm>
      </xdr:grpSpPr>
      <xdr:sp macro="" textlink="">
        <xdr:nvSpPr>
          <xdr:cNvPr id="7708" name="Shape 33">
            <a:extLst>
              <a:ext uri="{FF2B5EF4-FFF2-40B4-BE49-F238E27FC236}">
                <a16:creationId xmlns:a16="http://schemas.microsoft.com/office/drawing/2014/main" id="{01D8326C-F26D-48CB-5534-09B60C2139B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09" name="Shape 34">
            <a:extLst>
              <a:ext uri="{FF2B5EF4-FFF2-40B4-BE49-F238E27FC236}">
                <a16:creationId xmlns:a16="http://schemas.microsoft.com/office/drawing/2014/main" id="{C0FAD561-B54B-F0DD-3397-6B17F89A4B6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10" name="Shape 35">
            <a:extLst>
              <a:ext uri="{FF2B5EF4-FFF2-40B4-BE49-F238E27FC236}">
                <a16:creationId xmlns:a16="http://schemas.microsoft.com/office/drawing/2014/main" id="{3DEFD50F-4377-CB29-5D2D-7B5DC7D022C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11" name="Shape 36">
            <a:extLst>
              <a:ext uri="{FF2B5EF4-FFF2-40B4-BE49-F238E27FC236}">
                <a16:creationId xmlns:a16="http://schemas.microsoft.com/office/drawing/2014/main" id="{2143AEE9-FF90-3CB2-55F3-023F8F9B698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12" name="Shape 37">
            <a:extLst>
              <a:ext uri="{FF2B5EF4-FFF2-40B4-BE49-F238E27FC236}">
                <a16:creationId xmlns:a16="http://schemas.microsoft.com/office/drawing/2014/main" id="{F975A7B1-FB10-915B-6C6D-3EE7D91982C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13" name="Shape 38">
            <a:extLst>
              <a:ext uri="{FF2B5EF4-FFF2-40B4-BE49-F238E27FC236}">
                <a16:creationId xmlns:a16="http://schemas.microsoft.com/office/drawing/2014/main" id="{2DCC672B-AD23-F7C8-4237-03343205418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14" name="Shape 39">
            <a:extLst>
              <a:ext uri="{FF2B5EF4-FFF2-40B4-BE49-F238E27FC236}">
                <a16:creationId xmlns:a16="http://schemas.microsoft.com/office/drawing/2014/main" id="{F3F4927B-0A45-1F9F-7E30-03463F18DC8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15" name="Shape 40">
            <a:extLst>
              <a:ext uri="{FF2B5EF4-FFF2-40B4-BE49-F238E27FC236}">
                <a16:creationId xmlns:a16="http://schemas.microsoft.com/office/drawing/2014/main" id="{DD015CFA-5116-E14E-ABAB-B25D5E6C0BB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16" name="Shape 41">
            <a:extLst>
              <a:ext uri="{FF2B5EF4-FFF2-40B4-BE49-F238E27FC236}">
                <a16:creationId xmlns:a16="http://schemas.microsoft.com/office/drawing/2014/main" id="{C4B6C519-6A17-8455-4569-BAAFA5F38CA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17" name="Shape 42">
            <a:extLst>
              <a:ext uri="{FF2B5EF4-FFF2-40B4-BE49-F238E27FC236}">
                <a16:creationId xmlns:a16="http://schemas.microsoft.com/office/drawing/2014/main" id="{4CBF0037-F3BB-B6FA-9489-BCB9D5483CB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18" name="Shape 43">
            <a:extLst>
              <a:ext uri="{FF2B5EF4-FFF2-40B4-BE49-F238E27FC236}">
                <a16:creationId xmlns:a16="http://schemas.microsoft.com/office/drawing/2014/main" id="{EC9E983F-8C70-8C7F-61B4-FA95D30B248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19" name="Shape 44">
            <a:extLst>
              <a:ext uri="{FF2B5EF4-FFF2-40B4-BE49-F238E27FC236}">
                <a16:creationId xmlns:a16="http://schemas.microsoft.com/office/drawing/2014/main" id="{1867335B-CE79-2F48-9990-757939B24D1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20" name="Shape 45">
            <a:extLst>
              <a:ext uri="{FF2B5EF4-FFF2-40B4-BE49-F238E27FC236}">
                <a16:creationId xmlns:a16="http://schemas.microsoft.com/office/drawing/2014/main" id="{DF2A4225-4243-1506-293A-119185EBC51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21" name="Shape 46">
            <a:extLst>
              <a:ext uri="{FF2B5EF4-FFF2-40B4-BE49-F238E27FC236}">
                <a16:creationId xmlns:a16="http://schemas.microsoft.com/office/drawing/2014/main" id="{DD1469CE-63CE-4DE9-C6EE-6A28CC65D72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865</xdr:row>
      <xdr:rowOff>3409</xdr:rowOff>
    </xdr:from>
    <xdr:ext cx="33655" cy="33655"/>
    <xdr:grpSp>
      <xdr:nvGrpSpPr>
        <xdr:cNvPr id="7722" name="Group 47">
          <a:extLst>
            <a:ext uri="{FF2B5EF4-FFF2-40B4-BE49-F238E27FC236}">
              <a16:creationId xmlns:a16="http://schemas.microsoft.com/office/drawing/2014/main" id="{A04BE8E0-EB2C-4E2E-8C01-A455A613097C}"/>
            </a:ext>
          </a:extLst>
        </xdr:cNvPr>
        <xdr:cNvGrpSpPr/>
      </xdr:nvGrpSpPr>
      <xdr:grpSpPr>
        <a:xfrm>
          <a:off x="4603072" y="159280147"/>
          <a:ext cx="33655" cy="33655"/>
          <a:chOff x="0" y="0"/>
          <a:chExt cx="33655" cy="33655"/>
        </a:xfrm>
      </xdr:grpSpPr>
      <xdr:sp macro="" textlink="">
        <xdr:nvSpPr>
          <xdr:cNvPr id="7723" name="Shape 48">
            <a:extLst>
              <a:ext uri="{FF2B5EF4-FFF2-40B4-BE49-F238E27FC236}">
                <a16:creationId xmlns:a16="http://schemas.microsoft.com/office/drawing/2014/main" id="{9C47D2B0-93FF-304C-D485-F16481E418A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24" name="Shape 49">
            <a:extLst>
              <a:ext uri="{FF2B5EF4-FFF2-40B4-BE49-F238E27FC236}">
                <a16:creationId xmlns:a16="http://schemas.microsoft.com/office/drawing/2014/main" id="{9D8152B0-6127-E07D-9751-4EB6133CAF9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25" name="Shape 50">
            <a:extLst>
              <a:ext uri="{FF2B5EF4-FFF2-40B4-BE49-F238E27FC236}">
                <a16:creationId xmlns:a16="http://schemas.microsoft.com/office/drawing/2014/main" id="{01E9A993-C368-2579-93AF-2D33979E9E1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26" name="Shape 51">
            <a:extLst>
              <a:ext uri="{FF2B5EF4-FFF2-40B4-BE49-F238E27FC236}">
                <a16:creationId xmlns:a16="http://schemas.microsoft.com/office/drawing/2014/main" id="{35886824-6BDA-15C3-403F-4CE6561AF6F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27" name="Shape 52">
            <a:extLst>
              <a:ext uri="{FF2B5EF4-FFF2-40B4-BE49-F238E27FC236}">
                <a16:creationId xmlns:a16="http://schemas.microsoft.com/office/drawing/2014/main" id="{84E838CC-2A25-37B2-7C8A-C022B1888CB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28" name="Shape 53">
            <a:extLst>
              <a:ext uri="{FF2B5EF4-FFF2-40B4-BE49-F238E27FC236}">
                <a16:creationId xmlns:a16="http://schemas.microsoft.com/office/drawing/2014/main" id="{815511D9-9427-80AF-B683-2C6DD438351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29" name="Shape 54">
            <a:extLst>
              <a:ext uri="{FF2B5EF4-FFF2-40B4-BE49-F238E27FC236}">
                <a16:creationId xmlns:a16="http://schemas.microsoft.com/office/drawing/2014/main" id="{7EDAAE6C-FCFC-1568-A4E6-CDA1D122345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30" name="Shape 55">
            <a:extLst>
              <a:ext uri="{FF2B5EF4-FFF2-40B4-BE49-F238E27FC236}">
                <a16:creationId xmlns:a16="http://schemas.microsoft.com/office/drawing/2014/main" id="{B3F31133-80E9-785E-DD20-BFB1640489D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31" name="Shape 56">
            <a:extLst>
              <a:ext uri="{FF2B5EF4-FFF2-40B4-BE49-F238E27FC236}">
                <a16:creationId xmlns:a16="http://schemas.microsoft.com/office/drawing/2014/main" id="{50693765-288C-FCC1-B694-0961F8CF9FE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32" name="Shape 57">
            <a:extLst>
              <a:ext uri="{FF2B5EF4-FFF2-40B4-BE49-F238E27FC236}">
                <a16:creationId xmlns:a16="http://schemas.microsoft.com/office/drawing/2014/main" id="{7B997CB9-7521-E8B0-3C4D-DF8A904A697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33" name="Shape 58">
            <a:extLst>
              <a:ext uri="{FF2B5EF4-FFF2-40B4-BE49-F238E27FC236}">
                <a16:creationId xmlns:a16="http://schemas.microsoft.com/office/drawing/2014/main" id="{8739AC2B-4F99-5953-F3E9-A28C9515BAA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34" name="Shape 59">
            <a:extLst>
              <a:ext uri="{FF2B5EF4-FFF2-40B4-BE49-F238E27FC236}">
                <a16:creationId xmlns:a16="http://schemas.microsoft.com/office/drawing/2014/main" id="{D393F7DA-53F6-6E62-6C06-15BF7566A8C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35" name="Shape 60">
            <a:extLst>
              <a:ext uri="{FF2B5EF4-FFF2-40B4-BE49-F238E27FC236}">
                <a16:creationId xmlns:a16="http://schemas.microsoft.com/office/drawing/2014/main" id="{A23F86DB-D5FF-865F-E5F5-A3048408BC4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36" name="Shape 61">
            <a:extLst>
              <a:ext uri="{FF2B5EF4-FFF2-40B4-BE49-F238E27FC236}">
                <a16:creationId xmlns:a16="http://schemas.microsoft.com/office/drawing/2014/main" id="{6B3FDC01-CBF2-7DE7-63C5-125234E13DE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865</xdr:row>
      <xdr:rowOff>3962</xdr:rowOff>
    </xdr:from>
    <xdr:ext cx="33655" cy="33655"/>
    <xdr:grpSp>
      <xdr:nvGrpSpPr>
        <xdr:cNvPr id="7737" name="Group 62">
          <a:extLst>
            <a:ext uri="{FF2B5EF4-FFF2-40B4-BE49-F238E27FC236}">
              <a16:creationId xmlns:a16="http://schemas.microsoft.com/office/drawing/2014/main" id="{74F5D825-B89F-4002-B37C-DA2C9C02045C}"/>
            </a:ext>
          </a:extLst>
        </xdr:cNvPr>
        <xdr:cNvGrpSpPr/>
      </xdr:nvGrpSpPr>
      <xdr:grpSpPr>
        <a:xfrm>
          <a:off x="4603072" y="159280700"/>
          <a:ext cx="33655" cy="33655"/>
          <a:chOff x="0" y="0"/>
          <a:chExt cx="33655" cy="33655"/>
        </a:xfrm>
      </xdr:grpSpPr>
      <xdr:sp macro="" textlink="">
        <xdr:nvSpPr>
          <xdr:cNvPr id="7738" name="Shape 63">
            <a:extLst>
              <a:ext uri="{FF2B5EF4-FFF2-40B4-BE49-F238E27FC236}">
                <a16:creationId xmlns:a16="http://schemas.microsoft.com/office/drawing/2014/main" id="{8325E7E8-E468-CDE3-A548-730ECF68278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39" name="Shape 64">
            <a:extLst>
              <a:ext uri="{FF2B5EF4-FFF2-40B4-BE49-F238E27FC236}">
                <a16:creationId xmlns:a16="http://schemas.microsoft.com/office/drawing/2014/main" id="{8A64F436-2C14-86F2-A7F2-3BB282E2722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740" name="Shape 65">
            <a:extLst>
              <a:ext uri="{FF2B5EF4-FFF2-40B4-BE49-F238E27FC236}">
                <a16:creationId xmlns:a16="http://schemas.microsoft.com/office/drawing/2014/main" id="{38DDD2EE-A8A2-FEF2-62A0-FC7872F7193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41" name="Shape 66">
            <a:extLst>
              <a:ext uri="{FF2B5EF4-FFF2-40B4-BE49-F238E27FC236}">
                <a16:creationId xmlns:a16="http://schemas.microsoft.com/office/drawing/2014/main" id="{8BC20E89-AA99-4BDB-9503-9FD0331D3E2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742" name="Shape 67">
            <a:extLst>
              <a:ext uri="{FF2B5EF4-FFF2-40B4-BE49-F238E27FC236}">
                <a16:creationId xmlns:a16="http://schemas.microsoft.com/office/drawing/2014/main" id="{6EFF717E-5446-4F28-508A-A6238E40CB4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43" name="Shape 68">
            <a:extLst>
              <a:ext uri="{FF2B5EF4-FFF2-40B4-BE49-F238E27FC236}">
                <a16:creationId xmlns:a16="http://schemas.microsoft.com/office/drawing/2014/main" id="{C9DF2727-224E-1AD7-6814-263010DF3FF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744" name="Shape 69">
            <a:extLst>
              <a:ext uri="{FF2B5EF4-FFF2-40B4-BE49-F238E27FC236}">
                <a16:creationId xmlns:a16="http://schemas.microsoft.com/office/drawing/2014/main" id="{0DDECB05-03D8-888E-FAE1-E835459F16B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45" name="Shape 70">
            <a:extLst>
              <a:ext uri="{FF2B5EF4-FFF2-40B4-BE49-F238E27FC236}">
                <a16:creationId xmlns:a16="http://schemas.microsoft.com/office/drawing/2014/main" id="{33DD6A2A-7D32-BA4F-7A27-0D4EAFA89A8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746" name="Shape 71">
            <a:extLst>
              <a:ext uri="{FF2B5EF4-FFF2-40B4-BE49-F238E27FC236}">
                <a16:creationId xmlns:a16="http://schemas.microsoft.com/office/drawing/2014/main" id="{5D95CEE7-3BC3-3B43-1C28-783E59129E8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47" name="Shape 72">
            <a:extLst>
              <a:ext uri="{FF2B5EF4-FFF2-40B4-BE49-F238E27FC236}">
                <a16:creationId xmlns:a16="http://schemas.microsoft.com/office/drawing/2014/main" id="{EB81A441-4548-C92D-CF66-F142D3BE249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748" name="Shape 73">
            <a:extLst>
              <a:ext uri="{FF2B5EF4-FFF2-40B4-BE49-F238E27FC236}">
                <a16:creationId xmlns:a16="http://schemas.microsoft.com/office/drawing/2014/main" id="{01EC1374-5F8B-DBAB-9543-65674A17001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49" name="Shape 74">
            <a:extLst>
              <a:ext uri="{FF2B5EF4-FFF2-40B4-BE49-F238E27FC236}">
                <a16:creationId xmlns:a16="http://schemas.microsoft.com/office/drawing/2014/main" id="{EDBBF6CD-42BF-A8E7-EBD6-AC54F6D9D3D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750" name="Shape 75">
            <a:extLst>
              <a:ext uri="{FF2B5EF4-FFF2-40B4-BE49-F238E27FC236}">
                <a16:creationId xmlns:a16="http://schemas.microsoft.com/office/drawing/2014/main" id="{10C039C7-947E-31B8-B70E-5DBA36FC2E6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751" name="Shape 76">
            <a:extLst>
              <a:ext uri="{FF2B5EF4-FFF2-40B4-BE49-F238E27FC236}">
                <a16:creationId xmlns:a16="http://schemas.microsoft.com/office/drawing/2014/main" id="{4B76B318-E9A1-948C-40B6-8F22020B1B2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865</xdr:row>
      <xdr:rowOff>2978</xdr:rowOff>
    </xdr:from>
    <xdr:ext cx="33655" cy="33655"/>
    <xdr:grpSp>
      <xdr:nvGrpSpPr>
        <xdr:cNvPr id="7752" name="Group 2">
          <a:extLst>
            <a:ext uri="{FF2B5EF4-FFF2-40B4-BE49-F238E27FC236}">
              <a16:creationId xmlns:a16="http://schemas.microsoft.com/office/drawing/2014/main" id="{2B044914-4C71-4EE0-9465-065ABFD25266}"/>
            </a:ext>
          </a:extLst>
        </xdr:cNvPr>
        <xdr:cNvGrpSpPr/>
      </xdr:nvGrpSpPr>
      <xdr:grpSpPr>
        <a:xfrm>
          <a:off x="4603072" y="159279716"/>
          <a:ext cx="33655" cy="33655"/>
          <a:chOff x="0" y="0"/>
          <a:chExt cx="33655" cy="33655"/>
        </a:xfrm>
      </xdr:grpSpPr>
      <xdr:sp macro="" textlink="">
        <xdr:nvSpPr>
          <xdr:cNvPr id="7753" name="Shape 3">
            <a:extLst>
              <a:ext uri="{FF2B5EF4-FFF2-40B4-BE49-F238E27FC236}">
                <a16:creationId xmlns:a16="http://schemas.microsoft.com/office/drawing/2014/main" id="{5552BC7A-0EAD-B298-B769-6605D5A05B0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54" name="Shape 4">
            <a:extLst>
              <a:ext uri="{FF2B5EF4-FFF2-40B4-BE49-F238E27FC236}">
                <a16:creationId xmlns:a16="http://schemas.microsoft.com/office/drawing/2014/main" id="{63129DB9-F358-8EF0-C03D-69324AA2ADA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55" name="Shape 5">
            <a:extLst>
              <a:ext uri="{FF2B5EF4-FFF2-40B4-BE49-F238E27FC236}">
                <a16:creationId xmlns:a16="http://schemas.microsoft.com/office/drawing/2014/main" id="{3CC450CE-BAD7-7690-A413-D90DF9C310F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56" name="Shape 6">
            <a:extLst>
              <a:ext uri="{FF2B5EF4-FFF2-40B4-BE49-F238E27FC236}">
                <a16:creationId xmlns:a16="http://schemas.microsoft.com/office/drawing/2014/main" id="{D9CA95EA-0F30-8DB6-5705-DC7FA282050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57" name="Shape 7">
            <a:extLst>
              <a:ext uri="{FF2B5EF4-FFF2-40B4-BE49-F238E27FC236}">
                <a16:creationId xmlns:a16="http://schemas.microsoft.com/office/drawing/2014/main" id="{E2B80CE8-17C4-7816-9BD8-9F3645F58CC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58" name="Shape 8">
            <a:extLst>
              <a:ext uri="{FF2B5EF4-FFF2-40B4-BE49-F238E27FC236}">
                <a16:creationId xmlns:a16="http://schemas.microsoft.com/office/drawing/2014/main" id="{25430AE9-3DA9-8626-05C8-CA478C62A0D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59" name="Shape 9">
            <a:extLst>
              <a:ext uri="{FF2B5EF4-FFF2-40B4-BE49-F238E27FC236}">
                <a16:creationId xmlns:a16="http://schemas.microsoft.com/office/drawing/2014/main" id="{C0E0EBFA-32B1-31B6-9858-15D7539786E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60" name="Shape 10">
            <a:extLst>
              <a:ext uri="{FF2B5EF4-FFF2-40B4-BE49-F238E27FC236}">
                <a16:creationId xmlns:a16="http://schemas.microsoft.com/office/drawing/2014/main" id="{94A73D77-BA4D-A87E-D504-E46E438CA3C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61" name="Shape 11">
            <a:extLst>
              <a:ext uri="{FF2B5EF4-FFF2-40B4-BE49-F238E27FC236}">
                <a16:creationId xmlns:a16="http://schemas.microsoft.com/office/drawing/2014/main" id="{663A4B11-A3E3-D881-73CF-B2E72903E32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62" name="Shape 12">
            <a:extLst>
              <a:ext uri="{FF2B5EF4-FFF2-40B4-BE49-F238E27FC236}">
                <a16:creationId xmlns:a16="http://schemas.microsoft.com/office/drawing/2014/main" id="{B26665DE-0E52-F07D-4E16-BE0C3D6A265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63" name="Shape 13">
            <a:extLst>
              <a:ext uri="{FF2B5EF4-FFF2-40B4-BE49-F238E27FC236}">
                <a16:creationId xmlns:a16="http://schemas.microsoft.com/office/drawing/2014/main" id="{C2F9AA8B-B8F0-DCDD-B459-7B03B22AD21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64" name="Shape 14">
            <a:extLst>
              <a:ext uri="{FF2B5EF4-FFF2-40B4-BE49-F238E27FC236}">
                <a16:creationId xmlns:a16="http://schemas.microsoft.com/office/drawing/2014/main" id="{BAC42E5B-5167-AA78-3686-3DC85C397B7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65" name="Shape 15">
            <a:extLst>
              <a:ext uri="{FF2B5EF4-FFF2-40B4-BE49-F238E27FC236}">
                <a16:creationId xmlns:a16="http://schemas.microsoft.com/office/drawing/2014/main" id="{77AF22E0-CFCD-133E-4F27-E02B5B120C3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66" name="Shape 16">
            <a:extLst>
              <a:ext uri="{FF2B5EF4-FFF2-40B4-BE49-F238E27FC236}">
                <a16:creationId xmlns:a16="http://schemas.microsoft.com/office/drawing/2014/main" id="{58825354-A318-C31A-3BD2-4A59C7612FE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865</xdr:row>
      <xdr:rowOff>3246</xdr:rowOff>
    </xdr:from>
    <xdr:ext cx="33655" cy="33655"/>
    <xdr:grpSp>
      <xdr:nvGrpSpPr>
        <xdr:cNvPr id="7767" name="Group 17">
          <a:extLst>
            <a:ext uri="{FF2B5EF4-FFF2-40B4-BE49-F238E27FC236}">
              <a16:creationId xmlns:a16="http://schemas.microsoft.com/office/drawing/2014/main" id="{ABCF59CC-578F-4476-ADBD-89A6CF4D38A7}"/>
            </a:ext>
          </a:extLst>
        </xdr:cNvPr>
        <xdr:cNvGrpSpPr/>
      </xdr:nvGrpSpPr>
      <xdr:grpSpPr>
        <a:xfrm>
          <a:off x="4603072" y="159279984"/>
          <a:ext cx="33655" cy="33655"/>
          <a:chOff x="0" y="0"/>
          <a:chExt cx="33655" cy="33655"/>
        </a:xfrm>
      </xdr:grpSpPr>
      <xdr:sp macro="" textlink="">
        <xdr:nvSpPr>
          <xdr:cNvPr id="7768" name="Shape 18">
            <a:extLst>
              <a:ext uri="{FF2B5EF4-FFF2-40B4-BE49-F238E27FC236}">
                <a16:creationId xmlns:a16="http://schemas.microsoft.com/office/drawing/2014/main" id="{67DE940E-5A28-CB20-D8CD-6BCD5AD6AC4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69" name="Shape 19">
            <a:extLst>
              <a:ext uri="{FF2B5EF4-FFF2-40B4-BE49-F238E27FC236}">
                <a16:creationId xmlns:a16="http://schemas.microsoft.com/office/drawing/2014/main" id="{A86BA0F8-10C9-267C-C5AA-E8E8F3DF347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70" name="Shape 20">
            <a:extLst>
              <a:ext uri="{FF2B5EF4-FFF2-40B4-BE49-F238E27FC236}">
                <a16:creationId xmlns:a16="http://schemas.microsoft.com/office/drawing/2014/main" id="{A2D9B4CB-D005-575D-AE01-08368AF7769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71" name="Shape 21">
            <a:extLst>
              <a:ext uri="{FF2B5EF4-FFF2-40B4-BE49-F238E27FC236}">
                <a16:creationId xmlns:a16="http://schemas.microsoft.com/office/drawing/2014/main" id="{7A7D0AD5-D867-610F-57E0-8731EC9A445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72" name="Shape 22">
            <a:extLst>
              <a:ext uri="{FF2B5EF4-FFF2-40B4-BE49-F238E27FC236}">
                <a16:creationId xmlns:a16="http://schemas.microsoft.com/office/drawing/2014/main" id="{CF947F19-4AC2-3D90-5ECA-C485925DD84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73" name="Shape 23">
            <a:extLst>
              <a:ext uri="{FF2B5EF4-FFF2-40B4-BE49-F238E27FC236}">
                <a16:creationId xmlns:a16="http://schemas.microsoft.com/office/drawing/2014/main" id="{E54DAC31-CD66-8B0A-B159-2BA3887EB6B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74" name="Shape 24">
            <a:extLst>
              <a:ext uri="{FF2B5EF4-FFF2-40B4-BE49-F238E27FC236}">
                <a16:creationId xmlns:a16="http://schemas.microsoft.com/office/drawing/2014/main" id="{D6A23005-AF59-484C-8D72-644B55E04C2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75" name="Shape 25">
            <a:extLst>
              <a:ext uri="{FF2B5EF4-FFF2-40B4-BE49-F238E27FC236}">
                <a16:creationId xmlns:a16="http://schemas.microsoft.com/office/drawing/2014/main" id="{2B528453-1CA4-7DD2-A9DD-739E68F7E26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76" name="Shape 26">
            <a:extLst>
              <a:ext uri="{FF2B5EF4-FFF2-40B4-BE49-F238E27FC236}">
                <a16:creationId xmlns:a16="http://schemas.microsoft.com/office/drawing/2014/main" id="{4454B99C-B1DC-FF90-BE1F-4C73E84231A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77" name="Shape 27">
            <a:extLst>
              <a:ext uri="{FF2B5EF4-FFF2-40B4-BE49-F238E27FC236}">
                <a16:creationId xmlns:a16="http://schemas.microsoft.com/office/drawing/2014/main" id="{F73635C3-08F3-5322-BDF9-6792B148816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78" name="Shape 28">
            <a:extLst>
              <a:ext uri="{FF2B5EF4-FFF2-40B4-BE49-F238E27FC236}">
                <a16:creationId xmlns:a16="http://schemas.microsoft.com/office/drawing/2014/main" id="{69BDAD5D-843C-9931-0847-83531B904DB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79" name="Shape 29">
            <a:extLst>
              <a:ext uri="{FF2B5EF4-FFF2-40B4-BE49-F238E27FC236}">
                <a16:creationId xmlns:a16="http://schemas.microsoft.com/office/drawing/2014/main" id="{F0C1CBE2-9605-B74B-BD8F-6379E575EEA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80" name="Shape 30">
            <a:extLst>
              <a:ext uri="{FF2B5EF4-FFF2-40B4-BE49-F238E27FC236}">
                <a16:creationId xmlns:a16="http://schemas.microsoft.com/office/drawing/2014/main" id="{8A50BC32-EC38-7B9B-D414-0758A32BB00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81" name="Shape 31">
            <a:extLst>
              <a:ext uri="{FF2B5EF4-FFF2-40B4-BE49-F238E27FC236}">
                <a16:creationId xmlns:a16="http://schemas.microsoft.com/office/drawing/2014/main" id="{C7270578-3BE4-0A1F-2C22-5927C82F3FE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865</xdr:row>
      <xdr:rowOff>3703</xdr:rowOff>
    </xdr:from>
    <xdr:ext cx="33655" cy="33655"/>
    <xdr:grpSp>
      <xdr:nvGrpSpPr>
        <xdr:cNvPr id="7782" name="Group 32">
          <a:extLst>
            <a:ext uri="{FF2B5EF4-FFF2-40B4-BE49-F238E27FC236}">
              <a16:creationId xmlns:a16="http://schemas.microsoft.com/office/drawing/2014/main" id="{A35AE872-4F7A-45AE-8EAF-E777B5861640}"/>
            </a:ext>
          </a:extLst>
        </xdr:cNvPr>
        <xdr:cNvGrpSpPr/>
      </xdr:nvGrpSpPr>
      <xdr:grpSpPr>
        <a:xfrm>
          <a:off x="4603072" y="159280441"/>
          <a:ext cx="33655" cy="33655"/>
          <a:chOff x="0" y="0"/>
          <a:chExt cx="33655" cy="33655"/>
        </a:xfrm>
      </xdr:grpSpPr>
      <xdr:sp macro="" textlink="">
        <xdr:nvSpPr>
          <xdr:cNvPr id="7783" name="Shape 33">
            <a:extLst>
              <a:ext uri="{FF2B5EF4-FFF2-40B4-BE49-F238E27FC236}">
                <a16:creationId xmlns:a16="http://schemas.microsoft.com/office/drawing/2014/main" id="{4F8AF12E-7A2F-A230-4BBD-62AE39A88FF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84" name="Shape 34">
            <a:extLst>
              <a:ext uri="{FF2B5EF4-FFF2-40B4-BE49-F238E27FC236}">
                <a16:creationId xmlns:a16="http://schemas.microsoft.com/office/drawing/2014/main" id="{E544AC9D-8892-1F5E-B30F-A09AC6DFF86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85" name="Shape 35">
            <a:extLst>
              <a:ext uri="{FF2B5EF4-FFF2-40B4-BE49-F238E27FC236}">
                <a16:creationId xmlns:a16="http://schemas.microsoft.com/office/drawing/2014/main" id="{10B0DD76-19C6-52B2-A8E9-18E1660A9ED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86" name="Shape 36">
            <a:extLst>
              <a:ext uri="{FF2B5EF4-FFF2-40B4-BE49-F238E27FC236}">
                <a16:creationId xmlns:a16="http://schemas.microsoft.com/office/drawing/2014/main" id="{E0F5531B-29CE-C220-2C19-8F98C9ADDA2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87" name="Shape 37">
            <a:extLst>
              <a:ext uri="{FF2B5EF4-FFF2-40B4-BE49-F238E27FC236}">
                <a16:creationId xmlns:a16="http://schemas.microsoft.com/office/drawing/2014/main" id="{112519EB-ECE4-A4F0-5425-2470915740F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88" name="Shape 38">
            <a:extLst>
              <a:ext uri="{FF2B5EF4-FFF2-40B4-BE49-F238E27FC236}">
                <a16:creationId xmlns:a16="http://schemas.microsoft.com/office/drawing/2014/main" id="{3ED41A44-4675-7AA6-C4F8-CDBB160B54A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89" name="Shape 39">
            <a:extLst>
              <a:ext uri="{FF2B5EF4-FFF2-40B4-BE49-F238E27FC236}">
                <a16:creationId xmlns:a16="http://schemas.microsoft.com/office/drawing/2014/main" id="{BF2B98FF-DA03-2542-42B6-F0C41CF1C72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90" name="Shape 40">
            <a:extLst>
              <a:ext uri="{FF2B5EF4-FFF2-40B4-BE49-F238E27FC236}">
                <a16:creationId xmlns:a16="http://schemas.microsoft.com/office/drawing/2014/main" id="{EFE9F8FA-B432-8D9F-F5E9-4B107DCFE07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91" name="Shape 41">
            <a:extLst>
              <a:ext uri="{FF2B5EF4-FFF2-40B4-BE49-F238E27FC236}">
                <a16:creationId xmlns:a16="http://schemas.microsoft.com/office/drawing/2014/main" id="{F2D60E22-995B-2607-4B2D-005E46CFADC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92" name="Shape 42">
            <a:extLst>
              <a:ext uri="{FF2B5EF4-FFF2-40B4-BE49-F238E27FC236}">
                <a16:creationId xmlns:a16="http://schemas.microsoft.com/office/drawing/2014/main" id="{C47EC8DC-C784-07E7-6265-CAF4AE60D93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93" name="Shape 43">
            <a:extLst>
              <a:ext uri="{FF2B5EF4-FFF2-40B4-BE49-F238E27FC236}">
                <a16:creationId xmlns:a16="http://schemas.microsoft.com/office/drawing/2014/main" id="{F2B2DC28-F431-5480-9226-569392C9D8E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94" name="Shape 44">
            <a:extLst>
              <a:ext uri="{FF2B5EF4-FFF2-40B4-BE49-F238E27FC236}">
                <a16:creationId xmlns:a16="http://schemas.microsoft.com/office/drawing/2014/main" id="{5BD87D49-ED48-616C-E2C3-582E794D27F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95" name="Shape 45">
            <a:extLst>
              <a:ext uri="{FF2B5EF4-FFF2-40B4-BE49-F238E27FC236}">
                <a16:creationId xmlns:a16="http://schemas.microsoft.com/office/drawing/2014/main" id="{2721A931-00F5-679B-F94B-D88CE010401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796" name="Shape 46">
            <a:extLst>
              <a:ext uri="{FF2B5EF4-FFF2-40B4-BE49-F238E27FC236}">
                <a16:creationId xmlns:a16="http://schemas.microsoft.com/office/drawing/2014/main" id="{F40587AC-BDFF-BA3E-EF3A-DF503C75614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865</xdr:row>
      <xdr:rowOff>3409</xdr:rowOff>
    </xdr:from>
    <xdr:ext cx="33655" cy="33655"/>
    <xdr:grpSp>
      <xdr:nvGrpSpPr>
        <xdr:cNvPr id="7797" name="Group 47">
          <a:extLst>
            <a:ext uri="{FF2B5EF4-FFF2-40B4-BE49-F238E27FC236}">
              <a16:creationId xmlns:a16="http://schemas.microsoft.com/office/drawing/2014/main" id="{59E55D12-C2B8-4C63-923E-BCE02C24AA51}"/>
            </a:ext>
          </a:extLst>
        </xdr:cNvPr>
        <xdr:cNvGrpSpPr/>
      </xdr:nvGrpSpPr>
      <xdr:grpSpPr>
        <a:xfrm>
          <a:off x="4603072" y="159280147"/>
          <a:ext cx="33655" cy="33655"/>
          <a:chOff x="0" y="0"/>
          <a:chExt cx="33655" cy="33655"/>
        </a:xfrm>
      </xdr:grpSpPr>
      <xdr:sp macro="" textlink="">
        <xdr:nvSpPr>
          <xdr:cNvPr id="7798" name="Shape 48">
            <a:extLst>
              <a:ext uri="{FF2B5EF4-FFF2-40B4-BE49-F238E27FC236}">
                <a16:creationId xmlns:a16="http://schemas.microsoft.com/office/drawing/2014/main" id="{1F3A7FC2-8A90-4A1D-859B-8BC09FF6574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799" name="Shape 49">
            <a:extLst>
              <a:ext uri="{FF2B5EF4-FFF2-40B4-BE49-F238E27FC236}">
                <a16:creationId xmlns:a16="http://schemas.microsoft.com/office/drawing/2014/main" id="{0F2F73A1-17CC-BF5D-534D-52483AD21BB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00" name="Shape 50">
            <a:extLst>
              <a:ext uri="{FF2B5EF4-FFF2-40B4-BE49-F238E27FC236}">
                <a16:creationId xmlns:a16="http://schemas.microsoft.com/office/drawing/2014/main" id="{ACB5AEC5-684B-F238-8361-8DA9C4D6C95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01" name="Shape 51">
            <a:extLst>
              <a:ext uri="{FF2B5EF4-FFF2-40B4-BE49-F238E27FC236}">
                <a16:creationId xmlns:a16="http://schemas.microsoft.com/office/drawing/2014/main" id="{13802D5E-077D-D877-2FB0-E5A7D199E9A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02" name="Shape 52">
            <a:extLst>
              <a:ext uri="{FF2B5EF4-FFF2-40B4-BE49-F238E27FC236}">
                <a16:creationId xmlns:a16="http://schemas.microsoft.com/office/drawing/2014/main" id="{178B6C0B-23B0-1EA8-7DD6-8765094D1D2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03" name="Shape 53">
            <a:extLst>
              <a:ext uri="{FF2B5EF4-FFF2-40B4-BE49-F238E27FC236}">
                <a16:creationId xmlns:a16="http://schemas.microsoft.com/office/drawing/2014/main" id="{850645A3-9E9A-77E2-7BFD-8D0859B05D3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04" name="Shape 54">
            <a:extLst>
              <a:ext uri="{FF2B5EF4-FFF2-40B4-BE49-F238E27FC236}">
                <a16:creationId xmlns:a16="http://schemas.microsoft.com/office/drawing/2014/main" id="{F6160110-CBEF-1B6F-49E4-6AA7702595F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05" name="Shape 55">
            <a:extLst>
              <a:ext uri="{FF2B5EF4-FFF2-40B4-BE49-F238E27FC236}">
                <a16:creationId xmlns:a16="http://schemas.microsoft.com/office/drawing/2014/main" id="{5DF68F75-1E96-6E6D-54CF-DE236E4D0F1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06" name="Shape 56">
            <a:extLst>
              <a:ext uri="{FF2B5EF4-FFF2-40B4-BE49-F238E27FC236}">
                <a16:creationId xmlns:a16="http://schemas.microsoft.com/office/drawing/2014/main" id="{E1FFFFF7-8CA6-271E-7A06-6E8ED7D6B82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07" name="Shape 57">
            <a:extLst>
              <a:ext uri="{FF2B5EF4-FFF2-40B4-BE49-F238E27FC236}">
                <a16:creationId xmlns:a16="http://schemas.microsoft.com/office/drawing/2014/main" id="{904B116C-DF54-38E2-2006-7426A46D8D4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08" name="Shape 58">
            <a:extLst>
              <a:ext uri="{FF2B5EF4-FFF2-40B4-BE49-F238E27FC236}">
                <a16:creationId xmlns:a16="http://schemas.microsoft.com/office/drawing/2014/main" id="{A5547D73-71CB-8299-13AA-9EADC70CAD2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09" name="Shape 59">
            <a:extLst>
              <a:ext uri="{FF2B5EF4-FFF2-40B4-BE49-F238E27FC236}">
                <a16:creationId xmlns:a16="http://schemas.microsoft.com/office/drawing/2014/main" id="{A68AD1D2-F4A7-AEAF-0E5F-619B1010630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10" name="Shape 60">
            <a:extLst>
              <a:ext uri="{FF2B5EF4-FFF2-40B4-BE49-F238E27FC236}">
                <a16:creationId xmlns:a16="http://schemas.microsoft.com/office/drawing/2014/main" id="{D25C5DCE-85D4-E452-F50F-6F29584BD99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11" name="Shape 61">
            <a:extLst>
              <a:ext uri="{FF2B5EF4-FFF2-40B4-BE49-F238E27FC236}">
                <a16:creationId xmlns:a16="http://schemas.microsoft.com/office/drawing/2014/main" id="{568C4EA8-9587-18A9-8344-1005B12EF92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865</xdr:row>
      <xdr:rowOff>3962</xdr:rowOff>
    </xdr:from>
    <xdr:ext cx="33655" cy="33655"/>
    <xdr:grpSp>
      <xdr:nvGrpSpPr>
        <xdr:cNvPr id="7812" name="Group 62">
          <a:extLst>
            <a:ext uri="{FF2B5EF4-FFF2-40B4-BE49-F238E27FC236}">
              <a16:creationId xmlns:a16="http://schemas.microsoft.com/office/drawing/2014/main" id="{22539BD1-5600-403D-BC5D-00091459B11C}"/>
            </a:ext>
          </a:extLst>
        </xdr:cNvPr>
        <xdr:cNvGrpSpPr/>
      </xdr:nvGrpSpPr>
      <xdr:grpSpPr>
        <a:xfrm>
          <a:off x="4603072" y="159280700"/>
          <a:ext cx="33655" cy="33655"/>
          <a:chOff x="0" y="0"/>
          <a:chExt cx="33655" cy="33655"/>
        </a:xfrm>
      </xdr:grpSpPr>
      <xdr:sp macro="" textlink="">
        <xdr:nvSpPr>
          <xdr:cNvPr id="7813" name="Shape 63">
            <a:extLst>
              <a:ext uri="{FF2B5EF4-FFF2-40B4-BE49-F238E27FC236}">
                <a16:creationId xmlns:a16="http://schemas.microsoft.com/office/drawing/2014/main" id="{1A517C47-16E1-07CE-2B96-56819BD6E26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14" name="Shape 64">
            <a:extLst>
              <a:ext uri="{FF2B5EF4-FFF2-40B4-BE49-F238E27FC236}">
                <a16:creationId xmlns:a16="http://schemas.microsoft.com/office/drawing/2014/main" id="{F7C83CD9-E3EA-6CBA-1F5C-DC6EE8EDFD7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15" name="Shape 65">
            <a:extLst>
              <a:ext uri="{FF2B5EF4-FFF2-40B4-BE49-F238E27FC236}">
                <a16:creationId xmlns:a16="http://schemas.microsoft.com/office/drawing/2014/main" id="{922E97B8-9F24-468F-906E-30E8670A699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16" name="Shape 66">
            <a:extLst>
              <a:ext uri="{FF2B5EF4-FFF2-40B4-BE49-F238E27FC236}">
                <a16:creationId xmlns:a16="http://schemas.microsoft.com/office/drawing/2014/main" id="{BF610A54-FC3F-5261-09EA-9A899D07E54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17" name="Shape 67">
            <a:extLst>
              <a:ext uri="{FF2B5EF4-FFF2-40B4-BE49-F238E27FC236}">
                <a16:creationId xmlns:a16="http://schemas.microsoft.com/office/drawing/2014/main" id="{D39BBB0B-4FE9-7C51-74D8-E84666B047C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18" name="Shape 68">
            <a:extLst>
              <a:ext uri="{FF2B5EF4-FFF2-40B4-BE49-F238E27FC236}">
                <a16:creationId xmlns:a16="http://schemas.microsoft.com/office/drawing/2014/main" id="{356C7C99-AD4A-0D08-B780-A0C70051D04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19" name="Shape 69">
            <a:extLst>
              <a:ext uri="{FF2B5EF4-FFF2-40B4-BE49-F238E27FC236}">
                <a16:creationId xmlns:a16="http://schemas.microsoft.com/office/drawing/2014/main" id="{CB9955B9-DC2C-6DF7-692D-218FD9DFAA1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20" name="Shape 70">
            <a:extLst>
              <a:ext uri="{FF2B5EF4-FFF2-40B4-BE49-F238E27FC236}">
                <a16:creationId xmlns:a16="http://schemas.microsoft.com/office/drawing/2014/main" id="{9748ED31-851F-4FF6-9920-434C6F78BDE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21" name="Shape 71">
            <a:extLst>
              <a:ext uri="{FF2B5EF4-FFF2-40B4-BE49-F238E27FC236}">
                <a16:creationId xmlns:a16="http://schemas.microsoft.com/office/drawing/2014/main" id="{A0F74B56-3908-6978-FCFF-EB867BDF17F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22" name="Shape 72">
            <a:extLst>
              <a:ext uri="{FF2B5EF4-FFF2-40B4-BE49-F238E27FC236}">
                <a16:creationId xmlns:a16="http://schemas.microsoft.com/office/drawing/2014/main" id="{DB263A3E-BA3C-DFBE-5CE3-2CCB4BA2399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23" name="Shape 73">
            <a:extLst>
              <a:ext uri="{FF2B5EF4-FFF2-40B4-BE49-F238E27FC236}">
                <a16:creationId xmlns:a16="http://schemas.microsoft.com/office/drawing/2014/main" id="{299E8ECE-1093-0AFC-40E4-0F57781B1C9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24" name="Shape 74">
            <a:extLst>
              <a:ext uri="{FF2B5EF4-FFF2-40B4-BE49-F238E27FC236}">
                <a16:creationId xmlns:a16="http://schemas.microsoft.com/office/drawing/2014/main" id="{C673757C-E5D7-6C4F-BF24-290BB792CDB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25" name="Shape 75">
            <a:extLst>
              <a:ext uri="{FF2B5EF4-FFF2-40B4-BE49-F238E27FC236}">
                <a16:creationId xmlns:a16="http://schemas.microsoft.com/office/drawing/2014/main" id="{CF0DB419-20EE-DB83-F57B-84E64CEB08C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26" name="Shape 76">
            <a:extLst>
              <a:ext uri="{FF2B5EF4-FFF2-40B4-BE49-F238E27FC236}">
                <a16:creationId xmlns:a16="http://schemas.microsoft.com/office/drawing/2014/main" id="{4E6A5C93-EA1F-F745-A18F-EEE96FFE5B7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880</xdr:row>
      <xdr:rowOff>2978</xdr:rowOff>
    </xdr:from>
    <xdr:ext cx="33655" cy="33655"/>
    <xdr:grpSp>
      <xdr:nvGrpSpPr>
        <xdr:cNvPr id="7827" name="Group 2">
          <a:extLst>
            <a:ext uri="{FF2B5EF4-FFF2-40B4-BE49-F238E27FC236}">
              <a16:creationId xmlns:a16="http://schemas.microsoft.com/office/drawing/2014/main" id="{EF53AD0F-EBA0-4AEE-B959-D299421D9232}"/>
            </a:ext>
          </a:extLst>
        </xdr:cNvPr>
        <xdr:cNvGrpSpPr/>
      </xdr:nvGrpSpPr>
      <xdr:grpSpPr>
        <a:xfrm>
          <a:off x="4603072" y="161940470"/>
          <a:ext cx="33655" cy="33655"/>
          <a:chOff x="0" y="0"/>
          <a:chExt cx="33655" cy="33655"/>
        </a:xfrm>
      </xdr:grpSpPr>
      <xdr:sp macro="" textlink="">
        <xdr:nvSpPr>
          <xdr:cNvPr id="7828" name="Shape 3">
            <a:extLst>
              <a:ext uri="{FF2B5EF4-FFF2-40B4-BE49-F238E27FC236}">
                <a16:creationId xmlns:a16="http://schemas.microsoft.com/office/drawing/2014/main" id="{F4502FFA-F11B-0E9B-A3DC-1123670AB90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29" name="Shape 4">
            <a:extLst>
              <a:ext uri="{FF2B5EF4-FFF2-40B4-BE49-F238E27FC236}">
                <a16:creationId xmlns:a16="http://schemas.microsoft.com/office/drawing/2014/main" id="{36849370-BEC3-CEDA-6160-EDE9909C3E1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30" name="Shape 5">
            <a:extLst>
              <a:ext uri="{FF2B5EF4-FFF2-40B4-BE49-F238E27FC236}">
                <a16:creationId xmlns:a16="http://schemas.microsoft.com/office/drawing/2014/main" id="{A55863CC-A407-1AA0-DF17-F0BE63B3185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31" name="Shape 6">
            <a:extLst>
              <a:ext uri="{FF2B5EF4-FFF2-40B4-BE49-F238E27FC236}">
                <a16:creationId xmlns:a16="http://schemas.microsoft.com/office/drawing/2014/main" id="{BE3DE792-A1C1-8FFC-F1FC-0CCA8E159B3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32" name="Shape 7">
            <a:extLst>
              <a:ext uri="{FF2B5EF4-FFF2-40B4-BE49-F238E27FC236}">
                <a16:creationId xmlns:a16="http://schemas.microsoft.com/office/drawing/2014/main" id="{1B196CFF-148C-D17A-6C51-F0FDA63953B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33" name="Shape 8">
            <a:extLst>
              <a:ext uri="{FF2B5EF4-FFF2-40B4-BE49-F238E27FC236}">
                <a16:creationId xmlns:a16="http://schemas.microsoft.com/office/drawing/2014/main" id="{291722C8-DA6B-6BA5-D6B1-656C83B18CC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34" name="Shape 9">
            <a:extLst>
              <a:ext uri="{FF2B5EF4-FFF2-40B4-BE49-F238E27FC236}">
                <a16:creationId xmlns:a16="http://schemas.microsoft.com/office/drawing/2014/main" id="{D89C5DD2-7E1C-6B10-720F-AF1128CAC98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35" name="Shape 10">
            <a:extLst>
              <a:ext uri="{FF2B5EF4-FFF2-40B4-BE49-F238E27FC236}">
                <a16:creationId xmlns:a16="http://schemas.microsoft.com/office/drawing/2014/main" id="{8DB6B776-DEFC-A135-4150-127805D4006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36" name="Shape 11">
            <a:extLst>
              <a:ext uri="{FF2B5EF4-FFF2-40B4-BE49-F238E27FC236}">
                <a16:creationId xmlns:a16="http://schemas.microsoft.com/office/drawing/2014/main" id="{0E1FAA17-A9C3-FB42-3BAC-CC3DAE31344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37" name="Shape 12">
            <a:extLst>
              <a:ext uri="{FF2B5EF4-FFF2-40B4-BE49-F238E27FC236}">
                <a16:creationId xmlns:a16="http://schemas.microsoft.com/office/drawing/2014/main" id="{EDEBBA46-E59A-7384-55DA-4696E590E41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38" name="Shape 13">
            <a:extLst>
              <a:ext uri="{FF2B5EF4-FFF2-40B4-BE49-F238E27FC236}">
                <a16:creationId xmlns:a16="http://schemas.microsoft.com/office/drawing/2014/main" id="{4ADD5FCC-5E2B-3FC7-A0E6-D26F978CBEE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39" name="Shape 14">
            <a:extLst>
              <a:ext uri="{FF2B5EF4-FFF2-40B4-BE49-F238E27FC236}">
                <a16:creationId xmlns:a16="http://schemas.microsoft.com/office/drawing/2014/main" id="{0D52108D-1690-7A05-B7D1-9DD0BDA7E0D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40" name="Shape 15">
            <a:extLst>
              <a:ext uri="{FF2B5EF4-FFF2-40B4-BE49-F238E27FC236}">
                <a16:creationId xmlns:a16="http://schemas.microsoft.com/office/drawing/2014/main" id="{97C1E471-E4DE-B9CA-4333-DA52E542D16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41" name="Shape 16">
            <a:extLst>
              <a:ext uri="{FF2B5EF4-FFF2-40B4-BE49-F238E27FC236}">
                <a16:creationId xmlns:a16="http://schemas.microsoft.com/office/drawing/2014/main" id="{FAE2F623-9C6B-47FD-CFE0-1CA77837522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880</xdr:row>
      <xdr:rowOff>3246</xdr:rowOff>
    </xdr:from>
    <xdr:ext cx="33655" cy="33655"/>
    <xdr:grpSp>
      <xdr:nvGrpSpPr>
        <xdr:cNvPr id="7842" name="Group 17">
          <a:extLst>
            <a:ext uri="{FF2B5EF4-FFF2-40B4-BE49-F238E27FC236}">
              <a16:creationId xmlns:a16="http://schemas.microsoft.com/office/drawing/2014/main" id="{08970167-74D1-41A1-BF6D-BBE7E01C2CC2}"/>
            </a:ext>
          </a:extLst>
        </xdr:cNvPr>
        <xdr:cNvGrpSpPr/>
      </xdr:nvGrpSpPr>
      <xdr:grpSpPr>
        <a:xfrm>
          <a:off x="4603072" y="161940738"/>
          <a:ext cx="33655" cy="33655"/>
          <a:chOff x="0" y="0"/>
          <a:chExt cx="33655" cy="33655"/>
        </a:xfrm>
      </xdr:grpSpPr>
      <xdr:sp macro="" textlink="">
        <xdr:nvSpPr>
          <xdr:cNvPr id="7843" name="Shape 18">
            <a:extLst>
              <a:ext uri="{FF2B5EF4-FFF2-40B4-BE49-F238E27FC236}">
                <a16:creationId xmlns:a16="http://schemas.microsoft.com/office/drawing/2014/main" id="{1FDCC1FB-E2DC-FC95-57D4-16D373A4DF7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44" name="Shape 19">
            <a:extLst>
              <a:ext uri="{FF2B5EF4-FFF2-40B4-BE49-F238E27FC236}">
                <a16:creationId xmlns:a16="http://schemas.microsoft.com/office/drawing/2014/main" id="{07779456-8FCC-A85E-8547-1D20C70AF35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45" name="Shape 20">
            <a:extLst>
              <a:ext uri="{FF2B5EF4-FFF2-40B4-BE49-F238E27FC236}">
                <a16:creationId xmlns:a16="http://schemas.microsoft.com/office/drawing/2014/main" id="{5673F6ED-DEDB-71BA-8A76-2177BBDCCF6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46" name="Shape 21">
            <a:extLst>
              <a:ext uri="{FF2B5EF4-FFF2-40B4-BE49-F238E27FC236}">
                <a16:creationId xmlns:a16="http://schemas.microsoft.com/office/drawing/2014/main" id="{7E8027AE-3A37-67D4-2D9C-7B3D0BF1BE4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47" name="Shape 22">
            <a:extLst>
              <a:ext uri="{FF2B5EF4-FFF2-40B4-BE49-F238E27FC236}">
                <a16:creationId xmlns:a16="http://schemas.microsoft.com/office/drawing/2014/main" id="{4BCF23E1-7CAE-C50E-28AA-AE8E3C24CED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48" name="Shape 23">
            <a:extLst>
              <a:ext uri="{FF2B5EF4-FFF2-40B4-BE49-F238E27FC236}">
                <a16:creationId xmlns:a16="http://schemas.microsoft.com/office/drawing/2014/main" id="{57059534-4853-317C-B9BC-08354F1D453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49" name="Shape 24">
            <a:extLst>
              <a:ext uri="{FF2B5EF4-FFF2-40B4-BE49-F238E27FC236}">
                <a16:creationId xmlns:a16="http://schemas.microsoft.com/office/drawing/2014/main" id="{3508B600-7958-3992-7351-B3B62051B11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50" name="Shape 25">
            <a:extLst>
              <a:ext uri="{FF2B5EF4-FFF2-40B4-BE49-F238E27FC236}">
                <a16:creationId xmlns:a16="http://schemas.microsoft.com/office/drawing/2014/main" id="{21B8A186-6426-6682-7F2A-33B389C5C41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51" name="Shape 26">
            <a:extLst>
              <a:ext uri="{FF2B5EF4-FFF2-40B4-BE49-F238E27FC236}">
                <a16:creationId xmlns:a16="http://schemas.microsoft.com/office/drawing/2014/main" id="{9EBF9F6E-E2B1-813C-81FB-407028BBF73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52" name="Shape 27">
            <a:extLst>
              <a:ext uri="{FF2B5EF4-FFF2-40B4-BE49-F238E27FC236}">
                <a16:creationId xmlns:a16="http://schemas.microsoft.com/office/drawing/2014/main" id="{4BFFBCA5-9888-79E3-E626-D2D7EDCE478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53" name="Shape 28">
            <a:extLst>
              <a:ext uri="{FF2B5EF4-FFF2-40B4-BE49-F238E27FC236}">
                <a16:creationId xmlns:a16="http://schemas.microsoft.com/office/drawing/2014/main" id="{0D4749BE-437F-1D0B-F20D-F19DCCDB318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54" name="Shape 29">
            <a:extLst>
              <a:ext uri="{FF2B5EF4-FFF2-40B4-BE49-F238E27FC236}">
                <a16:creationId xmlns:a16="http://schemas.microsoft.com/office/drawing/2014/main" id="{86246B86-275A-D39F-C5EF-DDE07E68501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55" name="Shape 30">
            <a:extLst>
              <a:ext uri="{FF2B5EF4-FFF2-40B4-BE49-F238E27FC236}">
                <a16:creationId xmlns:a16="http://schemas.microsoft.com/office/drawing/2014/main" id="{5EF15532-A163-062E-3716-80F1E29C25B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56" name="Shape 31">
            <a:extLst>
              <a:ext uri="{FF2B5EF4-FFF2-40B4-BE49-F238E27FC236}">
                <a16:creationId xmlns:a16="http://schemas.microsoft.com/office/drawing/2014/main" id="{1F731394-571F-F468-F893-B762D9819BC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880</xdr:row>
      <xdr:rowOff>3703</xdr:rowOff>
    </xdr:from>
    <xdr:ext cx="33655" cy="33655"/>
    <xdr:grpSp>
      <xdr:nvGrpSpPr>
        <xdr:cNvPr id="7857" name="Group 32">
          <a:extLst>
            <a:ext uri="{FF2B5EF4-FFF2-40B4-BE49-F238E27FC236}">
              <a16:creationId xmlns:a16="http://schemas.microsoft.com/office/drawing/2014/main" id="{49A2290E-09E6-4A93-A316-22D15F796A02}"/>
            </a:ext>
          </a:extLst>
        </xdr:cNvPr>
        <xdr:cNvGrpSpPr/>
      </xdr:nvGrpSpPr>
      <xdr:grpSpPr>
        <a:xfrm>
          <a:off x="4603072" y="161941195"/>
          <a:ext cx="33655" cy="33655"/>
          <a:chOff x="0" y="0"/>
          <a:chExt cx="33655" cy="33655"/>
        </a:xfrm>
      </xdr:grpSpPr>
      <xdr:sp macro="" textlink="">
        <xdr:nvSpPr>
          <xdr:cNvPr id="7858" name="Shape 33">
            <a:extLst>
              <a:ext uri="{FF2B5EF4-FFF2-40B4-BE49-F238E27FC236}">
                <a16:creationId xmlns:a16="http://schemas.microsoft.com/office/drawing/2014/main" id="{D815C5C9-F7B2-1E6D-C122-17F8F09054F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59" name="Shape 34">
            <a:extLst>
              <a:ext uri="{FF2B5EF4-FFF2-40B4-BE49-F238E27FC236}">
                <a16:creationId xmlns:a16="http://schemas.microsoft.com/office/drawing/2014/main" id="{E9FB642B-439C-BD35-3C72-FD6A3099526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60" name="Shape 35">
            <a:extLst>
              <a:ext uri="{FF2B5EF4-FFF2-40B4-BE49-F238E27FC236}">
                <a16:creationId xmlns:a16="http://schemas.microsoft.com/office/drawing/2014/main" id="{C38BD12A-9FB0-BC97-40BC-9D660336B6A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61" name="Shape 36">
            <a:extLst>
              <a:ext uri="{FF2B5EF4-FFF2-40B4-BE49-F238E27FC236}">
                <a16:creationId xmlns:a16="http://schemas.microsoft.com/office/drawing/2014/main" id="{E1D38BE9-4FD3-5F29-E70A-8450870F88F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62" name="Shape 37">
            <a:extLst>
              <a:ext uri="{FF2B5EF4-FFF2-40B4-BE49-F238E27FC236}">
                <a16:creationId xmlns:a16="http://schemas.microsoft.com/office/drawing/2014/main" id="{48D3F56A-99D4-E097-5BFD-7C34E64EA6C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63" name="Shape 38">
            <a:extLst>
              <a:ext uri="{FF2B5EF4-FFF2-40B4-BE49-F238E27FC236}">
                <a16:creationId xmlns:a16="http://schemas.microsoft.com/office/drawing/2014/main" id="{E7AEE3C8-B12B-C4DC-8BF7-BDD3071676D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64" name="Shape 39">
            <a:extLst>
              <a:ext uri="{FF2B5EF4-FFF2-40B4-BE49-F238E27FC236}">
                <a16:creationId xmlns:a16="http://schemas.microsoft.com/office/drawing/2014/main" id="{C7B40419-01DC-CF65-8A60-575C7FF38C6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65" name="Shape 40">
            <a:extLst>
              <a:ext uri="{FF2B5EF4-FFF2-40B4-BE49-F238E27FC236}">
                <a16:creationId xmlns:a16="http://schemas.microsoft.com/office/drawing/2014/main" id="{0F126B77-CF7C-052A-6CA4-823C97E4FAA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66" name="Shape 41">
            <a:extLst>
              <a:ext uri="{FF2B5EF4-FFF2-40B4-BE49-F238E27FC236}">
                <a16:creationId xmlns:a16="http://schemas.microsoft.com/office/drawing/2014/main" id="{EA87442A-46CD-F0B4-4F91-E72F11BE25A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67" name="Shape 42">
            <a:extLst>
              <a:ext uri="{FF2B5EF4-FFF2-40B4-BE49-F238E27FC236}">
                <a16:creationId xmlns:a16="http://schemas.microsoft.com/office/drawing/2014/main" id="{E15013C4-54C5-C8A3-B411-F1C0EC4D83F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68" name="Shape 43">
            <a:extLst>
              <a:ext uri="{FF2B5EF4-FFF2-40B4-BE49-F238E27FC236}">
                <a16:creationId xmlns:a16="http://schemas.microsoft.com/office/drawing/2014/main" id="{A6D63299-CF65-45AD-588A-45A00AE6118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69" name="Shape 44">
            <a:extLst>
              <a:ext uri="{FF2B5EF4-FFF2-40B4-BE49-F238E27FC236}">
                <a16:creationId xmlns:a16="http://schemas.microsoft.com/office/drawing/2014/main" id="{8D506936-8C7B-8B1C-F9A4-F07264B6E39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70" name="Shape 45">
            <a:extLst>
              <a:ext uri="{FF2B5EF4-FFF2-40B4-BE49-F238E27FC236}">
                <a16:creationId xmlns:a16="http://schemas.microsoft.com/office/drawing/2014/main" id="{838913F9-13C1-E56A-68C8-208B7D3CE8E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71" name="Shape 46">
            <a:extLst>
              <a:ext uri="{FF2B5EF4-FFF2-40B4-BE49-F238E27FC236}">
                <a16:creationId xmlns:a16="http://schemas.microsoft.com/office/drawing/2014/main" id="{7C781768-1CEF-94D0-BFDB-BFFBB09172F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880</xdr:row>
      <xdr:rowOff>3409</xdr:rowOff>
    </xdr:from>
    <xdr:ext cx="33655" cy="33655"/>
    <xdr:grpSp>
      <xdr:nvGrpSpPr>
        <xdr:cNvPr id="7872" name="Group 47">
          <a:extLst>
            <a:ext uri="{FF2B5EF4-FFF2-40B4-BE49-F238E27FC236}">
              <a16:creationId xmlns:a16="http://schemas.microsoft.com/office/drawing/2014/main" id="{3BD0449A-9F25-4C5C-B678-E0EB469119FF}"/>
            </a:ext>
          </a:extLst>
        </xdr:cNvPr>
        <xdr:cNvGrpSpPr/>
      </xdr:nvGrpSpPr>
      <xdr:grpSpPr>
        <a:xfrm>
          <a:off x="4603072" y="161940901"/>
          <a:ext cx="33655" cy="33655"/>
          <a:chOff x="0" y="0"/>
          <a:chExt cx="33655" cy="33655"/>
        </a:xfrm>
      </xdr:grpSpPr>
      <xdr:sp macro="" textlink="">
        <xdr:nvSpPr>
          <xdr:cNvPr id="7873" name="Shape 48">
            <a:extLst>
              <a:ext uri="{FF2B5EF4-FFF2-40B4-BE49-F238E27FC236}">
                <a16:creationId xmlns:a16="http://schemas.microsoft.com/office/drawing/2014/main" id="{73FD0211-443B-F167-5C3C-7AE9202485C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74" name="Shape 49">
            <a:extLst>
              <a:ext uri="{FF2B5EF4-FFF2-40B4-BE49-F238E27FC236}">
                <a16:creationId xmlns:a16="http://schemas.microsoft.com/office/drawing/2014/main" id="{D77F72C6-7557-B7B6-250C-AC4BA46992D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75" name="Shape 50">
            <a:extLst>
              <a:ext uri="{FF2B5EF4-FFF2-40B4-BE49-F238E27FC236}">
                <a16:creationId xmlns:a16="http://schemas.microsoft.com/office/drawing/2014/main" id="{AE2105E7-318E-0ED2-369F-FEEE524C887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76" name="Shape 51">
            <a:extLst>
              <a:ext uri="{FF2B5EF4-FFF2-40B4-BE49-F238E27FC236}">
                <a16:creationId xmlns:a16="http://schemas.microsoft.com/office/drawing/2014/main" id="{39EBAB7A-CE2F-A283-AB13-2DD97E12EB1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77" name="Shape 52">
            <a:extLst>
              <a:ext uri="{FF2B5EF4-FFF2-40B4-BE49-F238E27FC236}">
                <a16:creationId xmlns:a16="http://schemas.microsoft.com/office/drawing/2014/main" id="{8B409DFC-EF2F-AA48-A17F-B04C5D872B7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78" name="Shape 53">
            <a:extLst>
              <a:ext uri="{FF2B5EF4-FFF2-40B4-BE49-F238E27FC236}">
                <a16:creationId xmlns:a16="http://schemas.microsoft.com/office/drawing/2014/main" id="{BA7D0911-FADC-10F4-85BB-02B3735A326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79" name="Shape 54">
            <a:extLst>
              <a:ext uri="{FF2B5EF4-FFF2-40B4-BE49-F238E27FC236}">
                <a16:creationId xmlns:a16="http://schemas.microsoft.com/office/drawing/2014/main" id="{A0B7E666-25B2-3DF1-96D5-6A5946BC467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80" name="Shape 55">
            <a:extLst>
              <a:ext uri="{FF2B5EF4-FFF2-40B4-BE49-F238E27FC236}">
                <a16:creationId xmlns:a16="http://schemas.microsoft.com/office/drawing/2014/main" id="{3877C2A2-EC50-07C3-0375-FBF18E167FA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81" name="Shape 56">
            <a:extLst>
              <a:ext uri="{FF2B5EF4-FFF2-40B4-BE49-F238E27FC236}">
                <a16:creationId xmlns:a16="http://schemas.microsoft.com/office/drawing/2014/main" id="{30AD54B9-1B19-1C3A-F60F-9522995F16F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82" name="Shape 57">
            <a:extLst>
              <a:ext uri="{FF2B5EF4-FFF2-40B4-BE49-F238E27FC236}">
                <a16:creationId xmlns:a16="http://schemas.microsoft.com/office/drawing/2014/main" id="{516B5063-A13C-3F36-C9E6-861F32AECD5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83" name="Shape 58">
            <a:extLst>
              <a:ext uri="{FF2B5EF4-FFF2-40B4-BE49-F238E27FC236}">
                <a16:creationId xmlns:a16="http://schemas.microsoft.com/office/drawing/2014/main" id="{605D3468-EA26-9548-9F76-2A127C1F615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84" name="Shape 59">
            <a:extLst>
              <a:ext uri="{FF2B5EF4-FFF2-40B4-BE49-F238E27FC236}">
                <a16:creationId xmlns:a16="http://schemas.microsoft.com/office/drawing/2014/main" id="{5616AED5-971A-EEA9-D922-F60030C7486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85" name="Shape 60">
            <a:extLst>
              <a:ext uri="{FF2B5EF4-FFF2-40B4-BE49-F238E27FC236}">
                <a16:creationId xmlns:a16="http://schemas.microsoft.com/office/drawing/2014/main" id="{2D40DCD6-FD34-73AF-55AB-39A6241607D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886" name="Shape 61">
            <a:extLst>
              <a:ext uri="{FF2B5EF4-FFF2-40B4-BE49-F238E27FC236}">
                <a16:creationId xmlns:a16="http://schemas.microsoft.com/office/drawing/2014/main" id="{22CDB4CB-CE3D-4937-BE92-2285DAE5031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880</xdr:row>
      <xdr:rowOff>3962</xdr:rowOff>
    </xdr:from>
    <xdr:ext cx="33655" cy="33655"/>
    <xdr:grpSp>
      <xdr:nvGrpSpPr>
        <xdr:cNvPr id="7887" name="Group 62">
          <a:extLst>
            <a:ext uri="{FF2B5EF4-FFF2-40B4-BE49-F238E27FC236}">
              <a16:creationId xmlns:a16="http://schemas.microsoft.com/office/drawing/2014/main" id="{04002C98-6E4A-4762-80C3-E6FDC04D18B8}"/>
            </a:ext>
          </a:extLst>
        </xdr:cNvPr>
        <xdr:cNvGrpSpPr/>
      </xdr:nvGrpSpPr>
      <xdr:grpSpPr>
        <a:xfrm>
          <a:off x="4603072" y="161941454"/>
          <a:ext cx="33655" cy="33655"/>
          <a:chOff x="0" y="0"/>
          <a:chExt cx="33655" cy="33655"/>
        </a:xfrm>
      </xdr:grpSpPr>
      <xdr:sp macro="" textlink="">
        <xdr:nvSpPr>
          <xdr:cNvPr id="7888" name="Shape 63">
            <a:extLst>
              <a:ext uri="{FF2B5EF4-FFF2-40B4-BE49-F238E27FC236}">
                <a16:creationId xmlns:a16="http://schemas.microsoft.com/office/drawing/2014/main" id="{700BE055-9D0F-2287-1970-49FB68D7270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89" name="Shape 64">
            <a:extLst>
              <a:ext uri="{FF2B5EF4-FFF2-40B4-BE49-F238E27FC236}">
                <a16:creationId xmlns:a16="http://schemas.microsoft.com/office/drawing/2014/main" id="{2498B304-7EEF-7351-3626-0DDDC3AD621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90" name="Shape 65">
            <a:extLst>
              <a:ext uri="{FF2B5EF4-FFF2-40B4-BE49-F238E27FC236}">
                <a16:creationId xmlns:a16="http://schemas.microsoft.com/office/drawing/2014/main" id="{2FAD1998-5F5F-ECE4-C05A-E103112BF83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91" name="Shape 66">
            <a:extLst>
              <a:ext uri="{FF2B5EF4-FFF2-40B4-BE49-F238E27FC236}">
                <a16:creationId xmlns:a16="http://schemas.microsoft.com/office/drawing/2014/main" id="{5B4EFB79-90CB-5FAC-BE46-3873EC11CF2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92" name="Shape 67">
            <a:extLst>
              <a:ext uri="{FF2B5EF4-FFF2-40B4-BE49-F238E27FC236}">
                <a16:creationId xmlns:a16="http://schemas.microsoft.com/office/drawing/2014/main" id="{64754010-E3FD-C26F-FBE0-E5AF9EAE65B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93" name="Shape 68">
            <a:extLst>
              <a:ext uri="{FF2B5EF4-FFF2-40B4-BE49-F238E27FC236}">
                <a16:creationId xmlns:a16="http://schemas.microsoft.com/office/drawing/2014/main" id="{338F24B9-1EF7-6323-84B7-0B2FFD7B675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94" name="Shape 69">
            <a:extLst>
              <a:ext uri="{FF2B5EF4-FFF2-40B4-BE49-F238E27FC236}">
                <a16:creationId xmlns:a16="http://schemas.microsoft.com/office/drawing/2014/main" id="{BBAAA8BB-1FAF-C9DC-3BD0-151247072AA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95" name="Shape 70">
            <a:extLst>
              <a:ext uri="{FF2B5EF4-FFF2-40B4-BE49-F238E27FC236}">
                <a16:creationId xmlns:a16="http://schemas.microsoft.com/office/drawing/2014/main" id="{8EA2E6BB-F685-B931-DE63-77AD41EC40D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96" name="Shape 71">
            <a:extLst>
              <a:ext uri="{FF2B5EF4-FFF2-40B4-BE49-F238E27FC236}">
                <a16:creationId xmlns:a16="http://schemas.microsoft.com/office/drawing/2014/main" id="{E7EEA2CB-188B-A593-1B2F-3121008BDB7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97" name="Shape 72">
            <a:extLst>
              <a:ext uri="{FF2B5EF4-FFF2-40B4-BE49-F238E27FC236}">
                <a16:creationId xmlns:a16="http://schemas.microsoft.com/office/drawing/2014/main" id="{D7C7C6B6-42D5-3970-CC0B-D7DCDC6FF88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898" name="Shape 73">
            <a:extLst>
              <a:ext uri="{FF2B5EF4-FFF2-40B4-BE49-F238E27FC236}">
                <a16:creationId xmlns:a16="http://schemas.microsoft.com/office/drawing/2014/main" id="{037293F6-AA0C-F8DC-5407-26A59C9DC7E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899" name="Shape 74">
            <a:extLst>
              <a:ext uri="{FF2B5EF4-FFF2-40B4-BE49-F238E27FC236}">
                <a16:creationId xmlns:a16="http://schemas.microsoft.com/office/drawing/2014/main" id="{CCEF8730-363C-C2FE-C454-08E625172A8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00" name="Shape 75">
            <a:extLst>
              <a:ext uri="{FF2B5EF4-FFF2-40B4-BE49-F238E27FC236}">
                <a16:creationId xmlns:a16="http://schemas.microsoft.com/office/drawing/2014/main" id="{98A902F2-AAD9-AC90-3817-413EF924754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01" name="Shape 76">
            <a:extLst>
              <a:ext uri="{FF2B5EF4-FFF2-40B4-BE49-F238E27FC236}">
                <a16:creationId xmlns:a16="http://schemas.microsoft.com/office/drawing/2014/main" id="{6F96D4E9-2FCB-317C-A3CE-FF09D6A6DF6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880</xdr:row>
      <xdr:rowOff>2978</xdr:rowOff>
    </xdr:from>
    <xdr:ext cx="33655" cy="33655"/>
    <xdr:grpSp>
      <xdr:nvGrpSpPr>
        <xdr:cNvPr id="7902" name="Group 2">
          <a:extLst>
            <a:ext uri="{FF2B5EF4-FFF2-40B4-BE49-F238E27FC236}">
              <a16:creationId xmlns:a16="http://schemas.microsoft.com/office/drawing/2014/main" id="{4FE611A3-DB36-4833-9DE6-7C9B746A000D}"/>
            </a:ext>
          </a:extLst>
        </xdr:cNvPr>
        <xdr:cNvGrpSpPr/>
      </xdr:nvGrpSpPr>
      <xdr:grpSpPr>
        <a:xfrm>
          <a:off x="4603072" y="161940470"/>
          <a:ext cx="33655" cy="33655"/>
          <a:chOff x="0" y="0"/>
          <a:chExt cx="33655" cy="33655"/>
        </a:xfrm>
      </xdr:grpSpPr>
      <xdr:sp macro="" textlink="">
        <xdr:nvSpPr>
          <xdr:cNvPr id="7903" name="Shape 3">
            <a:extLst>
              <a:ext uri="{FF2B5EF4-FFF2-40B4-BE49-F238E27FC236}">
                <a16:creationId xmlns:a16="http://schemas.microsoft.com/office/drawing/2014/main" id="{B841F6D9-5142-C9C7-33CE-2EE0E8369F8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04" name="Shape 4">
            <a:extLst>
              <a:ext uri="{FF2B5EF4-FFF2-40B4-BE49-F238E27FC236}">
                <a16:creationId xmlns:a16="http://schemas.microsoft.com/office/drawing/2014/main" id="{51F4E380-8661-4344-2DC7-1CBFBF81BE9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05" name="Shape 5">
            <a:extLst>
              <a:ext uri="{FF2B5EF4-FFF2-40B4-BE49-F238E27FC236}">
                <a16:creationId xmlns:a16="http://schemas.microsoft.com/office/drawing/2014/main" id="{4BD6B97E-6703-6F38-50E7-CFFEA2F2DA4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06" name="Shape 6">
            <a:extLst>
              <a:ext uri="{FF2B5EF4-FFF2-40B4-BE49-F238E27FC236}">
                <a16:creationId xmlns:a16="http://schemas.microsoft.com/office/drawing/2014/main" id="{475BF0AD-B34B-E95B-2154-EBE6C2D03BC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07" name="Shape 7">
            <a:extLst>
              <a:ext uri="{FF2B5EF4-FFF2-40B4-BE49-F238E27FC236}">
                <a16:creationId xmlns:a16="http://schemas.microsoft.com/office/drawing/2014/main" id="{03BB4F58-A62D-C8D4-0138-314E3696071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08" name="Shape 8">
            <a:extLst>
              <a:ext uri="{FF2B5EF4-FFF2-40B4-BE49-F238E27FC236}">
                <a16:creationId xmlns:a16="http://schemas.microsoft.com/office/drawing/2014/main" id="{3633709C-E00A-01FF-6F3D-921AFDCF1AD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09" name="Shape 9">
            <a:extLst>
              <a:ext uri="{FF2B5EF4-FFF2-40B4-BE49-F238E27FC236}">
                <a16:creationId xmlns:a16="http://schemas.microsoft.com/office/drawing/2014/main" id="{62479228-E645-B5AC-DEDA-02B8ECFD5FC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10" name="Shape 10">
            <a:extLst>
              <a:ext uri="{FF2B5EF4-FFF2-40B4-BE49-F238E27FC236}">
                <a16:creationId xmlns:a16="http://schemas.microsoft.com/office/drawing/2014/main" id="{D30C5B02-4795-FCB2-AD0D-4E9EDF8A879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11" name="Shape 11">
            <a:extLst>
              <a:ext uri="{FF2B5EF4-FFF2-40B4-BE49-F238E27FC236}">
                <a16:creationId xmlns:a16="http://schemas.microsoft.com/office/drawing/2014/main" id="{735DF751-48E5-39D2-BC84-B089538E12F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12" name="Shape 12">
            <a:extLst>
              <a:ext uri="{FF2B5EF4-FFF2-40B4-BE49-F238E27FC236}">
                <a16:creationId xmlns:a16="http://schemas.microsoft.com/office/drawing/2014/main" id="{AB5495AE-7DC2-4A01-62B7-55FFD235FAE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13" name="Shape 13">
            <a:extLst>
              <a:ext uri="{FF2B5EF4-FFF2-40B4-BE49-F238E27FC236}">
                <a16:creationId xmlns:a16="http://schemas.microsoft.com/office/drawing/2014/main" id="{133204F2-4396-52F1-5D4F-93D4F180C43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14" name="Shape 14">
            <a:extLst>
              <a:ext uri="{FF2B5EF4-FFF2-40B4-BE49-F238E27FC236}">
                <a16:creationId xmlns:a16="http://schemas.microsoft.com/office/drawing/2014/main" id="{406668C1-1E2C-042A-A7BB-B7440D14D77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15" name="Shape 15">
            <a:extLst>
              <a:ext uri="{FF2B5EF4-FFF2-40B4-BE49-F238E27FC236}">
                <a16:creationId xmlns:a16="http://schemas.microsoft.com/office/drawing/2014/main" id="{8A205230-5388-8FC1-8774-07717E10432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16" name="Shape 16">
            <a:extLst>
              <a:ext uri="{FF2B5EF4-FFF2-40B4-BE49-F238E27FC236}">
                <a16:creationId xmlns:a16="http://schemas.microsoft.com/office/drawing/2014/main" id="{940A6F33-69A0-936E-D172-338A51CC363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880</xdr:row>
      <xdr:rowOff>3246</xdr:rowOff>
    </xdr:from>
    <xdr:ext cx="33655" cy="33655"/>
    <xdr:grpSp>
      <xdr:nvGrpSpPr>
        <xdr:cNvPr id="7917" name="Group 17">
          <a:extLst>
            <a:ext uri="{FF2B5EF4-FFF2-40B4-BE49-F238E27FC236}">
              <a16:creationId xmlns:a16="http://schemas.microsoft.com/office/drawing/2014/main" id="{9E2B257F-B11B-4B2A-AAC5-6F5F3D8803A6}"/>
            </a:ext>
          </a:extLst>
        </xdr:cNvPr>
        <xdr:cNvGrpSpPr/>
      </xdr:nvGrpSpPr>
      <xdr:grpSpPr>
        <a:xfrm>
          <a:off x="4603072" y="161940738"/>
          <a:ext cx="33655" cy="33655"/>
          <a:chOff x="0" y="0"/>
          <a:chExt cx="33655" cy="33655"/>
        </a:xfrm>
      </xdr:grpSpPr>
      <xdr:sp macro="" textlink="">
        <xdr:nvSpPr>
          <xdr:cNvPr id="7918" name="Shape 18">
            <a:extLst>
              <a:ext uri="{FF2B5EF4-FFF2-40B4-BE49-F238E27FC236}">
                <a16:creationId xmlns:a16="http://schemas.microsoft.com/office/drawing/2014/main" id="{AF13AF42-2D01-30B5-1351-D543C5D89F0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19" name="Shape 19">
            <a:extLst>
              <a:ext uri="{FF2B5EF4-FFF2-40B4-BE49-F238E27FC236}">
                <a16:creationId xmlns:a16="http://schemas.microsoft.com/office/drawing/2014/main" id="{D0F99AE8-1335-DF7B-3F1C-D650DF380C3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20" name="Shape 20">
            <a:extLst>
              <a:ext uri="{FF2B5EF4-FFF2-40B4-BE49-F238E27FC236}">
                <a16:creationId xmlns:a16="http://schemas.microsoft.com/office/drawing/2014/main" id="{50C2804C-80A4-ACB5-15F4-25497380FE6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21" name="Shape 21">
            <a:extLst>
              <a:ext uri="{FF2B5EF4-FFF2-40B4-BE49-F238E27FC236}">
                <a16:creationId xmlns:a16="http://schemas.microsoft.com/office/drawing/2014/main" id="{B007E354-F97B-CEEE-3BD5-E7ECFC20C9A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22" name="Shape 22">
            <a:extLst>
              <a:ext uri="{FF2B5EF4-FFF2-40B4-BE49-F238E27FC236}">
                <a16:creationId xmlns:a16="http://schemas.microsoft.com/office/drawing/2014/main" id="{90B62F34-55AA-2932-C3CE-5F7D9C2C509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23" name="Shape 23">
            <a:extLst>
              <a:ext uri="{FF2B5EF4-FFF2-40B4-BE49-F238E27FC236}">
                <a16:creationId xmlns:a16="http://schemas.microsoft.com/office/drawing/2014/main" id="{A2DCA81D-ED4A-AC00-9370-14DDC88E593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24" name="Shape 24">
            <a:extLst>
              <a:ext uri="{FF2B5EF4-FFF2-40B4-BE49-F238E27FC236}">
                <a16:creationId xmlns:a16="http://schemas.microsoft.com/office/drawing/2014/main" id="{3D652591-E33E-4487-2939-9CC0EB68DAE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25" name="Shape 25">
            <a:extLst>
              <a:ext uri="{FF2B5EF4-FFF2-40B4-BE49-F238E27FC236}">
                <a16:creationId xmlns:a16="http://schemas.microsoft.com/office/drawing/2014/main" id="{2C066424-84F4-5225-07B5-0F9F7C25548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26" name="Shape 26">
            <a:extLst>
              <a:ext uri="{FF2B5EF4-FFF2-40B4-BE49-F238E27FC236}">
                <a16:creationId xmlns:a16="http://schemas.microsoft.com/office/drawing/2014/main" id="{C3349F36-6379-93A1-7197-991E9DAC96B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27" name="Shape 27">
            <a:extLst>
              <a:ext uri="{FF2B5EF4-FFF2-40B4-BE49-F238E27FC236}">
                <a16:creationId xmlns:a16="http://schemas.microsoft.com/office/drawing/2014/main" id="{A055CD09-E569-E2F5-9CB4-E62E9810CA8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28" name="Shape 28">
            <a:extLst>
              <a:ext uri="{FF2B5EF4-FFF2-40B4-BE49-F238E27FC236}">
                <a16:creationId xmlns:a16="http://schemas.microsoft.com/office/drawing/2014/main" id="{06544B85-1CAA-5054-7A85-2E0199660FC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29" name="Shape 29">
            <a:extLst>
              <a:ext uri="{FF2B5EF4-FFF2-40B4-BE49-F238E27FC236}">
                <a16:creationId xmlns:a16="http://schemas.microsoft.com/office/drawing/2014/main" id="{4BC167D1-630D-A176-28B3-5ED3BA2A4E3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30" name="Shape 30">
            <a:extLst>
              <a:ext uri="{FF2B5EF4-FFF2-40B4-BE49-F238E27FC236}">
                <a16:creationId xmlns:a16="http://schemas.microsoft.com/office/drawing/2014/main" id="{6BC2DA8F-B9C2-B3D7-FE65-9DA35547A25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31" name="Shape 31">
            <a:extLst>
              <a:ext uri="{FF2B5EF4-FFF2-40B4-BE49-F238E27FC236}">
                <a16:creationId xmlns:a16="http://schemas.microsoft.com/office/drawing/2014/main" id="{B1399427-B8BD-714C-10F0-EC8086C9705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880</xdr:row>
      <xdr:rowOff>3703</xdr:rowOff>
    </xdr:from>
    <xdr:ext cx="33655" cy="33655"/>
    <xdr:grpSp>
      <xdr:nvGrpSpPr>
        <xdr:cNvPr id="7932" name="Group 32">
          <a:extLst>
            <a:ext uri="{FF2B5EF4-FFF2-40B4-BE49-F238E27FC236}">
              <a16:creationId xmlns:a16="http://schemas.microsoft.com/office/drawing/2014/main" id="{F9150DD1-8CE8-4CC3-ADF0-3A8578ABB882}"/>
            </a:ext>
          </a:extLst>
        </xdr:cNvPr>
        <xdr:cNvGrpSpPr/>
      </xdr:nvGrpSpPr>
      <xdr:grpSpPr>
        <a:xfrm>
          <a:off x="4603072" y="161941195"/>
          <a:ext cx="33655" cy="33655"/>
          <a:chOff x="0" y="0"/>
          <a:chExt cx="33655" cy="33655"/>
        </a:xfrm>
      </xdr:grpSpPr>
      <xdr:sp macro="" textlink="">
        <xdr:nvSpPr>
          <xdr:cNvPr id="7933" name="Shape 33">
            <a:extLst>
              <a:ext uri="{FF2B5EF4-FFF2-40B4-BE49-F238E27FC236}">
                <a16:creationId xmlns:a16="http://schemas.microsoft.com/office/drawing/2014/main" id="{254AD522-13F4-64DE-90FE-17B854A7A5A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34" name="Shape 34">
            <a:extLst>
              <a:ext uri="{FF2B5EF4-FFF2-40B4-BE49-F238E27FC236}">
                <a16:creationId xmlns:a16="http://schemas.microsoft.com/office/drawing/2014/main" id="{CDFC1DB8-AB11-A11F-D9E2-E751732F1C6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35" name="Shape 35">
            <a:extLst>
              <a:ext uri="{FF2B5EF4-FFF2-40B4-BE49-F238E27FC236}">
                <a16:creationId xmlns:a16="http://schemas.microsoft.com/office/drawing/2014/main" id="{9502AE35-518C-B2F7-C723-65699B3FDCB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36" name="Shape 36">
            <a:extLst>
              <a:ext uri="{FF2B5EF4-FFF2-40B4-BE49-F238E27FC236}">
                <a16:creationId xmlns:a16="http://schemas.microsoft.com/office/drawing/2014/main" id="{B5799736-2EF6-3C51-5196-CBEA58C0C32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37" name="Shape 37">
            <a:extLst>
              <a:ext uri="{FF2B5EF4-FFF2-40B4-BE49-F238E27FC236}">
                <a16:creationId xmlns:a16="http://schemas.microsoft.com/office/drawing/2014/main" id="{AE91B6DB-89AE-F4BA-4364-130A4164846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38" name="Shape 38">
            <a:extLst>
              <a:ext uri="{FF2B5EF4-FFF2-40B4-BE49-F238E27FC236}">
                <a16:creationId xmlns:a16="http://schemas.microsoft.com/office/drawing/2014/main" id="{1B0C6DD5-DCD8-96D3-1167-DD5020E11DA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39" name="Shape 39">
            <a:extLst>
              <a:ext uri="{FF2B5EF4-FFF2-40B4-BE49-F238E27FC236}">
                <a16:creationId xmlns:a16="http://schemas.microsoft.com/office/drawing/2014/main" id="{F9C10575-97D3-7170-8A31-75066BB3485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40" name="Shape 40">
            <a:extLst>
              <a:ext uri="{FF2B5EF4-FFF2-40B4-BE49-F238E27FC236}">
                <a16:creationId xmlns:a16="http://schemas.microsoft.com/office/drawing/2014/main" id="{4AB63C42-E979-0B80-D616-35B8CDFB65F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41" name="Shape 41">
            <a:extLst>
              <a:ext uri="{FF2B5EF4-FFF2-40B4-BE49-F238E27FC236}">
                <a16:creationId xmlns:a16="http://schemas.microsoft.com/office/drawing/2014/main" id="{94505702-DABB-DF08-B535-58D394F54E4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42" name="Shape 42">
            <a:extLst>
              <a:ext uri="{FF2B5EF4-FFF2-40B4-BE49-F238E27FC236}">
                <a16:creationId xmlns:a16="http://schemas.microsoft.com/office/drawing/2014/main" id="{98FB1712-500C-00F0-5185-08CD56B8DE0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43" name="Shape 43">
            <a:extLst>
              <a:ext uri="{FF2B5EF4-FFF2-40B4-BE49-F238E27FC236}">
                <a16:creationId xmlns:a16="http://schemas.microsoft.com/office/drawing/2014/main" id="{6FB39052-D287-CAF1-B0DE-13A0685AE80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44" name="Shape 44">
            <a:extLst>
              <a:ext uri="{FF2B5EF4-FFF2-40B4-BE49-F238E27FC236}">
                <a16:creationId xmlns:a16="http://schemas.microsoft.com/office/drawing/2014/main" id="{5B291946-AD5D-E4D9-A8C6-6A932B40CBB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45" name="Shape 45">
            <a:extLst>
              <a:ext uri="{FF2B5EF4-FFF2-40B4-BE49-F238E27FC236}">
                <a16:creationId xmlns:a16="http://schemas.microsoft.com/office/drawing/2014/main" id="{10674E6A-BDE7-1584-25C0-909D3DBA0D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46" name="Shape 46">
            <a:extLst>
              <a:ext uri="{FF2B5EF4-FFF2-40B4-BE49-F238E27FC236}">
                <a16:creationId xmlns:a16="http://schemas.microsoft.com/office/drawing/2014/main" id="{74240387-65FA-D166-86A3-BDA9882F3F2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880</xdr:row>
      <xdr:rowOff>3409</xdr:rowOff>
    </xdr:from>
    <xdr:ext cx="33655" cy="33655"/>
    <xdr:grpSp>
      <xdr:nvGrpSpPr>
        <xdr:cNvPr id="7947" name="Group 47">
          <a:extLst>
            <a:ext uri="{FF2B5EF4-FFF2-40B4-BE49-F238E27FC236}">
              <a16:creationId xmlns:a16="http://schemas.microsoft.com/office/drawing/2014/main" id="{4DF7DDA5-8E02-4B11-9DBC-30FBF7EAD7F7}"/>
            </a:ext>
          </a:extLst>
        </xdr:cNvPr>
        <xdr:cNvGrpSpPr/>
      </xdr:nvGrpSpPr>
      <xdr:grpSpPr>
        <a:xfrm>
          <a:off x="4603072" y="161940901"/>
          <a:ext cx="33655" cy="33655"/>
          <a:chOff x="0" y="0"/>
          <a:chExt cx="33655" cy="33655"/>
        </a:xfrm>
      </xdr:grpSpPr>
      <xdr:sp macro="" textlink="">
        <xdr:nvSpPr>
          <xdr:cNvPr id="7948" name="Shape 48">
            <a:extLst>
              <a:ext uri="{FF2B5EF4-FFF2-40B4-BE49-F238E27FC236}">
                <a16:creationId xmlns:a16="http://schemas.microsoft.com/office/drawing/2014/main" id="{FBFEE32B-06F2-2422-E96B-46C5A5078B5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49" name="Shape 49">
            <a:extLst>
              <a:ext uri="{FF2B5EF4-FFF2-40B4-BE49-F238E27FC236}">
                <a16:creationId xmlns:a16="http://schemas.microsoft.com/office/drawing/2014/main" id="{9545F16D-F408-EDC0-ABE6-94B7AD179FA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50" name="Shape 50">
            <a:extLst>
              <a:ext uri="{FF2B5EF4-FFF2-40B4-BE49-F238E27FC236}">
                <a16:creationId xmlns:a16="http://schemas.microsoft.com/office/drawing/2014/main" id="{B729D3CB-86C9-0FFB-743E-B97D3963E3A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51" name="Shape 51">
            <a:extLst>
              <a:ext uri="{FF2B5EF4-FFF2-40B4-BE49-F238E27FC236}">
                <a16:creationId xmlns:a16="http://schemas.microsoft.com/office/drawing/2014/main" id="{4B9E4CFC-F59D-29A3-800B-ACE1321B8B9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52" name="Shape 52">
            <a:extLst>
              <a:ext uri="{FF2B5EF4-FFF2-40B4-BE49-F238E27FC236}">
                <a16:creationId xmlns:a16="http://schemas.microsoft.com/office/drawing/2014/main" id="{BA8F823D-7080-97DF-C18E-F8EC440BE56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53" name="Shape 53">
            <a:extLst>
              <a:ext uri="{FF2B5EF4-FFF2-40B4-BE49-F238E27FC236}">
                <a16:creationId xmlns:a16="http://schemas.microsoft.com/office/drawing/2014/main" id="{8F046748-8FDC-1D92-7945-69F39A66783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54" name="Shape 54">
            <a:extLst>
              <a:ext uri="{FF2B5EF4-FFF2-40B4-BE49-F238E27FC236}">
                <a16:creationId xmlns:a16="http://schemas.microsoft.com/office/drawing/2014/main" id="{F8150AAE-4DD2-56BC-F598-FD1286300CD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55" name="Shape 55">
            <a:extLst>
              <a:ext uri="{FF2B5EF4-FFF2-40B4-BE49-F238E27FC236}">
                <a16:creationId xmlns:a16="http://schemas.microsoft.com/office/drawing/2014/main" id="{C8F16A6F-334E-443A-3012-3883E920EA0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56" name="Shape 56">
            <a:extLst>
              <a:ext uri="{FF2B5EF4-FFF2-40B4-BE49-F238E27FC236}">
                <a16:creationId xmlns:a16="http://schemas.microsoft.com/office/drawing/2014/main" id="{19602A02-9E2F-59D5-CB69-580B55C0398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57" name="Shape 57">
            <a:extLst>
              <a:ext uri="{FF2B5EF4-FFF2-40B4-BE49-F238E27FC236}">
                <a16:creationId xmlns:a16="http://schemas.microsoft.com/office/drawing/2014/main" id="{15752200-4F3B-FEA6-E98B-E649C3D7422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58" name="Shape 58">
            <a:extLst>
              <a:ext uri="{FF2B5EF4-FFF2-40B4-BE49-F238E27FC236}">
                <a16:creationId xmlns:a16="http://schemas.microsoft.com/office/drawing/2014/main" id="{A3533615-1B81-ED1D-3C4C-C83183D9933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59" name="Shape 59">
            <a:extLst>
              <a:ext uri="{FF2B5EF4-FFF2-40B4-BE49-F238E27FC236}">
                <a16:creationId xmlns:a16="http://schemas.microsoft.com/office/drawing/2014/main" id="{D036B17A-D4DF-564F-D1AA-C26D95B3782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60" name="Shape 60">
            <a:extLst>
              <a:ext uri="{FF2B5EF4-FFF2-40B4-BE49-F238E27FC236}">
                <a16:creationId xmlns:a16="http://schemas.microsoft.com/office/drawing/2014/main" id="{F3537B7B-2359-8BB2-10E3-EBA8C52A8CD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61" name="Shape 61">
            <a:extLst>
              <a:ext uri="{FF2B5EF4-FFF2-40B4-BE49-F238E27FC236}">
                <a16:creationId xmlns:a16="http://schemas.microsoft.com/office/drawing/2014/main" id="{7A8DD0B5-4801-035B-2871-58AE194BBB5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880</xdr:row>
      <xdr:rowOff>3962</xdr:rowOff>
    </xdr:from>
    <xdr:ext cx="33655" cy="33655"/>
    <xdr:grpSp>
      <xdr:nvGrpSpPr>
        <xdr:cNvPr id="7962" name="Group 62">
          <a:extLst>
            <a:ext uri="{FF2B5EF4-FFF2-40B4-BE49-F238E27FC236}">
              <a16:creationId xmlns:a16="http://schemas.microsoft.com/office/drawing/2014/main" id="{391FE2D2-6A9E-4094-AA96-0A71840E2EFA}"/>
            </a:ext>
          </a:extLst>
        </xdr:cNvPr>
        <xdr:cNvGrpSpPr/>
      </xdr:nvGrpSpPr>
      <xdr:grpSpPr>
        <a:xfrm>
          <a:off x="4603072" y="161941454"/>
          <a:ext cx="33655" cy="33655"/>
          <a:chOff x="0" y="0"/>
          <a:chExt cx="33655" cy="33655"/>
        </a:xfrm>
      </xdr:grpSpPr>
      <xdr:sp macro="" textlink="">
        <xdr:nvSpPr>
          <xdr:cNvPr id="7963" name="Shape 63">
            <a:extLst>
              <a:ext uri="{FF2B5EF4-FFF2-40B4-BE49-F238E27FC236}">
                <a16:creationId xmlns:a16="http://schemas.microsoft.com/office/drawing/2014/main" id="{9CF36A1B-FD13-72D2-D0A0-763AA46A615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64" name="Shape 64">
            <a:extLst>
              <a:ext uri="{FF2B5EF4-FFF2-40B4-BE49-F238E27FC236}">
                <a16:creationId xmlns:a16="http://schemas.microsoft.com/office/drawing/2014/main" id="{403F606D-6CEF-7B33-0F24-0963AE2D5B3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65" name="Shape 65">
            <a:extLst>
              <a:ext uri="{FF2B5EF4-FFF2-40B4-BE49-F238E27FC236}">
                <a16:creationId xmlns:a16="http://schemas.microsoft.com/office/drawing/2014/main" id="{8E2B3AB9-139B-721B-83A7-04079565442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66" name="Shape 66">
            <a:extLst>
              <a:ext uri="{FF2B5EF4-FFF2-40B4-BE49-F238E27FC236}">
                <a16:creationId xmlns:a16="http://schemas.microsoft.com/office/drawing/2014/main" id="{BEE36146-CDC9-E5E3-EBF2-AF5BE36FE71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67" name="Shape 67">
            <a:extLst>
              <a:ext uri="{FF2B5EF4-FFF2-40B4-BE49-F238E27FC236}">
                <a16:creationId xmlns:a16="http://schemas.microsoft.com/office/drawing/2014/main" id="{11E109C8-27F7-7632-A4F7-84BCBB1C2FE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68" name="Shape 68">
            <a:extLst>
              <a:ext uri="{FF2B5EF4-FFF2-40B4-BE49-F238E27FC236}">
                <a16:creationId xmlns:a16="http://schemas.microsoft.com/office/drawing/2014/main" id="{C316FD94-92AC-45DC-9731-1A3F3F17F0E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69" name="Shape 69">
            <a:extLst>
              <a:ext uri="{FF2B5EF4-FFF2-40B4-BE49-F238E27FC236}">
                <a16:creationId xmlns:a16="http://schemas.microsoft.com/office/drawing/2014/main" id="{6BB8F842-3D05-7BF9-2A5A-B684884B26B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70" name="Shape 70">
            <a:extLst>
              <a:ext uri="{FF2B5EF4-FFF2-40B4-BE49-F238E27FC236}">
                <a16:creationId xmlns:a16="http://schemas.microsoft.com/office/drawing/2014/main" id="{CD4EF1A2-F277-70B5-62AC-C52D00058E7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71" name="Shape 71">
            <a:extLst>
              <a:ext uri="{FF2B5EF4-FFF2-40B4-BE49-F238E27FC236}">
                <a16:creationId xmlns:a16="http://schemas.microsoft.com/office/drawing/2014/main" id="{A6A5C499-4FDD-D53B-6B1C-022A254702E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72" name="Shape 72">
            <a:extLst>
              <a:ext uri="{FF2B5EF4-FFF2-40B4-BE49-F238E27FC236}">
                <a16:creationId xmlns:a16="http://schemas.microsoft.com/office/drawing/2014/main" id="{EEFCD681-E03F-B1F7-9AD2-9EA2268E2CF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73" name="Shape 73">
            <a:extLst>
              <a:ext uri="{FF2B5EF4-FFF2-40B4-BE49-F238E27FC236}">
                <a16:creationId xmlns:a16="http://schemas.microsoft.com/office/drawing/2014/main" id="{AFC43FFA-15CD-E209-7AF9-211FAC88010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74" name="Shape 74">
            <a:extLst>
              <a:ext uri="{FF2B5EF4-FFF2-40B4-BE49-F238E27FC236}">
                <a16:creationId xmlns:a16="http://schemas.microsoft.com/office/drawing/2014/main" id="{10B9A202-1A23-63DE-A6E4-F39EF1CAED8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75" name="Shape 75">
            <a:extLst>
              <a:ext uri="{FF2B5EF4-FFF2-40B4-BE49-F238E27FC236}">
                <a16:creationId xmlns:a16="http://schemas.microsoft.com/office/drawing/2014/main" id="{455F3226-7C65-86CB-4D8E-D5C2FABAB0C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7976" name="Shape 76">
            <a:extLst>
              <a:ext uri="{FF2B5EF4-FFF2-40B4-BE49-F238E27FC236}">
                <a16:creationId xmlns:a16="http://schemas.microsoft.com/office/drawing/2014/main" id="{95A3FA08-77AB-05CB-7E71-523C530435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895</xdr:row>
      <xdr:rowOff>2978</xdr:rowOff>
    </xdr:from>
    <xdr:ext cx="33655" cy="33655"/>
    <xdr:grpSp>
      <xdr:nvGrpSpPr>
        <xdr:cNvPr id="7977" name="Group 2">
          <a:extLst>
            <a:ext uri="{FF2B5EF4-FFF2-40B4-BE49-F238E27FC236}">
              <a16:creationId xmlns:a16="http://schemas.microsoft.com/office/drawing/2014/main" id="{ABF5D42E-DC8D-4CC2-BAEE-2ECD27C9354A}"/>
            </a:ext>
          </a:extLst>
        </xdr:cNvPr>
        <xdr:cNvGrpSpPr/>
      </xdr:nvGrpSpPr>
      <xdr:grpSpPr>
        <a:xfrm>
          <a:off x="4603072" y="164601224"/>
          <a:ext cx="33655" cy="33655"/>
          <a:chOff x="0" y="0"/>
          <a:chExt cx="33655" cy="33655"/>
        </a:xfrm>
      </xdr:grpSpPr>
      <xdr:sp macro="" textlink="">
        <xdr:nvSpPr>
          <xdr:cNvPr id="7978" name="Shape 3">
            <a:extLst>
              <a:ext uri="{FF2B5EF4-FFF2-40B4-BE49-F238E27FC236}">
                <a16:creationId xmlns:a16="http://schemas.microsoft.com/office/drawing/2014/main" id="{03681DF3-BBA6-FD6B-20C9-1C39497A7C3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79" name="Shape 4">
            <a:extLst>
              <a:ext uri="{FF2B5EF4-FFF2-40B4-BE49-F238E27FC236}">
                <a16:creationId xmlns:a16="http://schemas.microsoft.com/office/drawing/2014/main" id="{5F28F94C-862F-194B-E006-F934F3F1C02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80" name="Shape 5">
            <a:extLst>
              <a:ext uri="{FF2B5EF4-FFF2-40B4-BE49-F238E27FC236}">
                <a16:creationId xmlns:a16="http://schemas.microsoft.com/office/drawing/2014/main" id="{F7AD1ED4-F175-69E2-B1D8-75C0975F388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81" name="Shape 6">
            <a:extLst>
              <a:ext uri="{FF2B5EF4-FFF2-40B4-BE49-F238E27FC236}">
                <a16:creationId xmlns:a16="http://schemas.microsoft.com/office/drawing/2014/main" id="{209AC9A4-5661-47CE-E513-6565593F1A0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82" name="Shape 7">
            <a:extLst>
              <a:ext uri="{FF2B5EF4-FFF2-40B4-BE49-F238E27FC236}">
                <a16:creationId xmlns:a16="http://schemas.microsoft.com/office/drawing/2014/main" id="{FC1EA59D-98B1-7991-0A34-E6B38321E48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83" name="Shape 8">
            <a:extLst>
              <a:ext uri="{FF2B5EF4-FFF2-40B4-BE49-F238E27FC236}">
                <a16:creationId xmlns:a16="http://schemas.microsoft.com/office/drawing/2014/main" id="{4C111BC6-7B19-27E8-9FD9-CBE57DFEA79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84" name="Shape 9">
            <a:extLst>
              <a:ext uri="{FF2B5EF4-FFF2-40B4-BE49-F238E27FC236}">
                <a16:creationId xmlns:a16="http://schemas.microsoft.com/office/drawing/2014/main" id="{A52115D4-0A2E-03A3-C370-30DAD67BBE7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85" name="Shape 10">
            <a:extLst>
              <a:ext uri="{FF2B5EF4-FFF2-40B4-BE49-F238E27FC236}">
                <a16:creationId xmlns:a16="http://schemas.microsoft.com/office/drawing/2014/main" id="{3518E3A9-1265-326E-BA18-5C10986F774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86" name="Shape 11">
            <a:extLst>
              <a:ext uri="{FF2B5EF4-FFF2-40B4-BE49-F238E27FC236}">
                <a16:creationId xmlns:a16="http://schemas.microsoft.com/office/drawing/2014/main" id="{1016F49B-45CE-8CBB-C1BD-6681595D57D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87" name="Shape 12">
            <a:extLst>
              <a:ext uri="{FF2B5EF4-FFF2-40B4-BE49-F238E27FC236}">
                <a16:creationId xmlns:a16="http://schemas.microsoft.com/office/drawing/2014/main" id="{9EF3C34E-90F4-5134-91BF-C9DBB2217BF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88" name="Shape 13">
            <a:extLst>
              <a:ext uri="{FF2B5EF4-FFF2-40B4-BE49-F238E27FC236}">
                <a16:creationId xmlns:a16="http://schemas.microsoft.com/office/drawing/2014/main" id="{375C4ECB-14D2-C9C2-FB28-32A120B9BD1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89" name="Shape 14">
            <a:extLst>
              <a:ext uri="{FF2B5EF4-FFF2-40B4-BE49-F238E27FC236}">
                <a16:creationId xmlns:a16="http://schemas.microsoft.com/office/drawing/2014/main" id="{94371BCF-0E0D-478A-A662-F811E132E27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90" name="Shape 15">
            <a:extLst>
              <a:ext uri="{FF2B5EF4-FFF2-40B4-BE49-F238E27FC236}">
                <a16:creationId xmlns:a16="http://schemas.microsoft.com/office/drawing/2014/main" id="{F5B971C5-250E-B237-FBBB-CC0D7C79B4B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91" name="Shape 16">
            <a:extLst>
              <a:ext uri="{FF2B5EF4-FFF2-40B4-BE49-F238E27FC236}">
                <a16:creationId xmlns:a16="http://schemas.microsoft.com/office/drawing/2014/main" id="{703C30F8-4DE5-52CA-F7EA-E553B67DC32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895</xdr:row>
      <xdr:rowOff>3246</xdr:rowOff>
    </xdr:from>
    <xdr:ext cx="33655" cy="33655"/>
    <xdr:grpSp>
      <xdr:nvGrpSpPr>
        <xdr:cNvPr id="7992" name="Group 17">
          <a:extLst>
            <a:ext uri="{FF2B5EF4-FFF2-40B4-BE49-F238E27FC236}">
              <a16:creationId xmlns:a16="http://schemas.microsoft.com/office/drawing/2014/main" id="{2F0A3FE4-99E6-4977-A9DE-58FA6BB95309}"/>
            </a:ext>
          </a:extLst>
        </xdr:cNvPr>
        <xdr:cNvGrpSpPr/>
      </xdr:nvGrpSpPr>
      <xdr:grpSpPr>
        <a:xfrm>
          <a:off x="4603072" y="164601492"/>
          <a:ext cx="33655" cy="33655"/>
          <a:chOff x="0" y="0"/>
          <a:chExt cx="33655" cy="33655"/>
        </a:xfrm>
      </xdr:grpSpPr>
      <xdr:sp macro="" textlink="">
        <xdr:nvSpPr>
          <xdr:cNvPr id="7993" name="Shape 18">
            <a:extLst>
              <a:ext uri="{FF2B5EF4-FFF2-40B4-BE49-F238E27FC236}">
                <a16:creationId xmlns:a16="http://schemas.microsoft.com/office/drawing/2014/main" id="{0A46A8C4-07F3-08B0-99B3-C2F2448F0A7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94" name="Shape 19">
            <a:extLst>
              <a:ext uri="{FF2B5EF4-FFF2-40B4-BE49-F238E27FC236}">
                <a16:creationId xmlns:a16="http://schemas.microsoft.com/office/drawing/2014/main" id="{64864B05-0EB8-742F-B3F4-1B1E5C16736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95" name="Shape 20">
            <a:extLst>
              <a:ext uri="{FF2B5EF4-FFF2-40B4-BE49-F238E27FC236}">
                <a16:creationId xmlns:a16="http://schemas.microsoft.com/office/drawing/2014/main" id="{E98DBB2D-D04A-FC3A-5E5E-BD9A1C48537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96" name="Shape 21">
            <a:extLst>
              <a:ext uri="{FF2B5EF4-FFF2-40B4-BE49-F238E27FC236}">
                <a16:creationId xmlns:a16="http://schemas.microsoft.com/office/drawing/2014/main" id="{8B617603-1309-5476-3D2C-61D50365B3C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97" name="Shape 22">
            <a:extLst>
              <a:ext uri="{FF2B5EF4-FFF2-40B4-BE49-F238E27FC236}">
                <a16:creationId xmlns:a16="http://schemas.microsoft.com/office/drawing/2014/main" id="{A5A5F54C-6817-CFFB-14B7-983EE870643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7998" name="Shape 23">
            <a:extLst>
              <a:ext uri="{FF2B5EF4-FFF2-40B4-BE49-F238E27FC236}">
                <a16:creationId xmlns:a16="http://schemas.microsoft.com/office/drawing/2014/main" id="{F6C871AC-5336-C665-D1EA-AFDA961F108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7999" name="Shape 24">
            <a:extLst>
              <a:ext uri="{FF2B5EF4-FFF2-40B4-BE49-F238E27FC236}">
                <a16:creationId xmlns:a16="http://schemas.microsoft.com/office/drawing/2014/main" id="{593490C6-67B9-4F98-E946-3D90A9B6A3B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00" name="Shape 25">
            <a:extLst>
              <a:ext uri="{FF2B5EF4-FFF2-40B4-BE49-F238E27FC236}">
                <a16:creationId xmlns:a16="http://schemas.microsoft.com/office/drawing/2014/main" id="{F07A3A59-9E3A-A4B7-6965-A4A02CECE28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01" name="Shape 26">
            <a:extLst>
              <a:ext uri="{FF2B5EF4-FFF2-40B4-BE49-F238E27FC236}">
                <a16:creationId xmlns:a16="http://schemas.microsoft.com/office/drawing/2014/main" id="{951F4446-3FBC-816C-DF49-97A25087FCD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02" name="Shape 27">
            <a:extLst>
              <a:ext uri="{FF2B5EF4-FFF2-40B4-BE49-F238E27FC236}">
                <a16:creationId xmlns:a16="http://schemas.microsoft.com/office/drawing/2014/main" id="{48EE48CA-BA45-F3AC-24E4-AB2D5E26C02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03" name="Shape 28">
            <a:extLst>
              <a:ext uri="{FF2B5EF4-FFF2-40B4-BE49-F238E27FC236}">
                <a16:creationId xmlns:a16="http://schemas.microsoft.com/office/drawing/2014/main" id="{98A56AD0-043D-2174-47FC-4C889233484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04" name="Shape 29">
            <a:extLst>
              <a:ext uri="{FF2B5EF4-FFF2-40B4-BE49-F238E27FC236}">
                <a16:creationId xmlns:a16="http://schemas.microsoft.com/office/drawing/2014/main" id="{306320D3-A6BC-77D8-543F-B218DB2BB7E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05" name="Shape 30">
            <a:extLst>
              <a:ext uri="{FF2B5EF4-FFF2-40B4-BE49-F238E27FC236}">
                <a16:creationId xmlns:a16="http://schemas.microsoft.com/office/drawing/2014/main" id="{0EED4EFB-B37D-088A-3380-82F739F40B7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06" name="Shape 31">
            <a:extLst>
              <a:ext uri="{FF2B5EF4-FFF2-40B4-BE49-F238E27FC236}">
                <a16:creationId xmlns:a16="http://schemas.microsoft.com/office/drawing/2014/main" id="{02E0BCC0-AA25-2C66-3B7D-7F44329D456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895</xdr:row>
      <xdr:rowOff>3703</xdr:rowOff>
    </xdr:from>
    <xdr:ext cx="33655" cy="33655"/>
    <xdr:grpSp>
      <xdr:nvGrpSpPr>
        <xdr:cNvPr id="8007" name="Group 32">
          <a:extLst>
            <a:ext uri="{FF2B5EF4-FFF2-40B4-BE49-F238E27FC236}">
              <a16:creationId xmlns:a16="http://schemas.microsoft.com/office/drawing/2014/main" id="{F187E96E-7C19-4EA3-82BA-507BED7AE3B5}"/>
            </a:ext>
          </a:extLst>
        </xdr:cNvPr>
        <xdr:cNvGrpSpPr/>
      </xdr:nvGrpSpPr>
      <xdr:grpSpPr>
        <a:xfrm>
          <a:off x="4603072" y="164601949"/>
          <a:ext cx="33655" cy="33655"/>
          <a:chOff x="0" y="0"/>
          <a:chExt cx="33655" cy="33655"/>
        </a:xfrm>
      </xdr:grpSpPr>
      <xdr:sp macro="" textlink="">
        <xdr:nvSpPr>
          <xdr:cNvPr id="8008" name="Shape 33">
            <a:extLst>
              <a:ext uri="{FF2B5EF4-FFF2-40B4-BE49-F238E27FC236}">
                <a16:creationId xmlns:a16="http://schemas.microsoft.com/office/drawing/2014/main" id="{FFE15E50-FDF0-D842-3DF6-781FDE8AF7E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09" name="Shape 34">
            <a:extLst>
              <a:ext uri="{FF2B5EF4-FFF2-40B4-BE49-F238E27FC236}">
                <a16:creationId xmlns:a16="http://schemas.microsoft.com/office/drawing/2014/main" id="{3AEA201A-4A84-26BF-440F-B6041E0AB27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10" name="Shape 35">
            <a:extLst>
              <a:ext uri="{FF2B5EF4-FFF2-40B4-BE49-F238E27FC236}">
                <a16:creationId xmlns:a16="http://schemas.microsoft.com/office/drawing/2014/main" id="{17B8CEB2-F969-2DED-F447-C45E4A88813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11" name="Shape 36">
            <a:extLst>
              <a:ext uri="{FF2B5EF4-FFF2-40B4-BE49-F238E27FC236}">
                <a16:creationId xmlns:a16="http://schemas.microsoft.com/office/drawing/2014/main" id="{FCDA23BE-FA12-7992-6ADF-23E293D7173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12" name="Shape 37">
            <a:extLst>
              <a:ext uri="{FF2B5EF4-FFF2-40B4-BE49-F238E27FC236}">
                <a16:creationId xmlns:a16="http://schemas.microsoft.com/office/drawing/2014/main" id="{70DC68ED-C07B-014E-3717-198C5DFE32C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13" name="Shape 38">
            <a:extLst>
              <a:ext uri="{FF2B5EF4-FFF2-40B4-BE49-F238E27FC236}">
                <a16:creationId xmlns:a16="http://schemas.microsoft.com/office/drawing/2014/main" id="{C492CC4D-5F08-DAE6-82D3-1B8CFCC73F6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14" name="Shape 39">
            <a:extLst>
              <a:ext uri="{FF2B5EF4-FFF2-40B4-BE49-F238E27FC236}">
                <a16:creationId xmlns:a16="http://schemas.microsoft.com/office/drawing/2014/main" id="{712A3E7A-3E8C-B846-4CB8-47569EE9D97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15" name="Shape 40">
            <a:extLst>
              <a:ext uri="{FF2B5EF4-FFF2-40B4-BE49-F238E27FC236}">
                <a16:creationId xmlns:a16="http://schemas.microsoft.com/office/drawing/2014/main" id="{CD29A316-EC0A-BAD4-164F-99AD6D8EE62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16" name="Shape 41">
            <a:extLst>
              <a:ext uri="{FF2B5EF4-FFF2-40B4-BE49-F238E27FC236}">
                <a16:creationId xmlns:a16="http://schemas.microsoft.com/office/drawing/2014/main" id="{49C16DEE-B09E-34B6-1FDA-4F84F009BAB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17" name="Shape 42">
            <a:extLst>
              <a:ext uri="{FF2B5EF4-FFF2-40B4-BE49-F238E27FC236}">
                <a16:creationId xmlns:a16="http://schemas.microsoft.com/office/drawing/2014/main" id="{D0D2CBD9-949A-0684-D9DB-7AB9AA16358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18" name="Shape 43">
            <a:extLst>
              <a:ext uri="{FF2B5EF4-FFF2-40B4-BE49-F238E27FC236}">
                <a16:creationId xmlns:a16="http://schemas.microsoft.com/office/drawing/2014/main" id="{403F5E61-E77E-E35A-9A61-B77E75CA76A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19" name="Shape 44">
            <a:extLst>
              <a:ext uri="{FF2B5EF4-FFF2-40B4-BE49-F238E27FC236}">
                <a16:creationId xmlns:a16="http://schemas.microsoft.com/office/drawing/2014/main" id="{0377B330-3CAC-35B1-F00F-26A227C24CE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20" name="Shape 45">
            <a:extLst>
              <a:ext uri="{FF2B5EF4-FFF2-40B4-BE49-F238E27FC236}">
                <a16:creationId xmlns:a16="http://schemas.microsoft.com/office/drawing/2014/main" id="{1776ACCF-6D67-47A5-66FB-1B4F8A0DD60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21" name="Shape 46">
            <a:extLst>
              <a:ext uri="{FF2B5EF4-FFF2-40B4-BE49-F238E27FC236}">
                <a16:creationId xmlns:a16="http://schemas.microsoft.com/office/drawing/2014/main" id="{D37B3F5B-9C27-B625-4954-8FA7539A154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895</xdr:row>
      <xdr:rowOff>3409</xdr:rowOff>
    </xdr:from>
    <xdr:ext cx="33655" cy="33655"/>
    <xdr:grpSp>
      <xdr:nvGrpSpPr>
        <xdr:cNvPr id="8022" name="Group 47">
          <a:extLst>
            <a:ext uri="{FF2B5EF4-FFF2-40B4-BE49-F238E27FC236}">
              <a16:creationId xmlns:a16="http://schemas.microsoft.com/office/drawing/2014/main" id="{A668909E-ED17-448A-9CF2-8092E943777D}"/>
            </a:ext>
          </a:extLst>
        </xdr:cNvPr>
        <xdr:cNvGrpSpPr/>
      </xdr:nvGrpSpPr>
      <xdr:grpSpPr>
        <a:xfrm>
          <a:off x="4603072" y="164601655"/>
          <a:ext cx="33655" cy="33655"/>
          <a:chOff x="0" y="0"/>
          <a:chExt cx="33655" cy="33655"/>
        </a:xfrm>
      </xdr:grpSpPr>
      <xdr:sp macro="" textlink="">
        <xdr:nvSpPr>
          <xdr:cNvPr id="8023" name="Shape 48">
            <a:extLst>
              <a:ext uri="{FF2B5EF4-FFF2-40B4-BE49-F238E27FC236}">
                <a16:creationId xmlns:a16="http://schemas.microsoft.com/office/drawing/2014/main" id="{E65847BE-E2C8-4CEE-C479-9E001B64673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24" name="Shape 49">
            <a:extLst>
              <a:ext uri="{FF2B5EF4-FFF2-40B4-BE49-F238E27FC236}">
                <a16:creationId xmlns:a16="http://schemas.microsoft.com/office/drawing/2014/main" id="{C59BACA3-1049-A1EE-9C5E-CE0A9F31E90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25" name="Shape 50">
            <a:extLst>
              <a:ext uri="{FF2B5EF4-FFF2-40B4-BE49-F238E27FC236}">
                <a16:creationId xmlns:a16="http://schemas.microsoft.com/office/drawing/2014/main" id="{4377A58F-F6C0-A7EA-C252-2029A40F9A1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26" name="Shape 51">
            <a:extLst>
              <a:ext uri="{FF2B5EF4-FFF2-40B4-BE49-F238E27FC236}">
                <a16:creationId xmlns:a16="http://schemas.microsoft.com/office/drawing/2014/main" id="{D5A65C5A-A673-4E9D-7E57-F4864CFFC3A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27" name="Shape 52">
            <a:extLst>
              <a:ext uri="{FF2B5EF4-FFF2-40B4-BE49-F238E27FC236}">
                <a16:creationId xmlns:a16="http://schemas.microsoft.com/office/drawing/2014/main" id="{BBD2B855-71BA-E789-4EB8-E3C05F81B91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28" name="Shape 53">
            <a:extLst>
              <a:ext uri="{FF2B5EF4-FFF2-40B4-BE49-F238E27FC236}">
                <a16:creationId xmlns:a16="http://schemas.microsoft.com/office/drawing/2014/main" id="{7DAE8C81-DF54-82ED-57E9-7BC2E0D73A3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29" name="Shape 54">
            <a:extLst>
              <a:ext uri="{FF2B5EF4-FFF2-40B4-BE49-F238E27FC236}">
                <a16:creationId xmlns:a16="http://schemas.microsoft.com/office/drawing/2014/main" id="{69A96BDB-201E-EC1C-F2DB-2601BE47DF0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30" name="Shape 55">
            <a:extLst>
              <a:ext uri="{FF2B5EF4-FFF2-40B4-BE49-F238E27FC236}">
                <a16:creationId xmlns:a16="http://schemas.microsoft.com/office/drawing/2014/main" id="{17683027-0C5B-1642-8EC9-4B3BF8E33DE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31" name="Shape 56">
            <a:extLst>
              <a:ext uri="{FF2B5EF4-FFF2-40B4-BE49-F238E27FC236}">
                <a16:creationId xmlns:a16="http://schemas.microsoft.com/office/drawing/2014/main" id="{A0773A7F-43D8-6036-0E0A-82C08613F49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32" name="Shape 57">
            <a:extLst>
              <a:ext uri="{FF2B5EF4-FFF2-40B4-BE49-F238E27FC236}">
                <a16:creationId xmlns:a16="http://schemas.microsoft.com/office/drawing/2014/main" id="{4BE40285-D042-A04D-53A3-A0C9F54CDB7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33" name="Shape 58">
            <a:extLst>
              <a:ext uri="{FF2B5EF4-FFF2-40B4-BE49-F238E27FC236}">
                <a16:creationId xmlns:a16="http://schemas.microsoft.com/office/drawing/2014/main" id="{D0F4AF82-655B-4D4C-FEAC-CC9DF10594C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34" name="Shape 59">
            <a:extLst>
              <a:ext uri="{FF2B5EF4-FFF2-40B4-BE49-F238E27FC236}">
                <a16:creationId xmlns:a16="http://schemas.microsoft.com/office/drawing/2014/main" id="{AF7A2142-960F-7AA6-B3A2-97E0318CEFC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35" name="Shape 60">
            <a:extLst>
              <a:ext uri="{FF2B5EF4-FFF2-40B4-BE49-F238E27FC236}">
                <a16:creationId xmlns:a16="http://schemas.microsoft.com/office/drawing/2014/main" id="{699DE5F9-29E2-7EE8-27C0-276945CFBDA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36" name="Shape 61">
            <a:extLst>
              <a:ext uri="{FF2B5EF4-FFF2-40B4-BE49-F238E27FC236}">
                <a16:creationId xmlns:a16="http://schemas.microsoft.com/office/drawing/2014/main" id="{BD47E382-F308-E4D1-A4D7-FA64EF0907B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895</xdr:row>
      <xdr:rowOff>3962</xdr:rowOff>
    </xdr:from>
    <xdr:ext cx="33655" cy="33655"/>
    <xdr:grpSp>
      <xdr:nvGrpSpPr>
        <xdr:cNvPr id="8037" name="Group 62">
          <a:extLst>
            <a:ext uri="{FF2B5EF4-FFF2-40B4-BE49-F238E27FC236}">
              <a16:creationId xmlns:a16="http://schemas.microsoft.com/office/drawing/2014/main" id="{93D0237B-7902-4A2B-9299-18E986915B0B}"/>
            </a:ext>
          </a:extLst>
        </xdr:cNvPr>
        <xdr:cNvGrpSpPr/>
      </xdr:nvGrpSpPr>
      <xdr:grpSpPr>
        <a:xfrm>
          <a:off x="4603072" y="164602208"/>
          <a:ext cx="33655" cy="33655"/>
          <a:chOff x="0" y="0"/>
          <a:chExt cx="33655" cy="33655"/>
        </a:xfrm>
      </xdr:grpSpPr>
      <xdr:sp macro="" textlink="">
        <xdr:nvSpPr>
          <xdr:cNvPr id="8038" name="Shape 63">
            <a:extLst>
              <a:ext uri="{FF2B5EF4-FFF2-40B4-BE49-F238E27FC236}">
                <a16:creationId xmlns:a16="http://schemas.microsoft.com/office/drawing/2014/main" id="{A634CBBF-F110-7838-98EA-261ADFD29E7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39" name="Shape 64">
            <a:extLst>
              <a:ext uri="{FF2B5EF4-FFF2-40B4-BE49-F238E27FC236}">
                <a16:creationId xmlns:a16="http://schemas.microsoft.com/office/drawing/2014/main" id="{C66A6205-1035-B23E-C16A-2BDEA24AC7D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040" name="Shape 65">
            <a:extLst>
              <a:ext uri="{FF2B5EF4-FFF2-40B4-BE49-F238E27FC236}">
                <a16:creationId xmlns:a16="http://schemas.microsoft.com/office/drawing/2014/main" id="{CB660D5C-61DC-7FE5-EE49-500D2272691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41" name="Shape 66">
            <a:extLst>
              <a:ext uri="{FF2B5EF4-FFF2-40B4-BE49-F238E27FC236}">
                <a16:creationId xmlns:a16="http://schemas.microsoft.com/office/drawing/2014/main" id="{7BA52D79-285E-E4C8-228F-663526F0B7A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042" name="Shape 67">
            <a:extLst>
              <a:ext uri="{FF2B5EF4-FFF2-40B4-BE49-F238E27FC236}">
                <a16:creationId xmlns:a16="http://schemas.microsoft.com/office/drawing/2014/main" id="{85CC4BCC-74B5-9DFD-AB3A-457E60AB999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43" name="Shape 68">
            <a:extLst>
              <a:ext uri="{FF2B5EF4-FFF2-40B4-BE49-F238E27FC236}">
                <a16:creationId xmlns:a16="http://schemas.microsoft.com/office/drawing/2014/main" id="{6BEDC018-D11A-2646-A352-3E7E59A3EA4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044" name="Shape 69">
            <a:extLst>
              <a:ext uri="{FF2B5EF4-FFF2-40B4-BE49-F238E27FC236}">
                <a16:creationId xmlns:a16="http://schemas.microsoft.com/office/drawing/2014/main" id="{22DA7F77-2BC4-FEC7-CD34-C5EA8B7A0FC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45" name="Shape 70">
            <a:extLst>
              <a:ext uri="{FF2B5EF4-FFF2-40B4-BE49-F238E27FC236}">
                <a16:creationId xmlns:a16="http://schemas.microsoft.com/office/drawing/2014/main" id="{5BAB384A-5D1A-9EDF-0B12-F83071A7DAE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046" name="Shape 71">
            <a:extLst>
              <a:ext uri="{FF2B5EF4-FFF2-40B4-BE49-F238E27FC236}">
                <a16:creationId xmlns:a16="http://schemas.microsoft.com/office/drawing/2014/main" id="{CF35906F-43FF-CBA2-17D7-DE7ED18D8DD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47" name="Shape 72">
            <a:extLst>
              <a:ext uri="{FF2B5EF4-FFF2-40B4-BE49-F238E27FC236}">
                <a16:creationId xmlns:a16="http://schemas.microsoft.com/office/drawing/2014/main" id="{1A6CCF78-D5C8-C34B-9B15-C1DFEACAC99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048" name="Shape 73">
            <a:extLst>
              <a:ext uri="{FF2B5EF4-FFF2-40B4-BE49-F238E27FC236}">
                <a16:creationId xmlns:a16="http://schemas.microsoft.com/office/drawing/2014/main" id="{A98ECAC7-865E-A430-1233-BABB345B98E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49" name="Shape 74">
            <a:extLst>
              <a:ext uri="{FF2B5EF4-FFF2-40B4-BE49-F238E27FC236}">
                <a16:creationId xmlns:a16="http://schemas.microsoft.com/office/drawing/2014/main" id="{3B6CBE20-CD46-A67D-69E2-375F705C306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050" name="Shape 75">
            <a:extLst>
              <a:ext uri="{FF2B5EF4-FFF2-40B4-BE49-F238E27FC236}">
                <a16:creationId xmlns:a16="http://schemas.microsoft.com/office/drawing/2014/main" id="{5B575CBA-5A57-EB05-F4B0-D63387921C6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051" name="Shape 76">
            <a:extLst>
              <a:ext uri="{FF2B5EF4-FFF2-40B4-BE49-F238E27FC236}">
                <a16:creationId xmlns:a16="http://schemas.microsoft.com/office/drawing/2014/main" id="{46C2269B-B2DE-2506-A900-BDC9EF26D54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895</xdr:row>
      <xdr:rowOff>2978</xdr:rowOff>
    </xdr:from>
    <xdr:ext cx="33655" cy="33655"/>
    <xdr:grpSp>
      <xdr:nvGrpSpPr>
        <xdr:cNvPr id="8052" name="Group 2">
          <a:extLst>
            <a:ext uri="{FF2B5EF4-FFF2-40B4-BE49-F238E27FC236}">
              <a16:creationId xmlns:a16="http://schemas.microsoft.com/office/drawing/2014/main" id="{13411DED-8BEA-4A52-A7F9-3F9B8FAE7E2C}"/>
            </a:ext>
          </a:extLst>
        </xdr:cNvPr>
        <xdr:cNvGrpSpPr/>
      </xdr:nvGrpSpPr>
      <xdr:grpSpPr>
        <a:xfrm>
          <a:off x="4603072" y="164601224"/>
          <a:ext cx="33655" cy="33655"/>
          <a:chOff x="0" y="0"/>
          <a:chExt cx="33655" cy="33655"/>
        </a:xfrm>
      </xdr:grpSpPr>
      <xdr:sp macro="" textlink="">
        <xdr:nvSpPr>
          <xdr:cNvPr id="8053" name="Shape 3">
            <a:extLst>
              <a:ext uri="{FF2B5EF4-FFF2-40B4-BE49-F238E27FC236}">
                <a16:creationId xmlns:a16="http://schemas.microsoft.com/office/drawing/2014/main" id="{13EFA105-B883-1A2D-5DDB-2C9E4353F1B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54" name="Shape 4">
            <a:extLst>
              <a:ext uri="{FF2B5EF4-FFF2-40B4-BE49-F238E27FC236}">
                <a16:creationId xmlns:a16="http://schemas.microsoft.com/office/drawing/2014/main" id="{709807A5-F113-D6F6-65CE-0D09DB36F33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55" name="Shape 5">
            <a:extLst>
              <a:ext uri="{FF2B5EF4-FFF2-40B4-BE49-F238E27FC236}">
                <a16:creationId xmlns:a16="http://schemas.microsoft.com/office/drawing/2014/main" id="{510E1230-AC69-5C21-3C91-F03121BF978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56" name="Shape 6">
            <a:extLst>
              <a:ext uri="{FF2B5EF4-FFF2-40B4-BE49-F238E27FC236}">
                <a16:creationId xmlns:a16="http://schemas.microsoft.com/office/drawing/2014/main" id="{339FD47B-A8E4-4E06-D507-79BDDFADF3B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57" name="Shape 7">
            <a:extLst>
              <a:ext uri="{FF2B5EF4-FFF2-40B4-BE49-F238E27FC236}">
                <a16:creationId xmlns:a16="http://schemas.microsoft.com/office/drawing/2014/main" id="{35C5A798-7D42-B047-5CEB-0CA28D0AC0C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58" name="Shape 8">
            <a:extLst>
              <a:ext uri="{FF2B5EF4-FFF2-40B4-BE49-F238E27FC236}">
                <a16:creationId xmlns:a16="http://schemas.microsoft.com/office/drawing/2014/main" id="{848874C8-2C94-C685-5BA4-3D4310E8B60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59" name="Shape 9">
            <a:extLst>
              <a:ext uri="{FF2B5EF4-FFF2-40B4-BE49-F238E27FC236}">
                <a16:creationId xmlns:a16="http://schemas.microsoft.com/office/drawing/2014/main" id="{3CEA9684-2330-F507-A989-F20C0A91898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60" name="Shape 10">
            <a:extLst>
              <a:ext uri="{FF2B5EF4-FFF2-40B4-BE49-F238E27FC236}">
                <a16:creationId xmlns:a16="http://schemas.microsoft.com/office/drawing/2014/main" id="{775A2B39-0AA7-2524-52C6-5E4B3CAAD5D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61" name="Shape 11">
            <a:extLst>
              <a:ext uri="{FF2B5EF4-FFF2-40B4-BE49-F238E27FC236}">
                <a16:creationId xmlns:a16="http://schemas.microsoft.com/office/drawing/2014/main" id="{3C2FB130-4C2C-3C72-9B5B-DC6A510E3AD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62" name="Shape 12">
            <a:extLst>
              <a:ext uri="{FF2B5EF4-FFF2-40B4-BE49-F238E27FC236}">
                <a16:creationId xmlns:a16="http://schemas.microsoft.com/office/drawing/2014/main" id="{4F7D6370-6900-7C42-C5A1-2A98F03EDE3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63" name="Shape 13">
            <a:extLst>
              <a:ext uri="{FF2B5EF4-FFF2-40B4-BE49-F238E27FC236}">
                <a16:creationId xmlns:a16="http://schemas.microsoft.com/office/drawing/2014/main" id="{D7BFFA37-EF88-17AF-3B54-06629F0F6FE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64" name="Shape 14">
            <a:extLst>
              <a:ext uri="{FF2B5EF4-FFF2-40B4-BE49-F238E27FC236}">
                <a16:creationId xmlns:a16="http://schemas.microsoft.com/office/drawing/2014/main" id="{D7C6E642-2938-88BC-F527-E7AEB9D7631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65" name="Shape 15">
            <a:extLst>
              <a:ext uri="{FF2B5EF4-FFF2-40B4-BE49-F238E27FC236}">
                <a16:creationId xmlns:a16="http://schemas.microsoft.com/office/drawing/2014/main" id="{3C35A6C6-0020-9976-E8DB-2C7BD95E0C0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66" name="Shape 16">
            <a:extLst>
              <a:ext uri="{FF2B5EF4-FFF2-40B4-BE49-F238E27FC236}">
                <a16:creationId xmlns:a16="http://schemas.microsoft.com/office/drawing/2014/main" id="{A3BDA005-07D5-4785-F9C9-EAD1D8F565C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895</xdr:row>
      <xdr:rowOff>3246</xdr:rowOff>
    </xdr:from>
    <xdr:ext cx="33655" cy="33655"/>
    <xdr:grpSp>
      <xdr:nvGrpSpPr>
        <xdr:cNvPr id="8067" name="Group 17">
          <a:extLst>
            <a:ext uri="{FF2B5EF4-FFF2-40B4-BE49-F238E27FC236}">
              <a16:creationId xmlns:a16="http://schemas.microsoft.com/office/drawing/2014/main" id="{8951BC4B-E7A3-4AA1-8066-374EFC69DB54}"/>
            </a:ext>
          </a:extLst>
        </xdr:cNvPr>
        <xdr:cNvGrpSpPr/>
      </xdr:nvGrpSpPr>
      <xdr:grpSpPr>
        <a:xfrm>
          <a:off x="4603072" y="164601492"/>
          <a:ext cx="33655" cy="33655"/>
          <a:chOff x="0" y="0"/>
          <a:chExt cx="33655" cy="33655"/>
        </a:xfrm>
      </xdr:grpSpPr>
      <xdr:sp macro="" textlink="">
        <xdr:nvSpPr>
          <xdr:cNvPr id="8068" name="Shape 18">
            <a:extLst>
              <a:ext uri="{FF2B5EF4-FFF2-40B4-BE49-F238E27FC236}">
                <a16:creationId xmlns:a16="http://schemas.microsoft.com/office/drawing/2014/main" id="{F83C17A3-5AFF-F457-61A7-0AB215E5769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69" name="Shape 19">
            <a:extLst>
              <a:ext uri="{FF2B5EF4-FFF2-40B4-BE49-F238E27FC236}">
                <a16:creationId xmlns:a16="http://schemas.microsoft.com/office/drawing/2014/main" id="{D99F6B7F-B59D-0290-6658-74F4D68458B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70" name="Shape 20">
            <a:extLst>
              <a:ext uri="{FF2B5EF4-FFF2-40B4-BE49-F238E27FC236}">
                <a16:creationId xmlns:a16="http://schemas.microsoft.com/office/drawing/2014/main" id="{FB9CF3A6-55BE-A596-87D3-D7C536AC5DE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71" name="Shape 21">
            <a:extLst>
              <a:ext uri="{FF2B5EF4-FFF2-40B4-BE49-F238E27FC236}">
                <a16:creationId xmlns:a16="http://schemas.microsoft.com/office/drawing/2014/main" id="{7760F480-0BA2-D314-B9EE-93DCFCF3C27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72" name="Shape 22">
            <a:extLst>
              <a:ext uri="{FF2B5EF4-FFF2-40B4-BE49-F238E27FC236}">
                <a16:creationId xmlns:a16="http://schemas.microsoft.com/office/drawing/2014/main" id="{68F2DA91-901E-7751-98D3-661ACAC984B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73" name="Shape 23">
            <a:extLst>
              <a:ext uri="{FF2B5EF4-FFF2-40B4-BE49-F238E27FC236}">
                <a16:creationId xmlns:a16="http://schemas.microsoft.com/office/drawing/2014/main" id="{D58528B5-3B9E-4CF0-ACEA-B71CD5F1E41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74" name="Shape 24">
            <a:extLst>
              <a:ext uri="{FF2B5EF4-FFF2-40B4-BE49-F238E27FC236}">
                <a16:creationId xmlns:a16="http://schemas.microsoft.com/office/drawing/2014/main" id="{7589EE35-5929-82D0-15C7-EF7574FF3A5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75" name="Shape 25">
            <a:extLst>
              <a:ext uri="{FF2B5EF4-FFF2-40B4-BE49-F238E27FC236}">
                <a16:creationId xmlns:a16="http://schemas.microsoft.com/office/drawing/2014/main" id="{A5FB0CF6-EDCD-0B97-E8C3-DEECBD19F9C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76" name="Shape 26">
            <a:extLst>
              <a:ext uri="{FF2B5EF4-FFF2-40B4-BE49-F238E27FC236}">
                <a16:creationId xmlns:a16="http://schemas.microsoft.com/office/drawing/2014/main" id="{EF865AE1-3EA1-971E-DFDA-D77A18800F3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77" name="Shape 27">
            <a:extLst>
              <a:ext uri="{FF2B5EF4-FFF2-40B4-BE49-F238E27FC236}">
                <a16:creationId xmlns:a16="http://schemas.microsoft.com/office/drawing/2014/main" id="{B66892A9-CE1C-2329-6471-3FC4A5829D8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78" name="Shape 28">
            <a:extLst>
              <a:ext uri="{FF2B5EF4-FFF2-40B4-BE49-F238E27FC236}">
                <a16:creationId xmlns:a16="http://schemas.microsoft.com/office/drawing/2014/main" id="{762EE786-5AFD-9901-2F84-5803F08CC7B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79" name="Shape 29">
            <a:extLst>
              <a:ext uri="{FF2B5EF4-FFF2-40B4-BE49-F238E27FC236}">
                <a16:creationId xmlns:a16="http://schemas.microsoft.com/office/drawing/2014/main" id="{9968CBC6-C9AA-7686-4D13-F190A2319E3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80" name="Shape 30">
            <a:extLst>
              <a:ext uri="{FF2B5EF4-FFF2-40B4-BE49-F238E27FC236}">
                <a16:creationId xmlns:a16="http://schemas.microsoft.com/office/drawing/2014/main" id="{5518FF78-E907-585D-9023-6C682ECA49F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81" name="Shape 31">
            <a:extLst>
              <a:ext uri="{FF2B5EF4-FFF2-40B4-BE49-F238E27FC236}">
                <a16:creationId xmlns:a16="http://schemas.microsoft.com/office/drawing/2014/main" id="{C4E733A5-891E-88F9-938F-1F85FD37D1D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895</xdr:row>
      <xdr:rowOff>3703</xdr:rowOff>
    </xdr:from>
    <xdr:ext cx="33655" cy="33655"/>
    <xdr:grpSp>
      <xdr:nvGrpSpPr>
        <xdr:cNvPr id="8082" name="Group 32">
          <a:extLst>
            <a:ext uri="{FF2B5EF4-FFF2-40B4-BE49-F238E27FC236}">
              <a16:creationId xmlns:a16="http://schemas.microsoft.com/office/drawing/2014/main" id="{D3792B63-D9EA-460E-9D8B-F9112C55BE23}"/>
            </a:ext>
          </a:extLst>
        </xdr:cNvPr>
        <xdr:cNvGrpSpPr/>
      </xdr:nvGrpSpPr>
      <xdr:grpSpPr>
        <a:xfrm>
          <a:off x="4603072" y="164601949"/>
          <a:ext cx="33655" cy="33655"/>
          <a:chOff x="0" y="0"/>
          <a:chExt cx="33655" cy="33655"/>
        </a:xfrm>
      </xdr:grpSpPr>
      <xdr:sp macro="" textlink="">
        <xdr:nvSpPr>
          <xdr:cNvPr id="8083" name="Shape 33">
            <a:extLst>
              <a:ext uri="{FF2B5EF4-FFF2-40B4-BE49-F238E27FC236}">
                <a16:creationId xmlns:a16="http://schemas.microsoft.com/office/drawing/2014/main" id="{5EB0EA38-18E7-8F4B-7213-30A2C751A57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84" name="Shape 34">
            <a:extLst>
              <a:ext uri="{FF2B5EF4-FFF2-40B4-BE49-F238E27FC236}">
                <a16:creationId xmlns:a16="http://schemas.microsoft.com/office/drawing/2014/main" id="{58504BBD-2531-0D0C-3F29-06ED5A38498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85" name="Shape 35">
            <a:extLst>
              <a:ext uri="{FF2B5EF4-FFF2-40B4-BE49-F238E27FC236}">
                <a16:creationId xmlns:a16="http://schemas.microsoft.com/office/drawing/2014/main" id="{52EB9157-2868-7945-FA80-75F8F4F555A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86" name="Shape 36">
            <a:extLst>
              <a:ext uri="{FF2B5EF4-FFF2-40B4-BE49-F238E27FC236}">
                <a16:creationId xmlns:a16="http://schemas.microsoft.com/office/drawing/2014/main" id="{D27781CF-636A-A800-B62D-2B02DC18875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87" name="Shape 37">
            <a:extLst>
              <a:ext uri="{FF2B5EF4-FFF2-40B4-BE49-F238E27FC236}">
                <a16:creationId xmlns:a16="http://schemas.microsoft.com/office/drawing/2014/main" id="{292EFD73-637A-E83C-0602-47E9782C851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88" name="Shape 38">
            <a:extLst>
              <a:ext uri="{FF2B5EF4-FFF2-40B4-BE49-F238E27FC236}">
                <a16:creationId xmlns:a16="http://schemas.microsoft.com/office/drawing/2014/main" id="{5D544618-82FD-E6EE-7918-F0DD9B74597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89" name="Shape 39">
            <a:extLst>
              <a:ext uri="{FF2B5EF4-FFF2-40B4-BE49-F238E27FC236}">
                <a16:creationId xmlns:a16="http://schemas.microsoft.com/office/drawing/2014/main" id="{BDA91818-B9C8-5FB1-769B-C9CDA00DB9F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90" name="Shape 40">
            <a:extLst>
              <a:ext uri="{FF2B5EF4-FFF2-40B4-BE49-F238E27FC236}">
                <a16:creationId xmlns:a16="http://schemas.microsoft.com/office/drawing/2014/main" id="{63DB99C5-A4B6-85A1-7A4C-373191CB68B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91" name="Shape 41">
            <a:extLst>
              <a:ext uri="{FF2B5EF4-FFF2-40B4-BE49-F238E27FC236}">
                <a16:creationId xmlns:a16="http://schemas.microsoft.com/office/drawing/2014/main" id="{3EBC0F12-9CD8-DDAA-370E-337F5C1768E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92" name="Shape 42">
            <a:extLst>
              <a:ext uri="{FF2B5EF4-FFF2-40B4-BE49-F238E27FC236}">
                <a16:creationId xmlns:a16="http://schemas.microsoft.com/office/drawing/2014/main" id="{8D7CE5EA-BABF-3A4D-A443-B423D161DD3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93" name="Shape 43">
            <a:extLst>
              <a:ext uri="{FF2B5EF4-FFF2-40B4-BE49-F238E27FC236}">
                <a16:creationId xmlns:a16="http://schemas.microsoft.com/office/drawing/2014/main" id="{E7794971-BAC9-83B1-8FB6-E48A25FB2D3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94" name="Shape 44">
            <a:extLst>
              <a:ext uri="{FF2B5EF4-FFF2-40B4-BE49-F238E27FC236}">
                <a16:creationId xmlns:a16="http://schemas.microsoft.com/office/drawing/2014/main" id="{530552F7-F45A-DB7F-0490-B392C958957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95" name="Shape 45">
            <a:extLst>
              <a:ext uri="{FF2B5EF4-FFF2-40B4-BE49-F238E27FC236}">
                <a16:creationId xmlns:a16="http://schemas.microsoft.com/office/drawing/2014/main" id="{30121CE1-FB83-6EFE-6C62-A8A61D1EA0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096" name="Shape 46">
            <a:extLst>
              <a:ext uri="{FF2B5EF4-FFF2-40B4-BE49-F238E27FC236}">
                <a16:creationId xmlns:a16="http://schemas.microsoft.com/office/drawing/2014/main" id="{39C7AD0C-7AAA-4529-2FE7-714C4AFE96C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895</xdr:row>
      <xdr:rowOff>3409</xdr:rowOff>
    </xdr:from>
    <xdr:ext cx="33655" cy="33655"/>
    <xdr:grpSp>
      <xdr:nvGrpSpPr>
        <xdr:cNvPr id="8097" name="Group 47">
          <a:extLst>
            <a:ext uri="{FF2B5EF4-FFF2-40B4-BE49-F238E27FC236}">
              <a16:creationId xmlns:a16="http://schemas.microsoft.com/office/drawing/2014/main" id="{947368DA-15DB-489D-A956-85DF5904D1A9}"/>
            </a:ext>
          </a:extLst>
        </xdr:cNvPr>
        <xdr:cNvGrpSpPr/>
      </xdr:nvGrpSpPr>
      <xdr:grpSpPr>
        <a:xfrm>
          <a:off x="4603072" y="164601655"/>
          <a:ext cx="33655" cy="33655"/>
          <a:chOff x="0" y="0"/>
          <a:chExt cx="33655" cy="33655"/>
        </a:xfrm>
      </xdr:grpSpPr>
      <xdr:sp macro="" textlink="">
        <xdr:nvSpPr>
          <xdr:cNvPr id="8098" name="Shape 48">
            <a:extLst>
              <a:ext uri="{FF2B5EF4-FFF2-40B4-BE49-F238E27FC236}">
                <a16:creationId xmlns:a16="http://schemas.microsoft.com/office/drawing/2014/main" id="{06FC5ADF-E7C7-5ADF-9F69-5206BC48A33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099" name="Shape 49">
            <a:extLst>
              <a:ext uri="{FF2B5EF4-FFF2-40B4-BE49-F238E27FC236}">
                <a16:creationId xmlns:a16="http://schemas.microsoft.com/office/drawing/2014/main" id="{890BCA8F-E545-4EE4-A6DA-B2C38375D10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00" name="Shape 50">
            <a:extLst>
              <a:ext uri="{FF2B5EF4-FFF2-40B4-BE49-F238E27FC236}">
                <a16:creationId xmlns:a16="http://schemas.microsoft.com/office/drawing/2014/main" id="{A0041E26-1189-D804-B9D4-42E32C18D21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01" name="Shape 51">
            <a:extLst>
              <a:ext uri="{FF2B5EF4-FFF2-40B4-BE49-F238E27FC236}">
                <a16:creationId xmlns:a16="http://schemas.microsoft.com/office/drawing/2014/main" id="{78AF4888-1B6F-2116-567D-BAE5B2C102C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02" name="Shape 52">
            <a:extLst>
              <a:ext uri="{FF2B5EF4-FFF2-40B4-BE49-F238E27FC236}">
                <a16:creationId xmlns:a16="http://schemas.microsoft.com/office/drawing/2014/main" id="{E23D2548-B50B-743B-0095-CCE1125227B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03" name="Shape 53">
            <a:extLst>
              <a:ext uri="{FF2B5EF4-FFF2-40B4-BE49-F238E27FC236}">
                <a16:creationId xmlns:a16="http://schemas.microsoft.com/office/drawing/2014/main" id="{7BCD760E-9533-19E7-CD84-8A0F0239A40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04" name="Shape 54">
            <a:extLst>
              <a:ext uri="{FF2B5EF4-FFF2-40B4-BE49-F238E27FC236}">
                <a16:creationId xmlns:a16="http://schemas.microsoft.com/office/drawing/2014/main" id="{518C2D01-6336-213D-C3F8-A8BAB13268B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05" name="Shape 55">
            <a:extLst>
              <a:ext uri="{FF2B5EF4-FFF2-40B4-BE49-F238E27FC236}">
                <a16:creationId xmlns:a16="http://schemas.microsoft.com/office/drawing/2014/main" id="{035F62A3-90A9-9633-C715-5ECB07B63E9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06" name="Shape 56">
            <a:extLst>
              <a:ext uri="{FF2B5EF4-FFF2-40B4-BE49-F238E27FC236}">
                <a16:creationId xmlns:a16="http://schemas.microsoft.com/office/drawing/2014/main" id="{210307D1-1AC4-CFB1-1A6F-B590BAC9216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07" name="Shape 57">
            <a:extLst>
              <a:ext uri="{FF2B5EF4-FFF2-40B4-BE49-F238E27FC236}">
                <a16:creationId xmlns:a16="http://schemas.microsoft.com/office/drawing/2014/main" id="{73DA197B-05F5-5629-E136-678900C0D30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08" name="Shape 58">
            <a:extLst>
              <a:ext uri="{FF2B5EF4-FFF2-40B4-BE49-F238E27FC236}">
                <a16:creationId xmlns:a16="http://schemas.microsoft.com/office/drawing/2014/main" id="{D24DB570-56E8-5323-0BA1-D65EDC0FB62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09" name="Shape 59">
            <a:extLst>
              <a:ext uri="{FF2B5EF4-FFF2-40B4-BE49-F238E27FC236}">
                <a16:creationId xmlns:a16="http://schemas.microsoft.com/office/drawing/2014/main" id="{B186C6D4-E6C1-855D-7D1D-C07D7233D61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10" name="Shape 60">
            <a:extLst>
              <a:ext uri="{FF2B5EF4-FFF2-40B4-BE49-F238E27FC236}">
                <a16:creationId xmlns:a16="http://schemas.microsoft.com/office/drawing/2014/main" id="{D0140766-6499-4060-C2FE-E2A64A32DB5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11" name="Shape 61">
            <a:extLst>
              <a:ext uri="{FF2B5EF4-FFF2-40B4-BE49-F238E27FC236}">
                <a16:creationId xmlns:a16="http://schemas.microsoft.com/office/drawing/2014/main" id="{E99B1726-830C-8861-AE8C-BA011B713A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895</xdr:row>
      <xdr:rowOff>3962</xdr:rowOff>
    </xdr:from>
    <xdr:ext cx="33655" cy="33655"/>
    <xdr:grpSp>
      <xdr:nvGrpSpPr>
        <xdr:cNvPr id="8112" name="Group 62">
          <a:extLst>
            <a:ext uri="{FF2B5EF4-FFF2-40B4-BE49-F238E27FC236}">
              <a16:creationId xmlns:a16="http://schemas.microsoft.com/office/drawing/2014/main" id="{FDAC05A4-FB4D-4607-B081-D37FB03FBF4A}"/>
            </a:ext>
          </a:extLst>
        </xdr:cNvPr>
        <xdr:cNvGrpSpPr/>
      </xdr:nvGrpSpPr>
      <xdr:grpSpPr>
        <a:xfrm>
          <a:off x="4603072" y="164602208"/>
          <a:ext cx="33655" cy="33655"/>
          <a:chOff x="0" y="0"/>
          <a:chExt cx="33655" cy="33655"/>
        </a:xfrm>
      </xdr:grpSpPr>
      <xdr:sp macro="" textlink="">
        <xdr:nvSpPr>
          <xdr:cNvPr id="8113" name="Shape 63">
            <a:extLst>
              <a:ext uri="{FF2B5EF4-FFF2-40B4-BE49-F238E27FC236}">
                <a16:creationId xmlns:a16="http://schemas.microsoft.com/office/drawing/2014/main" id="{44D01FD7-DD9B-E462-D6EF-65CFC63D21B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14" name="Shape 64">
            <a:extLst>
              <a:ext uri="{FF2B5EF4-FFF2-40B4-BE49-F238E27FC236}">
                <a16:creationId xmlns:a16="http://schemas.microsoft.com/office/drawing/2014/main" id="{B4A8EECB-A313-EC37-C666-8BABD1AA60B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15" name="Shape 65">
            <a:extLst>
              <a:ext uri="{FF2B5EF4-FFF2-40B4-BE49-F238E27FC236}">
                <a16:creationId xmlns:a16="http://schemas.microsoft.com/office/drawing/2014/main" id="{AAEE550C-58A0-F4AC-114C-D95190CEC9B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16" name="Shape 66">
            <a:extLst>
              <a:ext uri="{FF2B5EF4-FFF2-40B4-BE49-F238E27FC236}">
                <a16:creationId xmlns:a16="http://schemas.microsoft.com/office/drawing/2014/main" id="{EF804FD5-E74C-FA17-AE00-7D55B09F736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17" name="Shape 67">
            <a:extLst>
              <a:ext uri="{FF2B5EF4-FFF2-40B4-BE49-F238E27FC236}">
                <a16:creationId xmlns:a16="http://schemas.microsoft.com/office/drawing/2014/main" id="{A82834A6-8673-D332-FEEF-215BA784965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18" name="Shape 68">
            <a:extLst>
              <a:ext uri="{FF2B5EF4-FFF2-40B4-BE49-F238E27FC236}">
                <a16:creationId xmlns:a16="http://schemas.microsoft.com/office/drawing/2014/main" id="{3B87E2A3-30ED-2166-46AD-473688B7D3D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19" name="Shape 69">
            <a:extLst>
              <a:ext uri="{FF2B5EF4-FFF2-40B4-BE49-F238E27FC236}">
                <a16:creationId xmlns:a16="http://schemas.microsoft.com/office/drawing/2014/main" id="{812ED872-E56B-64DE-5453-2DA8D3E5D92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20" name="Shape 70">
            <a:extLst>
              <a:ext uri="{FF2B5EF4-FFF2-40B4-BE49-F238E27FC236}">
                <a16:creationId xmlns:a16="http://schemas.microsoft.com/office/drawing/2014/main" id="{42027DDE-D7B3-38CD-68FC-7AD3C008CE6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21" name="Shape 71">
            <a:extLst>
              <a:ext uri="{FF2B5EF4-FFF2-40B4-BE49-F238E27FC236}">
                <a16:creationId xmlns:a16="http://schemas.microsoft.com/office/drawing/2014/main" id="{C5455C3B-BCB6-2878-AA8F-FEE1A385826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22" name="Shape 72">
            <a:extLst>
              <a:ext uri="{FF2B5EF4-FFF2-40B4-BE49-F238E27FC236}">
                <a16:creationId xmlns:a16="http://schemas.microsoft.com/office/drawing/2014/main" id="{11708B85-E13F-2B80-E550-848EB78A697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23" name="Shape 73">
            <a:extLst>
              <a:ext uri="{FF2B5EF4-FFF2-40B4-BE49-F238E27FC236}">
                <a16:creationId xmlns:a16="http://schemas.microsoft.com/office/drawing/2014/main" id="{7B4C3F8A-1D47-991D-9214-7F22305D643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24" name="Shape 74">
            <a:extLst>
              <a:ext uri="{FF2B5EF4-FFF2-40B4-BE49-F238E27FC236}">
                <a16:creationId xmlns:a16="http://schemas.microsoft.com/office/drawing/2014/main" id="{255D4C8E-16DA-4008-AF9B-D2A7B171EE0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25" name="Shape 75">
            <a:extLst>
              <a:ext uri="{FF2B5EF4-FFF2-40B4-BE49-F238E27FC236}">
                <a16:creationId xmlns:a16="http://schemas.microsoft.com/office/drawing/2014/main" id="{E6012E42-5DD5-16CC-1408-0A91B3922AD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26" name="Shape 76">
            <a:extLst>
              <a:ext uri="{FF2B5EF4-FFF2-40B4-BE49-F238E27FC236}">
                <a16:creationId xmlns:a16="http://schemas.microsoft.com/office/drawing/2014/main" id="{4FEE9403-56A7-1B43-7392-61D07C741F0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907</xdr:row>
      <xdr:rowOff>2978</xdr:rowOff>
    </xdr:from>
    <xdr:ext cx="33655" cy="33655"/>
    <xdr:grpSp>
      <xdr:nvGrpSpPr>
        <xdr:cNvPr id="8127" name="Group 2">
          <a:extLst>
            <a:ext uri="{FF2B5EF4-FFF2-40B4-BE49-F238E27FC236}">
              <a16:creationId xmlns:a16="http://schemas.microsoft.com/office/drawing/2014/main" id="{AAED9850-64EE-48F9-B2F8-C07F1F86877E}"/>
            </a:ext>
          </a:extLst>
        </xdr:cNvPr>
        <xdr:cNvGrpSpPr/>
      </xdr:nvGrpSpPr>
      <xdr:grpSpPr>
        <a:xfrm>
          <a:off x="4603072" y="166762306"/>
          <a:ext cx="33655" cy="33655"/>
          <a:chOff x="0" y="0"/>
          <a:chExt cx="33655" cy="33655"/>
        </a:xfrm>
      </xdr:grpSpPr>
      <xdr:sp macro="" textlink="">
        <xdr:nvSpPr>
          <xdr:cNvPr id="8128" name="Shape 3">
            <a:extLst>
              <a:ext uri="{FF2B5EF4-FFF2-40B4-BE49-F238E27FC236}">
                <a16:creationId xmlns:a16="http://schemas.microsoft.com/office/drawing/2014/main" id="{9368D937-DD7A-6E5F-7EC9-9F72BBA0232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29" name="Shape 4">
            <a:extLst>
              <a:ext uri="{FF2B5EF4-FFF2-40B4-BE49-F238E27FC236}">
                <a16:creationId xmlns:a16="http://schemas.microsoft.com/office/drawing/2014/main" id="{DA6672CD-B555-7F9D-5DB1-5D69B81ACFA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30" name="Shape 5">
            <a:extLst>
              <a:ext uri="{FF2B5EF4-FFF2-40B4-BE49-F238E27FC236}">
                <a16:creationId xmlns:a16="http://schemas.microsoft.com/office/drawing/2014/main" id="{FC6FF95F-0A32-1EC3-F024-2CEA658A59F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31" name="Shape 6">
            <a:extLst>
              <a:ext uri="{FF2B5EF4-FFF2-40B4-BE49-F238E27FC236}">
                <a16:creationId xmlns:a16="http://schemas.microsoft.com/office/drawing/2014/main" id="{DE52798E-B474-5B39-9960-F56AB9D7BD1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32" name="Shape 7">
            <a:extLst>
              <a:ext uri="{FF2B5EF4-FFF2-40B4-BE49-F238E27FC236}">
                <a16:creationId xmlns:a16="http://schemas.microsoft.com/office/drawing/2014/main" id="{37AD58F3-9EFD-3B00-426F-28329BF020B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33" name="Shape 8">
            <a:extLst>
              <a:ext uri="{FF2B5EF4-FFF2-40B4-BE49-F238E27FC236}">
                <a16:creationId xmlns:a16="http://schemas.microsoft.com/office/drawing/2014/main" id="{C314F1EA-9C18-0104-9985-CC3FA9C61D9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34" name="Shape 9">
            <a:extLst>
              <a:ext uri="{FF2B5EF4-FFF2-40B4-BE49-F238E27FC236}">
                <a16:creationId xmlns:a16="http://schemas.microsoft.com/office/drawing/2014/main" id="{3D9D67BF-E5BA-467B-8C4A-15F24CC36F2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35" name="Shape 10">
            <a:extLst>
              <a:ext uri="{FF2B5EF4-FFF2-40B4-BE49-F238E27FC236}">
                <a16:creationId xmlns:a16="http://schemas.microsoft.com/office/drawing/2014/main" id="{DAEDDAAA-9456-67E6-5563-CE2CEC376FE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36" name="Shape 11">
            <a:extLst>
              <a:ext uri="{FF2B5EF4-FFF2-40B4-BE49-F238E27FC236}">
                <a16:creationId xmlns:a16="http://schemas.microsoft.com/office/drawing/2014/main" id="{6A6BFE6D-3145-96F3-04A1-6DA35F1EFD4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37" name="Shape 12">
            <a:extLst>
              <a:ext uri="{FF2B5EF4-FFF2-40B4-BE49-F238E27FC236}">
                <a16:creationId xmlns:a16="http://schemas.microsoft.com/office/drawing/2014/main" id="{3ED463D3-0111-ACDC-4DDE-9DC135352E1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38" name="Shape 13">
            <a:extLst>
              <a:ext uri="{FF2B5EF4-FFF2-40B4-BE49-F238E27FC236}">
                <a16:creationId xmlns:a16="http://schemas.microsoft.com/office/drawing/2014/main" id="{BA210872-C101-0984-AE86-C18DF4D047B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39" name="Shape 14">
            <a:extLst>
              <a:ext uri="{FF2B5EF4-FFF2-40B4-BE49-F238E27FC236}">
                <a16:creationId xmlns:a16="http://schemas.microsoft.com/office/drawing/2014/main" id="{535657DF-0069-A692-9ADA-C621C67F7AF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40" name="Shape 15">
            <a:extLst>
              <a:ext uri="{FF2B5EF4-FFF2-40B4-BE49-F238E27FC236}">
                <a16:creationId xmlns:a16="http://schemas.microsoft.com/office/drawing/2014/main" id="{CC1AFD63-E8F5-5A5D-F6D0-6F99F8AABC3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41" name="Shape 16">
            <a:extLst>
              <a:ext uri="{FF2B5EF4-FFF2-40B4-BE49-F238E27FC236}">
                <a16:creationId xmlns:a16="http://schemas.microsoft.com/office/drawing/2014/main" id="{2A80F01A-BB39-0333-CABC-F0C7648C217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907</xdr:row>
      <xdr:rowOff>3246</xdr:rowOff>
    </xdr:from>
    <xdr:ext cx="33655" cy="33655"/>
    <xdr:grpSp>
      <xdr:nvGrpSpPr>
        <xdr:cNvPr id="8142" name="Group 17">
          <a:extLst>
            <a:ext uri="{FF2B5EF4-FFF2-40B4-BE49-F238E27FC236}">
              <a16:creationId xmlns:a16="http://schemas.microsoft.com/office/drawing/2014/main" id="{A0B53081-9871-4A3A-9EFD-5CDACD2FFEF0}"/>
            </a:ext>
          </a:extLst>
        </xdr:cNvPr>
        <xdr:cNvGrpSpPr/>
      </xdr:nvGrpSpPr>
      <xdr:grpSpPr>
        <a:xfrm>
          <a:off x="4603072" y="166762574"/>
          <a:ext cx="33655" cy="33655"/>
          <a:chOff x="0" y="0"/>
          <a:chExt cx="33655" cy="33655"/>
        </a:xfrm>
      </xdr:grpSpPr>
      <xdr:sp macro="" textlink="">
        <xdr:nvSpPr>
          <xdr:cNvPr id="8143" name="Shape 18">
            <a:extLst>
              <a:ext uri="{FF2B5EF4-FFF2-40B4-BE49-F238E27FC236}">
                <a16:creationId xmlns:a16="http://schemas.microsoft.com/office/drawing/2014/main" id="{4C9553FC-232D-EEEF-EBA7-91689C655D8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44" name="Shape 19">
            <a:extLst>
              <a:ext uri="{FF2B5EF4-FFF2-40B4-BE49-F238E27FC236}">
                <a16:creationId xmlns:a16="http://schemas.microsoft.com/office/drawing/2014/main" id="{6B0FDEEF-09F9-FC3F-CA61-C4D75D28531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45" name="Shape 20">
            <a:extLst>
              <a:ext uri="{FF2B5EF4-FFF2-40B4-BE49-F238E27FC236}">
                <a16:creationId xmlns:a16="http://schemas.microsoft.com/office/drawing/2014/main" id="{3F97EA91-7DC3-8E21-A285-003FC05A958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46" name="Shape 21">
            <a:extLst>
              <a:ext uri="{FF2B5EF4-FFF2-40B4-BE49-F238E27FC236}">
                <a16:creationId xmlns:a16="http://schemas.microsoft.com/office/drawing/2014/main" id="{3AC3512F-1BD3-577F-4788-FC07B4504FA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47" name="Shape 22">
            <a:extLst>
              <a:ext uri="{FF2B5EF4-FFF2-40B4-BE49-F238E27FC236}">
                <a16:creationId xmlns:a16="http://schemas.microsoft.com/office/drawing/2014/main" id="{8F066C07-C371-0EEE-388A-6E6FC3C72E0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48" name="Shape 23">
            <a:extLst>
              <a:ext uri="{FF2B5EF4-FFF2-40B4-BE49-F238E27FC236}">
                <a16:creationId xmlns:a16="http://schemas.microsoft.com/office/drawing/2014/main" id="{D5D21AC4-3A2E-3FBB-F9B8-A7BA536A01F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49" name="Shape 24">
            <a:extLst>
              <a:ext uri="{FF2B5EF4-FFF2-40B4-BE49-F238E27FC236}">
                <a16:creationId xmlns:a16="http://schemas.microsoft.com/office/drawing/2014/main" id="{CC77BD94-5014-4910-CFB0-591A847758B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50" name="Shape 25">
            <a:extLst>
              <a:ext uri="{FF2B5EF4-FFF2-40B4-BE49-F238E27FC236}">
                <a16:creationId xmlns:a16="http://schemas.microsoft.com/office/drawing/2014/main" id="{B9510FF0-33BA-0E8B-26E5-F6284148834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51" name="Shape 26">
            <a:extLst>
              <a:ext uri="{FF2B5EF4-FFF2-40B4-BE49-F238E27FC236}">
                <a16:creationId xmlns:a16="http://schemas.microsoft.com/office/drawing/2014/main" id="{FA15F0FE-50E6-F3DD-696D-172BAFDA874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52" name="Shape 27">
            <a:extLst>
              <a:ext uri="{FF2B5EF4-FFF2-40B4-BE49-F238E27FC236}">
                <a16:creationId xmlns:a16="http://schemas.microsoft.com/office/drawing/2014/main" id="{DF26FC3B-310C-C7E6-3289-898C8E2F752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53" name="Shape 28">
            <a:extLst>
              <a:ext uri="{FF2B5EF4-FFF2-40B4-BE49-F238E27FC236}">
                <a16:creationId xmlns:a16="http://schemas.microsoft.com/office/drawing/2014/main" id="{3B0F17F0-3EE0-634A-151A-1DF6E6F78B1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54" name="Shape 29">
            <a:extLst>
              <a:ext uri="{FF2B5EF4-FFF2-40B4-BE49-F238E27FC236}">
                <a16:creationId xmlns:a16="http://schemas.microsoft.com/office/drawing/2014/main" id="{80D96A47-355D-0D1A-39D4-5A555EA5836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55" name="Shape 30">
            <a:extLst>
              <a:ext uri="{FF2B5EF4-FFF2-40B4-BE49-F238E27FC236}">
                <a16:creationId xmlns:a16="http://schemas.microsoft.com/office/drawing/2014/main" id="{48D7DF78-2BB5-909D-9B6D-6B1E92E03E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56" name="Shape 31">
            <a:extLst>
              <a:ext uri="{FF2B5EF4-FFF2-40B4-BE49-F238E27FC236}">
                <a16:creationId xmlns:a16="http://schemas.microsoft.com/office/drawing/2014/main" id="{32EE3042-E807-3918-ACE0-1C71514D9AF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907</xdr:row>
      <xdr:rowOff>3703</xdr:rowOff>
    </xdr:from>
    <xdr:ext cx="33655" cy="33655"/>
    <xdr:grpSp>
      <xdr:nvGrpSpPr>
        <xdr:cNvPr id="8157" name="Group 32">
          <a:extLst>
            <a:ext uri="{FF2B5EF4-FFF2-40B4-BE49-F238E27FC236}">
              <a16:creationId xmlns:a16="http://schemas.microsoft.com/office/drawing/2014/main" id="{4EA65943-A89A-4394-A33F-21215D4EC667}"/>
            </a:ext>
          </a:extLst>
        </xdr:cNvPr>
        <xdr:cNvGrpSpPr/>
      </xdr:nvGrpSpPr>
      <xdr:grpSpPr>
        <a:xfrm>
          <a:off x="4603072" y="166763031"/>
          <a:ext cx="33655" cy="33655"/>
          <a:chOff x="0" y="0"/>
          <a:chExt cx="33655" cy="33655"/>
        </a:xfrm>
      </xdr:grpSpPr>
      <xdr:sp macro="" textlink="">
        <xdr:nvSpPr>
          <xdr:cNvPr id="8158" name="Shape 33">
            <a:extLst>
              <a:ext uri="{FF2B5EF4-FFF2-40B4-BE49-F238E27FC236}">
                <a16:creationId xmlns:a16="http://schemas.microsoft.com/office/drawing/2014/main" id="{88493ED6-DF14-8BEB-F9AB-BB76DB4D494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59" name="Shape 34">
            <a:extLst>
              <a:ext uri="{FF2B5EF4-FFF2-40B4-BE49-F238E27FC236}">
                <a16:creationId xmlns:a16="http://schemas.microsoft.com/office/drawing/2014/main" id="{833D08EE-E7F5-A3E7-2693-620A26BD649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60" name="Shape 35">
            <a:extLst>
              <a:ext uri="{FF2B5EF4-FFF2-40B4-BE49-F238E27FC236}">
                <a16:creationId xmlns:a16="http://schemas.microsoft.com/office/drawing/2014/main" id="{79691647-1A8E-E3B4-D418-43E0C3DB4C0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61" name="Shape 36">
            <a:extLst>
              <a:ext uri="{FF2B5EF4-FFF2-40B4-BE49-F238E27FC236}">
                <a16:creationId xmlns:a16="http://schemas.microsoft.com/office/drawing/2014/main" id="{6102B1CC-FC49-F1F4-F53B-33630471D72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62" name="Shape 37">
            <a:extLst>
              <a:ext uri="{FF2B5EF4-FFF2-40B4-BE49-F238E27FC236}">
                <a16:creationId xmlns:a16="http://schemas.microsoft.com/office/drawing/2014/main" id="{E8EFC83D-0C26-80F5-6A4E-C513A21963E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63" name="Shape 38">
            <a:extLst>
              <a:ext uri="{FF2B5EF4-FFF2-40B4-BE49-F238E27FC236}">
                <a16:creationId xmlns:a16="http://schemas.microsoft.com/office/drawing/2014/main" id="{3A7A4218-3AD2-9D8B-3458-ABDBB38A03C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64" name="Shape 39">
            <a:extLst>
              <a:ext uri="{FF2B5EF4-FFF2-40B4-BE49-F238E27FC236}">
                <a16:creationId xmlns:a16="http://schemas.microsoft.com/office/drawing/2014/main" id="{F771FDC0-D72A-A289-1368-C8A467564BF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65" name="Shape 40">
            <a:extLst>
              <a:ext uri="{FF2B5EF4-FFF2-40B4-BE49-F238E27FC236}">
                <a16:creationId xmlns:a16="http://schemas.microsoft.com/office/drawing/2014/main" id="{8A91F597-CEB9-501E-6F3F-9D08CAE6494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66" name="Shape 41">
            <a:extLst>
              <a:ext uri="{FF2B5EF4-FFF2-40B4-BE49-F238E27FC236}">
                <a16:creationId xmlns:a16="http://schemas.microsoft.com/office/drawing/2014/main" id="{C537C339-6821-1DCD-39AE-9C669C3BD41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67" name="Shape 42">
            <a:extLst>
              <a:ext uri="{FF2B5EF4-FFF2-40B4-BE49-F238E27FC236}">
                <a16:creationId xmlns:a16="http://schemas.microsoft.com/office/drawing/2014/main" id="{39CE4B7E-1102-A04C-CC55-91940F91167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68" name="Shape 43">
            <a:extLst>
              <a:ext uri="{FF2B5EF4-FFF2-40B4-BE49-F238E27FC236}">
                <a16:creationId xmlns:a16="http://schemas.microsoft.com/office/drawing/2014/main" id="{7F7BCD41-501D-D93C-6E16-72632CBCA71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69" name="Shape 44">
            <a:extLst>
              <a:ext uri="{FF2B5EF4-FFF2-40B4-BE49-F238E27FC236}">
                <a16:creationId xmlns:a16="http://schemas.microsoft.com/office/drawing/2014/main" id="{F932835E-1C3D-1E43-242A-DA1C2B9F239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70" name="Shape 45">
            <a:extLst>
              <a:ext uri="{FF2B5EF4-FFF2-40B4-BE49-F238E27FC236}">
                <a16:creationId xmlns:a16="http://schemas.microsoft.com/office/drawing/2014/main" id="{FE434A73-17CF-22BC-2822-26D820576B8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71" name="Shape 46">
            <a:extLst>
              <a:ext uri="{FF2B5EF4-FFF2-40B4-BE49-F238E27FC236}">
                <a16:creationId xmlns:a16="http://schemas.microsoft.com/office/drawing/2014/main" id="{E54AE34C-137D-9A74-A0DC-04375828124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907</xdr:row>
      <xdr:rowOff>3409</xdr:rowOff>
    </xdr:from>
    <xdr:ext cx="33655" cy="33655"/>
    <xdr:grpSp>
      <xdr:nvGrpSpPr>
        <xdr:cNvPr id="8172" name="Group 47">
          <a:extLst>
            <a:ext uri="{FF2B5EF4-FFF2-40B4-BE49-F238E27FC236}">
              <a16:creationId xmlns:a16="http://schemas.microsoft.com/office/drawing/2014/main" id="{134BED18-0755-4512-82FB-0FDE33A995FB}"/>
            </a:ext>
          </a:extLst>
        </xdr:cNvPr>
        <xdr:cNvGrpSpPr/>
      </xdr:nvGrpSpPr>
      <xdr:grpSpPr>
        <a:xfrm>
          <a:off x="4603072" y="166762737"/>
          <a:ext cx="33655" cy="33655"/>
          <a:chOff x="0" y="0"/>
          <a:chExt cx="33655" cy="33655"/>
        </a:xfrm>
      </xdr:grpSpPr>
      <xdr:sp macro="" textlink="">
        <xdr:nvSpPr>
          <xdr:cNvPr id="8173" name="Shape 48">
            <a:extLst>
              <a:ext uri="{FF2B5EF4-FFF2-40B4-BE49-F238E27FC236}">
                <a16:creationId xmlns:a16="http://schemas.microsoft.com/office/drawing/2014/main" id="{D942DE69-8B47-48B0-9F18-4066A1DF222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74" name="Shape 49">
            <a:extLst>
              <a:ext uri="{FF2B5EF4-FFF2-40B4-BE49-F238E27FC236}">
                <a16:creationId xmlns:a16="http://schemas.microsoft.com/office/drawing/2014/main" id="{987F9822-8952-216E-527D-9E856C99AD4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75" name="Shape 50">
            <a:extLst>
              <a:ext uri="{FF2B5EF4-FFF2-40B4-BE49-F238E27FC236}">
                <a16:creationId xmlns:a16="http://schemas.microsoft.com/office/drawing/2014/main" id="{9B578841-AA09-9B9B-0068-65180F528CF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76" name="Shape 51">
            <a:extLst>
              <a:ext uri="{FF2B5EF4-FFF2-40B4-BE49-F238E27FC236}">
                <a16:creationId xmlns:a16="http://schemas.microsoft.com/office/drawing/2014/main" id="{9E677B50-D7AD-846A-09F2-CDACFF9C19D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77" name="Shape 52">
            <a:extLst>
              <a:ext uri="{FF2B5EF4-FFF2-40B4-BE49-F238E27FC236}">
                <a16:creationId xmlns:a16="http://schemas.microsoft.com/office/drawing/2014/main" id="{26A3BFF0-A71F-61C5-5020-319E48CB429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78" name="Shape 53">
            <a:extLst>
              <a:ext uri="{FF2B5EF4-FFF2-40B4-BE49-F238E27FC236}">
                <a16:creationId xmlns:a16="http://schemas.microsoft.com/office/drawing/2014/main" id="{9FAEE3D2-550C-B6BC-A26D-F1E63DD34EB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79" name="Shape 54">
            <a:extLst>
              <a:ext uri="{FF2B5EF4-FFF2-40B4-BE49-F238E27FC236}">
                <a16:creationId xmlns:a16="http://schemas.microsoft.com/office/drawing/2014/main" id="{01B9A186-5E95-775B-3F01-018A5E3B0FB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80" name="Shape 55">
            <a:extLst>
              <a:ext uri="{FF2B5EF4-FFF2-40B4-BE49-F238E27FC236}">
                <a16:creationId xmlns:a16="http://schemas.microsoft.com/office/drawing/2014/main" id="{7263AC97-84B6-66C9-ACBB-FE8E5893A01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81" name="Shape 56">
            <a:extLst>
              <a:ext uri="{FF2B5EF4-FFF2-40B4-BE49-F238E27FC236}">
                <a16:creationId xmlns:a16="http://schemas.microsoft.com/office/drawing/2014/main" id="{C0326A08-98AD-C382-0757-A8247CA8983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82" name="Shape 57">
            <a:extLst>
              <a:ext uri="{FF2B5EF4-FFF2-40B4-BE49-F238E27FC236}">
                <a16:creationId xmlns:a16="http://schemas.microsoft.com/office/drawing/2014/main" id="{1D55BE86-6699-E1EF-12AC-DEDD51F1556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83" name="Shape 58">
            <a:extLst>
              <a:ext uri="{FF2B5EF4-FFF2-40B4-BE49-F238E27FC236}">
                <a16:creationId xmlns:a16="http://schemas.microsoft.com/office/drawing/2014/main" id="{923F7467-8A52-87C1-CEED-F8038BBBFA6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84" name="Shape 59">
            <a:extLst>
              <a:ext uri="{FF2B5EF4-FFF2-40B4-BE49-F238E27FC236}">
                <a16:creationId xmlns:a16="http://schemas.microsoft.com/office/drawing/2014/main" id="{0046C914-42AF-8A4C-8BA4-DA30AB8A8F8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85" name="Shape 60">
            <a:extLst>
              <a:ext uri="{FF2B5EF4-FFF2-40B4-BE49-F238E27FC236}">
                <a16:creationId xmlns:a16="http://schemas.microsoft.com/office/drawing/2014/main" id="{3AEE00FE-7428-9748-F452-8F394945CC6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186" name="Shape 61">
            <a:extLst>
              <a:ext uri="{FF2B5EF4-FFF2-40B4-BE49-F238E27FC236}">
                <a16:creationId xmlns:a16="http://schemas.microsoft.com/office/drawing/2014/main" id="{14BC3D98-44CB-92E9-A66E-038EF0F41E1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907</xdr:row>
      <xdr:rowOff>3962</xdr:rowOff>
    </xdr:from>
    <xdr:ext cx="33655" cy="33655"/>
    <xdr:grpSp>
      <xdr:nvGrpSpPr>
        <xdr:cNvPr id="8187" name="Group 62">
          <a:extLst>
            <a:ext uri="{FF2B5EF4-FFF2-40B4-BE49-F238E27FC236}">
              <a16:creationId xmlns:a16="http://schemas.microsoft.com/office/drawing/2014/main" id="{6B73290E-D4DF-40E6-BD20-8F020E10C18E}"/>
            </a:ext>
          </a:extLst>
        </xdr:cNvPr>
        <xdr:cNvGrpSpPr/>
      </xdr:nvGrpSpPr>
      <xdr:grpSpPr>
        <a:xfrm>
          <a:off x="4603072" y="166763290"/>
          <a:ext cx="33655" cy="33655"/>
          <a:chOff x="0" y="0"/>
          <a:chExt cx="33655" cy="33655"/>
        </a:xfrm>
      </xdr:grpSpPr>
      <xdr:sp macro="" textlink="">
        <xdr:nvSpPr>
          <xdr:cNvPr id="8188" name="Shape 63">
            <a:extLst>
              <a:ext uri="{FF2B5EF4-FFF2-40B4-BE49-F238E27FC236}">
                <a16:creationId xmlns:a16="http://schemas.microsoft.com/office/drawing/2014/main" id="{70F11777-9459-29F0-A66A-7F03843DC8B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89" name="Shape 64">
            <a:extLst>
              <a:ext uri="{FF2B5EF4-FFF2-40B4-BE49-F238E27FC236}">
                <a16:creationId xmlns:a16="http://schemas.microsoft.com/office/drawing/2014/main" id="{7E788541-018B-093C-F2DD-BAF41D55575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90" name="Shape 65">
            <a:extLst>
              <a:ext uri="{FF2B5EF4-FFF2-40B4-BE49-F238E27FC236}">
                <a16:creationId xmlns:a16="http://schemas.microsoft.com/office/drawing/2014/main" id="{1E05DEA6-80A1-7CBD-21E3-D432D0DEF2B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91" name="Shape 66">
            <a:extLst>
              <a:ext uri="{FF2B5EF4-FFF2-40B4-BE49-F238E27FC236}">
                <a16:creationId xmlns:a16="http://schemas.microsoft.com/office/drawing/2014/main" id="{577199C4-313E-865D-4927-78B5EDA4F39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92" name="Shape 67">
            <a:extLst>
              <a:ext uri="{FF2B5EF4-FFF2-40B4-BE49-F238E27FC236}">
                <a16:creationId xmlns:a16="http://schemas.microsoft.com/office/drawing/2014/main" id="{F8BDEE75-E62F-B274-1BF3-D9CFF4C384A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93" name="Shape 68">
            <a:extLst>
              <a:ext uri="{FF2B5EF4-FFF2-40B4-BE49-F238E27FC236}">
                <a16:creationId xmlns:a16="http://schemas.microsoft.com/office/drawing/2014/main" id="{A380C9E1-549F-0919-103B-C47F6E5E8A7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94" name="Shape 69">
            <a:extLst>
              <a:ext uri="{FF2B5EF4-FFF2-40B4-BE49-F238E27FC236}">
                <a16:creationId xmlns:a16="http://schemas.microsoft.com/office/drawing/2014/main" id="{E4175A75-08C7-D606-87C7-B709D880AA8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95" name="Shape 70">
            <a:extLst>
              <a:ext uri="{FF2B5EF4-FFF2-40B4-BE49-F238E27FC236}">
                <a16:creationId xmlns:a16="http://schemas.microsoft.com/office/drawing/2014/main" id="{66F25630-4B2B-2269-F5BA-0F8FF76F3B7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96" name="Shape 71">
            <a:extLst>
              <a:ext uri="{FF2B5EF4-FFF2-40B4-BE49-F238E27FC236}">
                <a16:creationId xmlns:a16="http://schemas.microsoft.com/office/drawing/2014/main" id="{44B903CF-3E81-0BE8-7682-619416C19F4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97" name="Shape 72">
            <a:extLst>
              <a:ext uri="{FF2B5EF4-FFF2-40B4-BE49-F238E27FC236}">
                <a16:creationId xmlns:a16="http://schemas.microsoft.com/office/drawing/2014/main" id="{9B1E3532-1D58-5644-F8C1-991BCA9EFD9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198" name="Shape 73">
            <a:extLst>
              <a:ext uri="{FF2B5EF4-FFF2-40B4-BE49-F238E27FC236}">
                <a16:creationId xmlns:a16="http://schemas.microsoft.com/office/drawing/2014/main" id="{3B7F5FD8-41A8-73BB-196E-119F0905CED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199" name="Shape 74">
            <a:extLst>
              <a:ext uri="{FF2B5EF4-FFF2-40B4-BE49-F238E27FC236}">
                <a16:creationId xmlns:a16="http://schemas.microsoft.com/office/drawing/2014/main" id="{63B378E0-9F60-9620-0976-8D2FFC9A069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00" name="Shape 75">
            <a:extLst>
              <a:ext uri="{FF2B5EF4-FFF2-40B4-BE49-F238E27FC236}">
                <a16:creationId xmlns:a16="http://schemas.microsoft.com/office/drawing/2014/main" id="{BBC3BE69-BDDC-2B0F-4A04-1BF58E047BC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01" name="Shape 76">
            <a:extLst>
              <a:ext uri="{FF2B5EF4-FFF2-40B4-BE49-F238E27FC236}">
                <a16:creationId xmlns:a16="http://schemas.microsoft.com/office/drawing/2014/main" id="{56E96FB5-E1AB-3EE0-8459-786DF0EF709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907</xdr:row>
      <xdr:rowOff>2978</xdr:rowOff>
    </xdr:from>
    <xdr:ext cx="33655" cy="33655"/>
    <xdr:grpSp>
      <xdr:nvGrpSpPr>
        <xdr:cNvPr id="8202" name="Group 2">
          <a:extLst>
            <a:ext uri="{FF2B5EF4-FFF2-40B4-BE49-F238E27FC236}">
              <a16:creationId xmlns:a16="http://schemas.microsoft.com/office/drawing/2014/main" id="{425BC102-C8C7-48B9-93AC-8892F148F514}"/>
            </a:ext>
          </a:extLst>
        </xdr:cNvPr>
        <xdr:cNvGrpSpPr/>
      </xdr:nvGrpSpPr>
      <xdr:grpSpPr>
        <a:xfrm>
          <a:off x="4603072" y="166762306"/>
          <a:ext cx="33655" cy="33655"/>
          <a:chOff x="0" y="0"/>
          <a:chExt cx="33655" cy="33655"/>
        </a:xfrm>
      </xdr:grpSpPr>
      <xdr:sp macro="" textlink="">
        <xdr:nvSpPr>
          <xdr:cNvPr id="8203" name="Shape 3">
            <a:extLst>
              <a:ext uri="{FF2B5EF4-FFF2-40B4-BE49-F238E27FC236}">
                <a16:creationId xmlns:a16="http://schemas.microsoft.com/office/drawing/2014/main" id="{8EBC4E87-5A20-95EA-707D-BB8A24D1B6B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04" name="Shape 4">
            <a:extLst>
              <a:ext uri="{FF2B5EF4-FFF2-40B4-BE49-F238E27FC236}">
                <a16:creationId xmlns:a16="http://schemas.microsoft.com/office/drawing/2014/main" id="{23776006-1D43-85A6-AEDB-BF368C27F4F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05" name="Shape 5">
            <a:extLst>
              <a:ext uri="{FF2B5EF4-FFF2-40B4-BE49-F238E27FC236}">
                <a16:creationId xmlns:a16="http://schemas.microsoft.com/office/drawing/2014/main" id="{16DD8516-19BF-D532-B529-60FADBE09F1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06" name="Shape 6">
            <a:extLst>
              <a:ext uri="{FF2B5EF4-FFF2-40B4-BE49-F238E27FC236}">
                <a16:creationId xmlns:a16="http://schemas.microsoft.com/office/drawing/2014/main" id="{3FF713FE-D803-F77E-B2C3-AEA5E5A2F6E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07" name="Shape 7">
            <a:extLst>
              <a:ext uri="{FF2B5EF4-FFF2-40B4-BE49-F238E27FC236}">
                <a16:creationId xmlns:a16="http://schemas.microsoft.com/office/drawing/2014/main" id="{B7703C94-7E23-041E-AE2F-1989F105DD9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08" name="Shape 8">
            <a:extLst>
              <a:ext uri="{FF2B5EF4-FFF2-40B4-BE49-F238E27FC236}">
                <a16:creationId xmlns:a16="http://schemas.microsoft.com/office/drawing/2014/main" id="{2AC83E2A-0F5B-D15C-CED4-D14A9AFB6C6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09" name="Shape 9">
            <a:extLst>
              <a:ext uri="{FF2B5EF4-FFF2-40B4-BE49-F238E27FC236}">
                <a16:creationId xmlns:a16="http://schemas.microsoft.com/office/drawing/2014/main" id="{5A4CD1D3-3EED-241F-4790-5A248EE66A8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10" name="Shape 10">
            <a:extLst>
              <a:ext uri="{FF2B5EF4-FFF2-40B4-BE49-F238E27FC236}">
                <a16:creationId xmlns:a16="http://schemas.microsoft.com/office/drawing/2014/main" id="{43B852C8-AB11-14A2-633B-358B8D62412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11" name="Shape 11">
            <a:extLst>
              <a:ext uri="{FF2B5EF4-FFF2-40B4-BE49-F238E27FC236}">
                <a16:creationId xmlns:a16="http://schemas.microsoft.com/office/drawing/2014/main" id="{6FE1CEFB-0A65-71E6-E2E4-3367B18CEED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12" name="Shape 12">
            <a:extLst>
              <a:ext uri="{FF2B5EF4-FFF2-40B4-BE49-F238E27FC236}">
                <a16:creationId xmlns:a16="http://schemas.microsoft.com/office/drawing/2014/main" id="{60BDA398-1715-A965-6C03-72443B4E13E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13" name="Shape 13">
            <a:extLst>
              <a:ext uri="{FF2B5EF4-FFF2-40B4-BE49-F238E27FC236}">
                <a16:creationId xmlns:a16="http://schemas.microsoft.com/office/drawing/2014/main" id="{1E5D8E03-E00D-D63B-9B48-F8BBC22C62F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14" name="Shape 14">
            <a:extLst>
              <a:ext uri="{FF2B5EF4-FFF2-40B4-BE49-F238E27FC236}">
                <a16:creationId xmlns:a16="http://schemas.microsoft.com/office/drawing/2014/main" id="{16A94E50-6EE6-C70B-968E-7AC313DA047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15" name="Shape 15">
            <a:extLst>
              <a:ext uri="{FF2B5EF4-FFF2-40B4-BE49-F238E27FC236}">
                <a16:creationId xmlns:a16="http://schemas.microsoft.com/office/drawing/2014/main" id="{609BB1E2-917C-49CE-8F6C-84FF22BCFB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16" name="Shape 16">
            <a:extLst>
              <a:ext uri="{FF2B5EF4-FFF2-40B4-BE49-F238E27FC236}">
                <a16:creationId xmlns:a16="http://schemas.microsoft.com/office/drawing/2014/main" id="{A15C15A4-3B5A-0BD9-3DAD-1AF346EE9ED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907</xdr:row>
      <xdr:rowOff>3246</xdr:rowOff>
    </xdr:from>
    <xdr:ext cx="33655" cy="33655"/>
    <xdr:grpSp>
      <xdr:nvGrpSpPr>
        <xdr:cNvPr id="8217" name="Group 17">
          <a:extLst>
            <a:ext uri="{FF2B5EF4-FFF2-40B4-BE49-F238E27FC236}">
              <a16:creationId xmlns:a16="http://schemas.microsoft.com/office/drawing/2014/main" id="{08BC00F3-772E-4862-B6E7-9675488157A3}"/>
            </a:ext>
          </a:extLst>
        </xdr:cNvPr>
        <xdr:cNvGrpSpPr/>
      </xdr:nvGrpSpPr>
      <xdr:grpSpPr>
        <a:xfrm>
          <a:off x="4603072" y="166762574"/>
          <a:ext cx="33655" cy="33655"/>
          <a:chOff x="0" y="0"/>
          <a:chExt cx="33655" cy="33655"/>
        </a:xfrm>
      </xdr:grpSpPr>
      <xdr:sp macro="" textlink="">
        <xdr:nvSpPr>
          <xdr:cNvPr id="8218" name="Shape 18">
            <a:extLst>
              <a:ext uri="{FF2B5EF4-FFF2-40B4-BE49-F238E27FC236}">
                <a16:creationId xmlns:a16="http://schemas.microsoft.com/office/drawing/2014/main" id="{B590FE71-5E06-0124-C6A8-5AFAA2DD7E6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19" name="Shape 19">
            <a:extLst>
              <a:ext uri="{FF2B5EF4-FFF2-40B4-BE49-F238E27FC236}">
                <a16:creationId xmlns:a16="http://schemas.microsoft.com/office/drawing/2014/main" id="{F89817EB-1FF0-2086-6246-E49B394D7B6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20" name="Shape 20">
            <a:extLst>
              <a:ext uri="{FF2B5EF4-FFF2-40B4-BE49-F238E27FC236}">
                <a16:creationId xmlns:a16="http://schemas.microsoft.com/office/drawing/2014/main" id="{6A14B4AE-1937-EEE1-EEB7-B787EF9CBB8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21" name="Shape 21">
            <a:extLst>
              <a:ext uri="{FF2B5EF4-FFF2-40B4-BE49-F238E27FC236}">
                <a16:creationId xmlns:a16="http://schemas.microsoft.com/office/drawing/2014/main" id="{0E9A21BE-86BA-ED8E-3732-264F93FE520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22" name="Shape 22">
            <a:extLst>
              <a:ext uri="{FF2B5EF4-FFF2-40B4-BE49-F238E27FC236}">
                <a16:creationId xmlns:a16="http://schemas.microsoft.com/office/drawing/2014/main" id="{A84E3D59-0709-7F78-7F3C-217D733BDC8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23" name="Shape 23">
            <a:extLst>
              <a:ext uri="{FF2B5EF4-FFF2-40B4-BE49-F238E27FC236}">
                <a16:creationId xmlns:a16="http://schemas.microsoft.com/office/drawing/2014/main" id="{C0A56A4F-24B3-B24F-3810-3AC5A5AD0C3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24" name="Shape 24">
            <a:extLst>
              <a:ext uri="{FF2B5EF4-FFF2-40B4-BE49-F238E27FC236}">
                <a16:creationId xmlns:a16="http://schemas.microsoft.com/office/drawing/2014/main" id="{A0D453A4-993A-B828-0BE0-F530A80F768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25" name="Shape 25">
            <a:extLst>
              <a:ext uri="{FF2B5EF4-FFF2-40B4-BE49-F238E27FC236}">
                <a16:creationId xmlns:a16="http://schemas.microsoft.com/office/drawing/2014/main" id="{C3F7614F-55FC-12CB-EE56-DE1BFB8E5E5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26" name="Shape 26">
            <a:extLst>
              <a:ext uri="{FF2B5EF4-FFF2-40B4-BE49-F238E27FC236}">
                <a16:creationId xmlns:a16="http://schemas.microsoft.com/office/drawing/2014/main" id="{4C0A05B6-1A98-DB35-CF39-92FCDF47BB7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27" name="Shape 27">
            <a:extLst>
              <a:ext uri="{FF2B5EF4-FFF2-40B4-BE49-F238E27FC236}">
                <a16:creationId xmlns:a16="http://schemas.microsoft.com/office/drawing/2014/main" id="{87EF7BE4-6C6C-26A5-9D1B-377FE79C16A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28" name="Shape 28">
            <a:extLst>
              <a:ext uri="{FF2B5EF4-FFF2-40B4-BE49-F238E27FC236}">
                <a16:creationId xmlns:a16="http://schemas.microsoft.com/office/drawing/2014/main" id="{1EE8A781-DAAC-AE27-FAE8-294419133D2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29" name="Shape 29">
            <a:extLst>
              <a:ext uri="{FF2B5EF4-FFF2-40B4-BE49-F238E27FC236}">
                <a16:creationId xmlns:a16="http://schemas.microsoft.com/office/drawing/2014/main" id="{3A2D75E6-612A-A98E-3438-4CE8B2C0597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30" name="Shape 30">
            <a:extLst>
              <a:ext uri="{FF2B5EF4-FFF2-40B4-BE49-F238E27FC236}">
                <a16:creationId xmlns:a16="http://schemas.microsoft.com/office/drawing/2014/main" id="{753C4958-437A-9D31-A3BA-F10E7ABC2DC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31" name="Shape 31">
            <a:extLst>
              <a:ext uri="{FF2B5EF4-FFF2-40B4-BE49-F238E27FC236}">
                <a16:creationId xmlns:a16="http://schemas.microsoft.com/office/drawing/2014/main" id="{AA30B003-FB1C-A662-B3AB-791B1B17A5A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907</xdr:row>
      <xdr:rowOff>3703</xdr:rowOff>
    </xdr:from>
    <xdr:ext cx="33655" cy="33655"/>
    <xdr:grpSp>
      <xdr:nvGrpSpPr>
        <xdr:cNvPr id="8232" name="Group 32">
          <a:extLst>
            <a:ext uri="{FF2B5EF4-FFF2-40B4-BE49-F238E27FC236}">
              <a16:creationId xmlns:a16="http://schemas.microsoft.com/office/drawing/2014/main" id="{F213A28F-1403-42C8-8F34-30FB2B808AA2}"/>
            </a:ext>
          </a:extLst>
        </xdr:cNvPr>
        <xdr:cNvGrpSpPr/>
      </xdr:nvGrpSpPr>
      <xdr:grpSpPr>
        <a:xfrm>
          <a:off x="4603072" y="166763031"/>
          <a:ext cx="33655" cy="33655"/>
          <a:chOff x="0" y="0"/>
          <a:chExt cx="33655" cy="33655"/>
        </a:xfrm>
      </xdr:grpSpPr>
      <xdr:sp macro="" textlink="">
        <xdr:nvSpPr>
          <xdr:cNvPr id="8233" name="Shape 33">
            <a:extLst>
              <a:ext uri="{FF2B5EF4-FFF2-40B4-BE49-F238E27FC236}">
                <a16:creationId xmlns:a16="http://schemas.microsoft.com/office/drawing/2014/main" id="{1A87AD5D-6D16-DF27-4E5C-F78E99777FC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34" name="Shape 34">
            <a:extLst>
              <a:ext uri="{FF2B5EF4-FFF2-40B4-BE49-F238E27FC236}">
                <a16:creationId xmlns:a16="http://schemas.microsoft.com/office/drawing/2014/main" id="{6B07E24C-83FF-F314-7EFA-2B98C1D2143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35" name="Shape 35">
            <a:extLst>
              <a:ext uri="{FF2B5EF4-FFF2-40B4-BE49-F238E27FC236}">
                <a16:creationId xmlns:a16="http://schemas.microsoft.com/office/drawing/2014/main" id="{BBDF1812-0AFE-C1BC-5B26-9498EB09E58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36" name="Shape 36">
            <a:extLst>
              <a:ext uri="{FF2B5EF4-FFF2-40B4-BE49-F238E27FC236}">
                <a16:creationId xmlns:a16="http://schemas.microsoft.com/office/drawing/2014/main" id="{0A80565A-DD4E-00AE-594E-34B7777293F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37" name="Shape 37">
            <a:extLst>
              <a:ext uri="{FF2B5EF4-FFF2-40B4-BE49-F238E27FC236}">
                <a16:creationId xmlns:a16="http://schemas.microsoft.com/office/drawing/2014/main" id="{DC526255-60F6-1874-1C74-27B26314F89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38" name="Shape 38">
            <a:extLst>
              <a:ext uri="{FF2B5EF4-FFF2-40B4-BE49-F238E27FC236}">
                <a16:creationId xmlns:a16="http://schemas.microsoft.com/office/drawing/2014/main" id="{586191C4-29F2-A3FB-5ED8-26DC0C44309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39" name="Shape 39">
            <a:extLst>
              <a:ext uri="{FF2B5EF4-FFF2-40B4-BE49-F238E27FC236}">
                <a16:creationId xmlns:a16="http://schemas.microsoft.com/office/drawing/2014/main" id="{C1897FED-6454-D339-DD06-5B920053686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40" name="Shape 40">
            <a:extLst>
              <a:ext uri="{FF2B5EF4-FFF2-40B4-BE49-F238E27FC236}">
                <a16:creationId xmlns:a16="http://schemas.microsoft.com/office/drawing/2014/main" id="{6B3A2804-3B49-8BD6-60DE-0D5C8B9D38C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41" name="Shape 41">
            <a:extLst>
              <a:ext uri="{FF2B5EF4-FFF2-40B4-BE49-F238E27FC236}">
                <a16:creationId xmlns:a16="http://schemas.microsoft.com/office/drawing/2014/main" id="{0C51EBCC-D4D5-1E77-FDB1-83E3512598D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42" name="Shape 42">
            <a:extLst>
              <a:ext uri="{FF2B5EF4-FFF2-40B4-BE49-F238E27FC236}">
                <a16:creationId xmlns:a16="http://schemas.microsoft.com/office/drawing/2014/main" id="{E450717A-5ED9-9A9C-8B42-ADEB06913E1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43" name="Shape 43">
            <a:extLst>
              <a:ext uri="{FF2B5EF4-FFF2-40B4-BE49-F238E27FC236}">
                <a16:creationId xmlns:a16="http://schemas.microsoft.com/office/drawing/2014/main" id="{1D1389B5-B476-69BD-F5FA-66730CAB676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44" name="Shape 44">
            <a:extLst>
              <a:ext uri="{FF2B5EF4-FFF2-40B4-BE49-F238E27FC236}">
                <a16:creationId xmlns:a16="http://schemas.microsoft.com/office/drawing/2014/main" id="{A7EFA769-BB04-CB62-0464-90DF8AD003D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45" name="Shape 45">
            <a:extLst>
              <a:ext uri="{FF2B5EF4-FFF2-40B4-BE49-F238E27FC236}">
                <a16:creationId xmlns:a16="http://schemas.microsoft.com/office/drawing/2014/main" id="{8E62EBD0-9C6A-8440-B4E4-57A5EE7B4CB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46" name="Shape 46">
            <a:extLst>
              <a:ext uri="{FF2B5EF4-FFF2-40B4-BE49-F238E27FC236}">
                <a16:creationId xmlns:a16="http://schemas.microsoft.com/office/drawing/2014/main" id="{EBD4CC7B-9AC4-D84B-CCFB-54BB620391A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907</xdr:row>
      <xdr:rowOff>3409</xdr:rowOff>
    </xdr:from>
    <xdr:ext cx="33655" cy="33655"/>
    <xdr:grpSp>
      <xdr:nvGrpSpPr>
        <xdr:cNvPr id="8247" name="Group 47">
          <a:extLst>
            <a:ext uri="{FF2B5EF4-FFF2-40B4-BE49-F238E27FC236}">
              <a16:creationId xmlns:a16="http://schemas.microsoft.com/office/drawing/2014/main" id="{2731F603-8F4B-4DAB-8C2D-8DF245901FA8}"/>
            </a:ext>
          </a:extLst>
        </xdr:cNvPr>
        <xdr:cNvGrpSpPr/>
      </xdr:nvGrpSpPr>
      <xdr:grpSpPr>
        <a:xfrm>
          <a:off x="4603072" y="166762737"/>
          <a:ext cx="33655" cy="33655"/>
          <a:chOff x="0" y="0"/>
          <a:chExt cx="33655" cy="33655"/>
        </a:xfrm>
      </xdr:grpSpPr>
      <xdr:sp macro="" textlink="">
        <xdr:nvSpPr>
          <xdr:cNvPr id="8248" name="Shape 48">
            <a:extLst>
              <a:ext uri="{FF2B5EF4-FFF2-40B4-BE49-F238E27FC236}">
                <a16:creationId xmlns:a16="http://schemas.microsoft.com/office/drawing/2014/main" id="{FBBDF951-EF9A-5A8A-5A03-C9A3F29A45C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49" name="Shape 49">
            <a:extLst>
              <a:ext uri="{FF2B5EF4-FFF2-40B4-BE49-F238E27FC236}">
                <a16:creationId xmlns:a16="http://schemas.microsoft.com/office/drawing/2014/main" id="{51DD7155-EE25-711C-234F-D3B65E4B371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50" name="Shape 50">
            <a:extLst>
              <a:ext uri="{FF2B5EF4-FFF2-40B4-BE49-F238E27FC236}">
                <a16:creationId xmlns:a16="http://schemas.microsoft.com/office/drawing/2014/main" id="{A5982ACF-ACF4-2DD2-4A61-64ACED94A44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51" name="Shape 51">
            <a:extLst>
              <a:ext uri="{FF2B5EF4-FFF2-40B4-BE49-F238E27FC236}">
                <a16:creationId xmlns:a16="http://schemas.microsoft.com/office/drawing/2014/main" id="{A6C35BF1-4E9B-814F-AD53-08F91AB388D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52" name="Shape 52">
            <a:extLst>
              <a:ext uri="{FF2B5EF4-FFF2-40B4-BE49-F238E27FC236}">
                <a16:creationId xmlns:a16="http://schemas.microsoft.com/office/drawing/2014/main" id="{68E8DB29-7A01-9189-C248-6E807972954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53" name="Shape 53">
            <a:extLst>
              <a:ext uri="{FF2B5EF4-FFF2-40B4-BE49-F238E27FC236}">
                <a16:creationId xmlns:a16="http://schemas.microsoft.com/office/drawing/2014/main" id="{9E6AB30B-B5C9-847E-394B-86E93B2E69A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54" name="Shape 54">
            <a:extLst>
              <a:ext uri="{FF2B5EF4-FFF2-40B4-BE49-F238E27FC236}">
                <a16:creationId xmlns:a16="http://schemas.microsoft.com/office/drawing/2014/main" id="{77A7C39E-C1B0-1F2B-6864-68C262D3AEF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55" name="Shape 55">
            <a:extLst>
              <a:ext uri="{FF2B5EF4-FFF2-40B4-BE49-F238E27FC236}">
                <a16:creationId xmlns:a16="http://schemas.microsoft.com/office/drawing/2014/main" id="{120A5D4C-B37A-29C3-BD58-1761BA7A6FA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56" name="Shape 56">
            <a:extLst>
              <a:ext uri="{FF2B5EF4-FFF2-40B4-BE49-F238E27FC236}">
                <a16:creationId xmlns:a16="http://schemas.microsoft.com/office/drawing/2014/main" id="{3B96EE3E-AFFB-52B1-D825-5FB65096403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57" name="Shape 57">
            <a:extLst>
              <a:ext uri="{FF2B5EF4-FFF2-40B4-BE49-F238E27FC236}">
                <a16:creationId xmlns:a16="http://schemas.microsoft.com/office/drawing/2014/main" id="{7D083D1D-F003-79CD-1EDF-B626A60692E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58" name="Shape 58">
            <a:extLst>
              <a:ext uri="{FF2B5EF4-FFF2-40B4-BE49-F238E27FC236}">
                <a16:creationId xmlns:a16="http://schemas.microsoft.com/office/drawing/2014/main" id="{02F7956E-52D3-99ED-DE5B-A7FA5EFEB66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59" name="Shape 59">
            <a:extLst>
              <a:ext uri="{FF2B5EF4-FFF2-40B4-BE49-F238E27FC236}">
                <a16:creationId xmlns:a16="http://schemas.microsoft.com/office/drawing/2014/main" id="{781585F4-28A2-6FCB-5A84-B7CB89DBCA6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60" name="Shape 60">
            <a:extLst>
              <a:ext uri="{FF2B5EF4-FFF2-40B4-BE49-F238E27FC236}">
                <a16:creationId xmlns:a16="http://schemas.microsoft.com/office/drawing/2014/main" id="{F483FEA6-848E-D75D-213C-0E2FBAED78C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61" name="Shape 61">
            <a:extLst>
              <a:ext uri="{FF2B5EF4-FFF2-40B4-BE49-F238E27FC236}">
                <a16:creationId xmlns:a16="http://schemas.microsoft.com/office/drawing/2014/main" id="{8F676DB4-201B-6F62-0FFF-15B2B363C2A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907</xdr:row>
      <xdr:rowOff>3962</xdr:rowOff>
    </xdr:from>
    <xdr:ext cx="33655" cy="33655"/>
    <xdr:grpSp>
      <xdr:nvGrpSpPr>
        <xdr:cNvPr id="8262" name="Group 62">
          <a:extLst>
            <a:ext uri="{FF2B5EF4-FFF2-40B4-BE49-F238E27FC236}">
              <a16:creationId xmlns:a16="http://schemas.microsoft.com/office/drawing/2014/main" id="{FA6D9127-39A0-4EB2-8BFA-75C0C0B57792}"/>
            </a:ext>
          </a:extLst>
        </xdr:cNvPr>
        <xdr:cNvGrpSpPr/>
      </xdr:nvGrpSpPr>
      <xdr:grpSpPr>
        <a:xfrm>
          <a:off x="4603072" y="166763290"/>
          <a:ext cx="33655" cy="33655"/>
          <a:chOff x="0" y="0"/>
          <a:chExt cx="33655" cy="33655"/>
        </a:xfrm>
      </xdr:grpSpPr>
      <xdr:sp macro="" textlink="">
        <xdr:nvSpPr>
          <xdr:cNvPr id="8263" name="Shape 63">
            <a:extLst>
              <a:ext uri="{FF2B5EF4-FFF2-40B4-BE49-F238E27FC236}">
                <a16:creationId xmlns:a16="http://schemas.microsoft.com/office/drawing/2014/main" id="{C4E97F3B-2E82-AF31-A1EB-A3D5DFC3330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64" name="Shape 64">
            <a:extLst>
              <a:ext uri="{FF2B5EF4-FFF2-40B4-BE49-F238E27FC236}">
                <a16:creationId xmlns:a16="http://schemas.microsoft.com/office/drawing/2014/main" id="{5887AC2B-8076-FD9D-606F-F5069BB965E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65" name="Shape 65">
            <a:extLst>
              <a:ext uri="{FF2B5EF4-FFF2-40B4-BE49-F238E27FC236}">
                <a16:creationId xmlns:a16="http://schemas.microsoft.com/office/drawing/2014/main" id="{78FB90CE-2844-0B21-BA0B-7AC867AB9A8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66" name="Shape 66">
            <a:extLst>
              <a:ext uri="{FF2B5EF4-FFF2-40B4-BE49-F238E27FC236}">
                <a16:creationId xmlns:a16="http://schemas.microsoft.com/office/drawing/2014/main" id="{B649ED5A-B0AB-43E0-C62A-7A914689C0C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67" name="Shape 67">
            <a:extLst>
              <a:ext uri="{FF2B5EF4-FFF2-40B4-BE49-F238E27FC236}">
                <a16:creationId xmlns:a16="http://schemas.microsoft.com/office/drawing/2014/main" id="{8C2820C0-DAF8-FAC2-56F2-CDF522FACB1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68" name="Shape 68">
            <a:extLst>
              <a:ext uri="{FF2B5EF4-FFF2-40B4-BE49-F238E27FC236}">
                <a16:creationId xmlns:a16="http://schemas.microsoft.com/office/drawing/2014/main" id="{6625163D-ABF1-0D91-4246-A69D10549CB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69" name="Shape 69">
            <a:extLst>
              <a:ext uri="{FF2B5EF4-FFF2-40B4-BE49-F238E27FC236}">
                <a16:creationId xmlns:a16="http://schemas.microsoft.com/office/drawing/2014/main" id="{C272D7CC-CB46-60B6-3870-14028BAD630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70" name="Shape 70">
            <a:extLst>
              <a:ext uri="{FF2B5EF4-FFF2-40B4-BE49-F238E27FC236}">
                <a16:creationId xmlns:a16="http://schemas.microsoft.com/office/drawing/2014/main" id="{17F0E408-209E-1972-55AD-0FD5BE97FCC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71" name="Shape 71">
            <a:extLst>
              <a:ext uri="{FF2B5EF4-FFF2-40B4-BE49-F238E27FC236}">
                <a16:creationId xmlns:a16="http://schemas.microsoft.com/office/drawing/2014/main" id="{34C15547-52F2-9210-0B05-0E45E063DE9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72" name="Shape 72">
            <a:extLst>
              <a:ext uri="{FF2B5EF4-FFF2-40B4-BE49-F238E27FC236}">
                <a16:creationId xmlns:a16="http://schemas.microsoft.com/office/drawing/2014/main" id="{50A47E12-466C-CF78-37D5-5B52581F767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73" name="Shape 73">
            <a:extLst>
              <a:ext uri="{FF2B5EF4-FFF2-40B4-BE49-F238E27FC236}">
                <a16:creationId xmlns:a16="http://schemas.microsoft.com/office/drawing/2014/main" id="{549BA569-EEC2-5D73-50BD-B96336B30B0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74" name="Shape 74">
            <a:extLst>
              <a:ext uri="{FF2B5EF4-FFF2-40B4-BE49-F238E27FC236}">
                <a16:creationId xmlns:a16="http://schemas.microsoft.com/office/drawing/2014/main" id="{95CA5BDF-8F7E-9976-6BAA-603041039FE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75" name="Shape 75">
            <a:extLst>
              <a:ext uri="{FF2B5EF4-FFF2-40B4-BE49-F238E27FC236}">
                <a16:creationId xmlns:a16="http://schemas.microsoft.com/office/drawing/2014/main" id="{00A8D3E3-8EE2-77D0-1A2C-32D87F68991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276" name="Shape 76">
            <a:extLst>
              <a:ext uri="{FF2B5EF4-FFF2-40B4-BE49-F238E27FC236}">
                <a16:creationId xmlns:a16="http://schemas.microsoft.com/office/drawing/2014/main" id="{DD218310-533B-3602-4513-889CEB592D7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427" name="Group 2">
          <a:extLst>
            <a:ext uri="{FF2B5EF4-FFF2-40B4-BE49-F238E27FC236}">
              <a16:creationId xmlns:a16="http://schemas.microsoft.com/office/drawing/2014/main" id="{FFD6D200-500E-4DC2-BD05-6B65F2B19FEB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428" name="Shape 3">
            <a:extLst>
              <a:ext uri="{FF2B5EF4-FFF2-40B4-BE49-F238E27FC236}">
                <a16:creationId xmlns:a16="http://schemas.microsoft.com/office/drawing/2014/main" id="{0BAFE6A4-92B1-DC5E-1965-3C2E99ACC0C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29" name="Shape 4">
            <a:extLst>
              <a:ext uri="{FF2B5EF4-FFF2-40B4-BE49-F238E27FC236}">
                <a16:creationId xmlns:a16="http://schemas.microsoft.com/office/drawing/2014/main" id="{3D6E1BE0-938B-F14F-C54B-8BFA999B4D4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30" name="Shape 5">
            <a:extLst>
              <a:ext uri="{FF2B5EF4-FFF2-40B4-BE49-F238E27FC236}">
                <a16:creationId xmlns:a16="http://schemas.microsoft.com/office/drawing/2014/main" id="{5C5321F1-04B7-EF33-B949-5C3A6CB9A62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31" name="Shape 6">
            <a:extLst>
              <a:ext uri="{FF2B5EF4-FFF2-40B4-BE49-F238E27FC236}">
                <a16:creationId xmlns:a16="http://schemas.microsoft.com/office/drawing/2014/main" id="{BCE7EC9A-D692-817C-3E9C-877BEA0705D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32" name="Shape 7">
            <a:extLst>
              <a:ext uri="{FF2B5EF4-FFF2-40B4-BE49-F238E27FC236}">
                <a16:creationId xmlns:a16="http://schemas.microsoft.com/office/drawing/2014/main" id="{2892E699-8F37-8F3A-9AD8-2CA8977352A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33" name="Shape 8">
            <a:extLst>
              <a:ext uri="{FF2B5EF4-FFF2-40B4-BE49-F238E27FC236}">
                <a16:creationId xmlns:a16="http://schemas.microsoft.com/office/drawing/2014/main" id="{26315278-E520-4558-00E7-4ACE7F7F821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34" name="Shape 9">
            <a:extLst>
              <a:ext uri="{FF2B5EF4-FFF2-40B4-BE49-F238E27FC236}">
                <a16:creationId xmlns:a16="http://schemas.microsoft.com/office/drawing/2014/main" id="{DE110EDE-0632-DAB1-A66A-C2AA94F11DD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35" name="Shape 10">
            <a:extLst>
              <a:ext uri="{FF2B5EF4-FFF2-40B4-BE49-F238E27FC236}">
                <a16:creationId xmlns:a16="http://schemas.microsoft.com/office/drawing/2014/main" id="{9AADF7F1-94FE-38E9-33A7-F2C54E084DD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36" name="Shape 11">
            <a:extLst>
              <a:ext uri="{FF2B5EF4-FFF2-40B4-BE49-F238E27FC236}">
                <a16:creationId xmlns:a16="http://schemas.microsoft.com/office/drawing/2014/main" id="{3F6A6198-603A-772D-8E73-B8CFC4E0817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37" name="Shape 12">
            <a:extLst>
              <a:ext uri="{FF2B5EF4-FFF2-40B4-BE49-F238E27FC236}">
                <a16:creationId xmlns:a16="http://schemas.microsoft.com/office/drawing/2014/main" id="{3C6DBFC6-902C-D8C6-73DD-8B63FE7A62B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38" name="Shape 13">
            <a:extLst>
              <a:ext uri="{FF2B5EF4-FFF2-40B4-BE49-F238E27FC236}">
                <a16:creationId xmlns:a16="http://schemas.microsoft.com/office/drawing/2014/main" id="{A155F914-D511-4FB6-595B-E03940DAE87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39" name="Shape 14">
            <a:extLst>
              <a:ext uri="{FF2B5EF4-FFF2-40B4-BE49-F238E27FC236}">
                <a16:creationId xmlns:a16="http://schemas.microsoft.com/office/drawing/2014/main" id="{2049783C-0EFE-2752-C4EA-EFEBB229D4D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40" name="Shape 15">
            <a:extLst>
              <a:ext uri="{FF2B5EF4-FFF2-40B4-BE49-F238E27FC236}">
                <a16:creationId xmlns:a16="http://schemas.microsoft.com/office/drawing/2014/main" id="{FAF78C2C-CDA5-C108-99C3-22FE2D72EA4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41" name="Shape 16">
            <a:extLst>
              <a:ext uri="{FF2B5EF4-FFF2-40B4-BE49-F238E27FC236}">
                <a16:creationId xmlns:a16="http://schemas.microsoft.com/office/drawing/2014/main" id="{3A0285D7-4666-C730-C0BA-D346AD732E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442" name="Group 17">
          <a:extLst>
            <a:ext uri="{FF2B5EF4-FFF2-40B4-BE49-F238E27FC236}">
              <a16:creationId xmlns:a16="http://schemas.microsoft.com/office/drawing/2014/main" id="{1CA32EBE-5B64-406E-955D-91B4AF394180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443" name="Shape 18">
            <a:extLst>
              <a:ext uri="{FF2B5EF4-FFF2-40B4-BE49-F238E27FC236}">
                <a16:creationId xmlns:a16="http://schemas.microsoft.com/office/drawing/2014/main" id="{D7931B68-7AEB-1444-D6A4-3B71BB8E407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44" name="Shape 19">
            <a:extLst>
              <a:ext uri="{FF2B5EF4-FFF2-40B4-BE49-F238E27FC236}">
                <a16:creationId xmlns:a16="http://schemas.microsoft.com/office/drawing/2014/main" id="{B79D7A05-6A00-DB84-E000-5CF94B04B55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45" name="Shape 20">
            <a:extLst>
              <a:ext uri="{FF2B5EF4-FFF2-40B4-BE49-F238E27FC236}">
                <a16:creationId xmlns:a16="http://schemas.microsoft.com/office/drawing/2014/main" id="{65DF280B-876A-CAF8-9AEF-2C04F938573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46" name="Shape 21">
            <a:extLst>
              <a:ext uri="{FF2B5EF4-FFF2-40B4-BE49-F238E27FC236}">
                <a16:creationId xmlns:a16="http://schemas.microsoft.com/office/drawing/2014/main" id="{E64B2C2C-5EDF-19CB-928A-AC072F4AE82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47" name="Shape 22">
            <a:extLst>
              <a:ext uri="{FF2B5EF4-FFF2-40B4-BE49-F238E27FC236}">
                <a16:creationId xmlns:a16="http://schemas.microsoft.com/office/drawing/2014/main" id="{144F2EF8-23E7-1394-5B6A-97A98D16410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48" name="Shape 23">
            <a:extLst>
              <a:ext uri="{FF2B5EF4-FFF2-40B4-BE49-F238E27FC236}">
                <a16:creationId xmlns:a16="http://schemas.microsoft.com/office/drawing/2014/main" id="{3A26B6E3-2EE9-F033-399F-DEEFEDF0448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49" name="Shape 24">
            <a:extLst>
              <a:ext uri="{FF2B5EF4-FFF2-40B4-BE49-F238E27FC236}">
                <a16:creationId xmlns:a16="http://schemas.microsoft.com/office/drawing/2014/main" id="{ADFA57CB-5B22-8C03-5EDD-06EAE73F851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50" name="Shape 25">
            <a:extLst>
              <a:ext uri="{FF2B5EF4-FFF2-40B4-BE49-F238E27FC236}">
                <a16:creationId xmlns:a16="http://schemas.microsoft.com/office/drawing/2014/main" id="{2D94A685-11C3-377D-65DF-715E2B080C0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51" name="Shape 26">
            <a:extLst>
              <a:ext uri="{FF2B5EF4-FFF2-40B4-BE49-F238E27FC236}">
                <a16:creationId xmlns:a16="http://schemas.microsoft.com/office/drawing/2014/main" id="{1672F139-2B0A-BD03-4E1D-16B6F80F090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52" name="Shape 27">
            <a:extLst>
              <a:ext uri="{FF2B5EF4-FFF2-40B4-BE49-F238E27FC236}">
                <a16:creationId xmlns:a16="http://schemas.microsoft.com/office/drawing/2014/main" id="{3DD48426-DF3E-8838-B4F9-492DFA16D49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53" name="Shape 28">
            <a:extLst>
              <a:ext uri="{FF2B5EF4-FFF2-40B4-BE49-F238E27FC236}">
                <a16:creationId xmlns:a16="http://schemas.microsoft.com/office/drawing/2014/main" id="{44E11010-1776-E1B4-63C7-000B5691708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54" name="Shape 29">
            <a:extLst>
              <a:ext uri="{FF2B5EF4-FFF2-40B4-BE49-F238E27FC236}">
                <a16:creationId xmlns:a16="http://schemas.microsoft.com/office/drawing/2014/main" id="{CAC53473-592A-6A17-3E78-11B28F73B62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55" name="Shape 30">
            <a:extLst>
              <a:ext uri="{FF2B5EF4-FFF2-40B4-BE49-F238E27FC236}">
                <a16:creationId xmlns:a16="http://schemas.microsoft.com/office/drawing/2014/main" id="{13929B28-1678-2546-455A-3373B6B8F21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56" name="Shape 31">
            <a:extLst>
              <a:ext uri="{FF2B5EF4-FFF2-40B4-BE49-F238E27FC236}">
                <a16:creationId xmlns:a16="http://schemas.microsoft.com/office/drawing/2014/main" id="{AE40B321-DE7E-3687-3D4C-0AEBA9E22B5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457" name="Group 32">
          <a:extLst>
            <a:ext uri="{FF2B5EF4-FFF2-40B4-BE49-F238E27FC236}">
              <a16:creationId xmlns:a16="http://schemas.microsoft.com/office/drawing/2014/main" id="{A2F1E522-F3F6-49BF-9809-F432480CA440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458" name="Shape 33">
            <a:extLst>
              <a:ext uri="{FF2B5EF4-FFF2-40B4-BE49-F238E27FC236}">
                <a16:creationId xmlns:a16="http://schemas.microsoft.com/office/drawing/2014/main" id="{D0E6FD4B-D310-FD64-FAF2-6070A253536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59" name="Shape 34">
            <a:extLst>
              <a:ext uri="{FF2B5EF4-FFF2-40B4-BE49-F238E27FC236}">
                <a16:creationId xmlns:a16="http://schemas.microsoft.com/office/drawing/2014/main" id="{633EB778-BA87-02E2-B5BA-701FA6662C2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60" name="Shape 35">
            <a:extLst>
              <a:ext uri="{FF2B5EF4-FFF2-40B4-BE49-F238E27FC236}">
                <a16:creationId xmlns:a16="http://schemas.microsoft.com/office/drawing/2014/main" id="{7D0A2E05-ACE7-F0E2-3F45-9DA21E9905B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61" name="Shape 36">
            <a:extLst>
              <a:ext uri="{FF2B5EF4-FFF2-40B4-BE49-F238E27FC236}">
                <a16:creationId xmlns:a16="http://schemas.microsoft.com/office/drawing/2014/main" id="{D44C688C-0D48-10C5-7246-CDAA1B9ACAF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62" name="Shape 37">
            <a:extLst>
              <a:ext uri="{FF2B5EF4-FFF2-40B4-BE49-F238E27FC236}">
                <a16:creationId xmlns:a16="http://schemas.microsoft.com/office/drawing/2014/main" id="{16F320BF-7051-71A1-4BE0-795EB58048A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63" name="Shape 38">
            <a:extLst>
              <a:ext uri="{FF2B5EF4-FFF2-40B4-BE49-F238E27FC236}">
                <a16:creationId xmlns:a16="http://schemas.microsoft.com/office/drawing/2014/main" id="{EA304BE4-8FF6-17BA-4480-616FAD09A69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64" name="Shape 39">
            <a:extLst>
              <a:ext uri="{FF2B5EF4-FFF2-40B4-BE49-F238E27FC236}">
                <a16:creationId xmlns:a16="http://schemas.microsoft.com/office/drawing/2014/main" id="{E647E3C5-B25E-FBFC-5FD7-35BD91773A0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65" name="Shape 40">
            <a:extLst>
              <a:ext uri="{FF2B5EF4-FFF2-40B4-BE49-F238E27FC236}">
                <a16:creationId xmlns:a16="http://schemas.microsoft.com/office/drawing/2014/main" id="{AE9A273F-5D8B-0232-B555-71984158A25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66" name="Shape 41">
            <a:extLst>
              <a:ext uri="{FF2B5EF4-FFF2-40B4-BE49-F238E27FC236}">
                <a16:creationId xmlns:a16="http://schemas.microsoft.com/office/drawing/2014/main" id="{20A5F376-2499-5465-E484-1F4B5F8DDF7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67" name="Shape 42">
            <a:extLst>
              <a:ext uri="{FF2B5EF4-FFF2-40B4-BE49-F238E27FC236}">
                <a16:creationId xmlns:a16="http://schemas.microsoft.com/office/drawing/2014/main" id="{01D31433-13BB-E899-4025-48ACBE22584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68" name="Shape 43">
            <a:extLst>
              <a:ext uri="{FF2B5EF4-FFF2-40B4-BE49-F238E27FC236}">
                <a16:creationId xmlns:a16="http://schemas.microsoft.com/office/drawing/2014/main" id="{1C538385-0360-52E7-23CA-5CB63927BD0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69" name="Shape 44">
            <a:extLst>
              <a:ext uri="{FF2B5EF4-FFF2-40B4-BE49-F238E27FC236}">
                <a16:creationId xmlns:a16="http://schemas.microsoft.com/office/drawing/2014/main" id="{D2D52357-85D1-18C0-B9A0-412DC791669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70" name="Shape 45">
            <a:extLst>
              <a:ext uri="{FF2B5EF4-FFF2-40B4-BE49-F238E27FC236}">
                <a16:creationId xmlns:a16="http://schemas.microsoft.com/office/drawing/2014/main" id="{7614304F-B672-28DE-D632-F654213170B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71" name="Shape 46">
            <a:extLst>
              <a:ext uri="{FF2B5EF4-FFF2-40B4-BE49-F238E27FC236}">
                <a16:creationId xmlns:a16="http://schemas.microsoft.com/office/drawing/2014/main" id="{13218E7C-E47F-5E79-D95D-6DEA53ABDE9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472" name="Group 47">
          <a:extLst>
            <a:ext uri="{FF2B5EF4-FFF2-40B4-BE49-F238E27FC236}">
              <a16:creationId xmlns:a16="http://schemas.microsoft.com/office/drawing/2014/main" id="{A382903F-1CBA-48D8-9C8B-3EE493ED954B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473" name="Shape 48">
            <a:extLst>
              <a:ext uri="{FF2B5EF4-FFF2-40B4-BE49-F238E27FC236}">
                <a16:creationId xmlns:a16="http://schemas.microsoft.com/office/drawing/2014/main" id="{BB86EA9F-EF0B-5A85-3BCE-45DED71A532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74" name="Shape 49">
            <a:extLst>
              <a:ext uri="{FF2B5EF4-FFF2-40B4-BE49-F238E27FC236}">
                <a16:creationId xmlns:a16="http://schemas.microsoft.com/office/drawing/2014/main" id="{34B9656B-964D-8BC7-273B-7C5F1E89F53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75" name="Shape 50">
            <a:extLst>
              <a:ext uri="{FF2B5EF4-FFF2-40B4-BE49-F238E27FC236}">
                <a16:creationId xmlns:a16="http://schemas.microsoft.com/office/drawing/2014/main" id="{F8D9E486-3658-9108-0DAA-4B0CDDC8219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76" name="Shape 51">
            <a:extLst>
              <a:ext uri="{FF2B5EF4-FFF2-40B4-BE49-F238E27FC236}">
                <a16:creationId xmlns:a16="http://schemas.microsoft.com/office/drawing/2014/main" id="{E97321E2-F5F2-4B69-0878-5D47F794708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77" name="Shape 52">
            <a:extLst>
              <a:ext uri="{FF2B5EF4-FFF2-40B4-BE49-F238E27FC236}">
                <a16:creationId xmlns:a16="http://schemas.microsoft.com/office/drawing/2014/main" id="{828BDFB0-1D8E-BA25-A853-399E1D0FD6A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78" name="Shape 53">
            <a:extLst>
              <a:ext uri="{FF2B5EF4-FFF2-40B4-BE49-F238E27FC236}">
                <a16:creationId xmlns:a16="http://schemas.microsoft.com/office/drawing/2014/main" id="{32B61A4E-A5BA-F9B6-2775-EF4DE37E761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79" name="Shape 54">
            <a:extLst>
              <a:ext uri="{FF2B5EF4-FFF2-40B4-BE49-F238E27FC236}">
                <a16:creationId xmlns:a16="http://schemas.microsoft.com/office/drawing/2014/main" id="{6304E17B-A697-66EC-3C84-04CB83DDAA0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80" name="Shape 55">
            <a:extLst>
              <a:ext uri="{FF2B5EF4-FFF2-40B4-BE49-F238E27FC236}">
                <a16:creationId xmlns:a16="http://schemas.microsoft.com/office/drawing/2014/main" id="{346DBE93-F2BD-B94F-104C-3EFBE4DD266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81" name="Shape 56">
            <a:extLst>
              <a:ext uri="{FF2B5EF4-FFF2-40B4-BE49-F238E27FC236}">
                <a16:creationId xmlns:a16="http://schemas.microsoft.com/office/drawing/2014/main" id="{D769FD94-CB08-4A2C-0E80-ECE1D9D2E5B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82" name="Shape 57">
            <a:extLst>
              <a:ext uri="{FF2B5EF4-FFF2-40B4-BE49-F238E27FC236}">
                <a16:creationId xmlns:a16="http://schemas.microsoft.com/office/drawing/2014/main" id="{22D13AB8-E97D-5FF7-F9CD-3CFFF10FB46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83" name="Shape 58">
            <a:extLst>
              <a:ext uri="{FF2B5EF4-FFF2-40B4-BE49-F238E27FC236}">
                <a16:creationId xmlns:a16="http://schemas.microsoft.com/office/drawing/2014/main" id="{B4AF5265-6D50-FA7D-46FE-DC5528E20E0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84" name="Shape 59">
            <a:extLst>
              <a:ext uri="{FF2B5EF4-FFF2-40B4-BE49-F238E27FC236}">
                <a16:creationId xmlns:a16="http://schemas.microsoft.com/office/drawing/2014/main" id="{9DE60627-035E-EEED-7DEE-04B4FCFC59D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85" name="Shape 60">
            <a:extLst>
              <a:ext uri="{FF2B5EF4-FFF2-40B4-BE49-F238E27FC236}">
                <a16:creationId xmlns:a16="http://schemas.microsoft.com/office/drawing/2014/main" id="{5824E9F6-148E-247A-D908-7D12429E815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86" name="Shape 61">
            <a:extLst>
              <a:ext uri="{FF2B5EF4-FFF2-40B4-BE49-F238E27FC236}">
                <a16:creationId xmlns:a16="http://schemas.microsoft.com/office/drawing/2014/main" id="{0FDB81AD-1C7B-73ED-6673-FD40DDD5483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487" name="Group 62">
          <a:extLst>
            <a:ext uri="{FF2B5EF4-FFF2-40B4-BE49-F238E27FC236}">
              <a16:creationId xmlns:a16="http://schemas.microsoft.com/office/drawing/2014/main" id="{9E63A5B6-3707-4B7A-86FA-0F942FADEFE0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488" name="Shape 63">
            <a:extLst>
              <a:ext uri="{FF2B5EF4-FFF2-40B4-BE49-F238E27FC236}">
                <a16:creationId xmlns:a16="http://schemas.microsoft.com/office/drawing/2014/main" id="{420805C7-D272-549A-ABFD-2B47C695567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89" name="Shape 64">
            <a:extLst>
              <a:ext uri="{FF2B5EF4-FFF2-40B4-BE49-F238E27FC236}">
                <a16:creationId xmlns:a16="http://schemas.microsoft.com/office/drawing/2014/main" id="{AD4A4771-BC29-732F-D7B9-760564433DA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490" name="Shape 65">
            <a:extLst>
              <a:ext uri="{FF2B5EF4-FFF2-40B4-BE49-F238E27FC236}">
                <a16:creationId xmlns:a16="http://schemas.microsoft.com/office/drawing/2014/main" id="{B9E407E3-5AE3-9F31-065E-DDF99A5AC70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91" name="Shape 66">
            <a:extLst>
              <a:ext uri="{FF2B5EF4-FFF2-40B4-BE49-F238E27FC236}">
                <a16:creationId xmlns:a16="http://schemas.microsoft.com/office/drawing/2014/main" id="{C1EDBF02-2AB3-2B51-5640-00F65077673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492" name="Shape 67">
            <a:extLst>
              <a:ext uri="{FF2B5EF4-FFF2-40B4-BE49-F238E27FC236}">
                <a16:creationId xmlns:a16="http://schemas.microsoft.com/office/drawing/2014/main" id="{6DD2D3F5-5434-2B31-8310-4B710253693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93" name="Shape 68">
            <a:extLst>
              <a:ext uri="{FF2B5EF4-FFF2-40B4-BE49-F238E27FC236}">
                <a16:creationId xmlns:a16="http://schemas.microsoft.com/office/drawing/2014/main" id="{CA3BAC33-C844-4C93-A9E8-23EEB3F2031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494" name="Shape 69">
            <a:extLst>
              <a:ext uri="{FF2B5EF4-FFF2-40B4-BE49-F238E27FC236}">
                <a16:creationId xmlns:a16="http://schemas.microsoft.com/office/drawing/2014/main" id="{8F0F82E9-D61A-841F-12E2-EED25B270BC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95" name="Shape 70">
            <a:extLst>
              <a:ext uri="{FF2B5EF4-FFF2-40B4-BE49-F238E27FC236}">
                <a16:creationId xmlns:a16="http://schemas.microsoft.com/office/drawing/2014/main" id="{990D21DE-72E1-98D7-36EE-F9711C83A28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496" name="Shape 71">
            <a:extLst>
              <a:ext uri="{FF2B5EF4-FFF2-40B4-BE49-F238E27FC236}">
                <a16:creationId xmlns:a16="http://schemas.microsoft.com/office/drawing/2014/main" id="{974862A1-F7FC-FDA1-C822-14B6D7CFC5C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97" name="Shape 72">
            <a:extLst>
              <a:ext uri="{FF2B5EF4-FFF2-40B4-BE49-F238E27FC236}">
                <a16:creationId xmlns:a16="http://schemas.microsoft.com/office/drawing/2014/main" id="{70E5132C-3132-B864-2062-693211BE6B0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498" name="Shape 73">
            <a:extLst>
              <a:ext uri="{FF2B5EF4-FFF2-40B4-BE49-F238E27FC236}">
                <a16:creationId xmlns:a16="http://schemas.microsoft.com/office/drawing/2014/main" id="{AD3D2BAD-2F2B-A887-066D-BEBBE42B44E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99" name="Shape 74">
            <a:extLst>
              <a:ext uri="{FF2B5EF4-FFF2-40B4-BE49-F238E27FC236}">
                <a16:creationId xmlns:a16="http://schemas.microsoft.com/office/drawing/2014/main" id="{A634536D-5178-3E8C-2C0A-DAD4C0D3D4D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00" name="Shape 75">
            <a:extLst>
              <a:ext uri="{FF2B5EF4-FFF2-40B4-BE49-F238E27FC236}">
                <a16:creationId xmlns:a16="http://schemas.microsoft.com/office/drawing/2014/main" id="{F3443697-0848-0E96-3123-09EEB0A3F3F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01" name="Shape 76">
            <a:extLst>
              <a:ext uri="{FF2B5EF4-FFF2-40B4-BE49-F238E27FC236}">
                <a16:creationId xmlns:a16="http://schemas.microsoft.com/office/drawing/2014/main" id="{0BEB2043-792F-78BE-4250-7CA2D7F73B5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502" name="Group 2">
          <a:extLst>
            <a:ext uri="{FF2B5EF4-FFF2-40B4-BE49-F238E27FC236}">
              <a16:creationId xmlns:a16="http://schemas.microsoft.com/office/drawing/2014/main" id="{2B4C4991-9760-43D2-8CDA-8B36F93113E3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503" name="Shape 3">
            <a:extLst>
              <a:ext uri="{FF2B5EF4-FFF2-40B4-BE49-F238E27FC236}">
                <a16:creationId xmlns:a16="http://schemas.microsoft.com/office/drawing/2014/main" id="{A5811FE4-F52A-8100-3AA4-DA5B2CCC298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04" name="Shape 4">
            <a:extLst>
              <a:ext uri="{FF2B5EF4-FFF2-40B4-BE49-F238E27FC236}">
                <a16:creationId xmlns:a16="http://schemas.microsoft.com/office/drawing/2014/main" id="{762F0270-92C8-8DF7-58D5-EB26BE41E4A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05" name="Shape 5">
            <a:extLst>
              <a:ext uri="{FF2B5EF4-FFF2-40B4-BE49-F238E27FC236}">
                <a16:creationId xmlns:a16="http://schemas.microsoft.com/office/drawing/2014/main" id="{C3C3B59F-6CCD-780A-05FA-17373C35DCB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06" name="Shape 6">
            <a:extLst>
              <a:ext uri="{FF2B5EF4-FFF2-40B4-BE49-F238E27FC236}">
                <a16:creationId xmlns:a16="http://schemas.microsoft.com/office/drawing/2014/main" id="{6D623B1D-8F5F-F138-AB64-5DDA3191E22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07" name="Shape 7">
            <a:extLst>
              <a:ext uri="{FF2B5EF4-FFF2-40B4-BE49-F238E27FC236}">
                <a16:creationId xmlns:a16="http://schemas.microsoft.com/office/drawing/2014/main" id="{35F56281-D12F-6DF8-7C31-16AC5293AC2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08" name="Shape 8">
            <a:extLst>
              <a:ext uri="{FF2B5EF4-FFF2-40B4-BE49-F238E27FC236}">
                <a16:creationId xmlns:a16="http://schemas.microsoft.com/office/drawing/2014/main" id="{6ED96993-C36D-5CD5-4A49-05BD919E27E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09" name="Shape 9">
            <a:extLst>
              <a:ext uri="{FF2B5EF4-FFF2-40B4-BE49-F238E27FC236}">
                <a16:creationId xmlns:a16="http://schemas.microsoft.com/office/drawing/2014/main" id="{D0433D53-A683-C5FE-EDDA-D3D85D7748A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10" name="Shape 10">
            <a:extLst>
              <a:ext uri="{FF2B5EF4-FFF2-40B4-BE49-F238E27FC236}">
                <a16:creationId xmlns:a16="http://schemas.microsoft.com/office/drawing/2014/main" id="{2C048E42-4121-8B20-535E-1BA6E58979B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11" name="Shape 11">
            <a:extLst>
              <a:ext uri="{FF2B5EF4-FFF2-40B4-BE49-F238E27FC236}">
                <a16:creationId xmlns:a16="http://schemas.microsoft.com/office/drawing/2014/main" id="{6A16AB90-23AE-C3F3-E143-C48344F1F92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12" name="Shape 12">
            <a:extLst>
              <a:ext uri="{FF2B5EF4-FFF2-40B4-BE49-F238E27FC236}">
                <a16:creationId xmlns:a16="http://schemas.microsoft.com/office/drawing/2014/main" id="{313D567A-193E-E3D2-055F-82D4ED7B04D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13" name="Shape 13">
            <a:extLst>
              <a:ext uri="{FF2B5EF4-FFF2-40B4-BE49-F238E27FC236}">
                <a16:creationId xmlns:a16="http://schemas.microsoft.com/office/drawing/2014/main" id="{CF2B5B55-D1B5-3076-4FE1-7DFF4B6730A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14" name="Shape 14">
            <a:extLst>
              <a:ext uri="{FF2B5EF4-FFF2-40B4-BE49-F238E27FC236}">
                <a16:creationId xmlns:a16="http://schemas.microsoft.com/office/drawing/2014/main" id="{BCEF6DB6-079B-CDCC-4323-58F9435C6DA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15" name="Shape 15">
            <a:extLst>
              <a:ext uri="{FF2B5EF4-FFF2-40B4-BE49-F238E27FC236}">
                <a16:creationId xmlns:a16="http://schemas.microsoft.com/office/drawing/2014/main" id="{7F3EC423-18ED-96C1-463C-BBBA19B7E6D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16" name="Shape 16">
            <a:extLst>
              <a:ext uri="{FF2B5EF4-FFF2-40B4-BE49-F238E27FC236}">
                <a16:creationId xmlns:a16="http://schemas.microsoft.com/office/drawing/2014/main" id="{637E4340-C815-D016-107E-7C3094D442B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517" name="Group 17">
          <a:extLst>
            <a:ext uri="{FF2B5EF4-FFF2-40B4-BE49-F238E27FC236}">
              <a16:creationId xmlns:a16="http://schemas.microsoft.com/office/drawing/2014/main" id="{B7162BCB-6530-4ED7-83A3-F4AB105EA8A7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518" name="Shape 18">
            <a:extLst>
              <a:ext uri="{FF2B5EF4-FFF2-40B4-BE49-F238E27FC236}">
                <a16:creationId xmlns:a16="http://schemas.microsoft.com/office/drawing/2014/main" id="{1EDD3233-6873-D54D-C8A4-464006B692C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19" name="Shape 19">
            <a:extLst>
              <a:ext uri="{FF2B5EF4-FFF2-40B4-BE49-F238E27FC236}">
                <a16:creationId xmlns:a16="http://schemas.microsoft.com/office/drawing/2014/main" id="{29B0581C-1AE3-C818-2144-9C52D93956D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20" name="Shape 20">
            <a:extLst>
              <a:ext uri="{FF2B5EF4-FFF2-40B4-BE49-F238E27FC236}">
                <a16:creationId xmlns:a16="http://schemas.microsoft.com/office/drawing/2014/main" id="{856FFF7D-B413-859B-A74D-AEBB2759067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21" name="Shape 21">
            <a:extLst>
              <a:ext uri="{FF2B5EF4-FFF2-40B4-BE49-F238E27FC236}">
                <a16:creationId xmlns:a16="http://schemas.microsoft.com/office/drawing/2014/main" id="{0130A6EE-7070-B19C-37D3-49637591F42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22" name="Shape 22">
            <a:extLst>
              <a:ext uri="{FF2B5EF4-FFF2-40B4-BE49-F238E27FC236}">
                <a16:creationId xmlns:a16="http://schemas.microsoft.com/office/drawing/2014/main" id="{46DF1F47-31A3-6560-91C1-9B48634E54F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23" name="Shape 23">
            <a:extLst>
              <a:ext uri="{FF2B5EF4-FFF2-40B4-BE49-F238E27FC236}">
                <a16:creationId xmlns:a16="http://schemas.microsoft.com/office/drawing/2014/main" id="{4590DC95-C48C-932B-2B8C-674E7234D8D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24" name="Shape 24">
            <a:extLst>
              <a:ext uri="{FF2B5EF4-FFF2-40B4-BE49-F238E27FC236}">
                <a16:creationId xmlns:a16="http://schemas.microsoft.com/office/drawing/2014/main" id="{9A37E60B-4803-8933-8141-9294CD06439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25" name="Shape 25">
            <a:extLst>
              <a:ext uri="{FF2B5EF4-FFF2-40B4-BE49-F238E27FC236}">
                <a16:creationId xmlns:a16="http://schemas.microsoft.com/office/drawing/2014/main" id="{4D84D432-BBE3-DBA9-686E-3A47AF97773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26" name="Shape 26">
            <a:extLst>
              <a:ext uri="{FF2B5EF4-FFF2-40B4-BE49-F238E27FC236}">
                <a16:creationId xmlns:a16="http://schemas.microsoft.com/office/drawing/2014/main" id="{94899ACC-0BA9-565F-681F-DDC56987D46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27" name="Shape 27">
            <a:extLst>
              <a:ext uri="{FF2B5EF4-FFF2-40B4-BE49-F238E27FC236}">
                <a16:creationId xmlns:a16="http://schemas.microsoft.com/office/drawing/2014/main" id="{455B8940-1CD3-F74A-5E70-D999998C735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28" name="Shape 28">
            <a:extLst>
              <a:ext uri="{FF2B5EF4-FFF2-40B4-BE49-F238E27FC236}">
                <a16:creationId xmlns:a16="http://schemas.microsoft.com/office/drawing/2014/main" id="{F8F8FCCE-F796-D2A0-5A8B-E746E547445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29" name="Shape 29">
            <a:extLst>
              <a:ext uri="{FF2B5EF4-FFF2-40B4-BE49-F238E27FC236}">
                <a16:creationId xmlns:a16="http://schemas.microsoft.com/office/drawing/2014/main" id="{EB6E1A18-82EA-5FB3-B48A-8E3311DEA8D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30" name="Shape 30">
            <a:extLst>
              <a:ext uri="{FF2B5EF4-FFF2-40B4-BE49-F238E27FC236}">
                <a16:creationId xmlns:a16="http://schemas.microsoft.com/office/drawing/2014/main" id="{4247CA95-878A-5B20-5F7A-F7B4E2C9C5A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31" name="Shape 31">
            <a:extLst>
              <a:ext uri="{FF2B5EF4-FFF2-40B4-BE49-F238E27FC236}">
                <a16:creationId xmlns:a16="http://schemas.microsoft.com/office/drawing/2014/main" id="{A70306F0-92C3-E03F-88EB-AAAFEAA95F2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532" name="Group 32">
          <a:extLst>
            <a:ext uri="{FF2B5EF4-FFF2-40B4-BE49-F238E27FC236}">
              <a16:creationId xmlns:a16="http://schemas.microsoft.com/office/drawing/2014/main" id="{AAB91E8F-FC2B-48A8-9120-55BFB88BA0C7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533" name="Shape 33">
            <a:extLst>
              <a:ext uri="{FF2B5EF4-FFF2-40B4-BE49-F238E27FC236}">
                <a16:creationId xmlns:a16="http://schemas.microsoft.com/office/drawing/2014/main" id="{4B0B4FC8-0B62-0DE2-A509-353EA29DA9A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34" name="Shape 34">
            <a:extLst>
              <a:ext uri="{FF2B5EF4-FFF2-40B4-BE49-F238E27FC236}">
                <a16:creationId xmlns:a16="http://schemas.microsoft.com/office/drawing/2014/main" id="{58A48CA9-64B2-C9F1-79BC-9223939262C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35" name="Shape 35">
            <a:extLst>
              <a:ext uri="{FF2B5EF4-FFF2-40B4-BE49-F238E27FC236}">
                <a16:creationId xmlns:a16="http://schemas.microsoft.com/office/drawing/2014/main" id="{BA681314-C2E4-1909-97BD-57D734108AB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36" name="Shape 36">
            <a:extLst>
              <a:ext uri="{FF2B5EF4-FFF2-40B4-BE49-F238E27FC236}">
                <a16:creationId xmlns:a16="http://schemas.microsoft.com/office/drawing/2014/main" id="{D27BB5CC-C5DD-2DE3-DE20-F4E1B149B8E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37" name="Shape 37">
            <a:extLst>
              <a:ext uri="{FF2B5EF4-FFF2-40B4-BE49-F238E27FC236}">
                <a16:creationId xmlns:a16="http://schemas.microsoft.com/office/drawing/2014/main" id="{2BB5D212-7B52-90DE-71BD-659DDC0D98D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38" name="Shape 38">
            <a:extLst>
              <a:ext uri="{FF2B5EF4-FFF2-40B4-BE49-F238E27FC236}">
                <a16:creationId xmlns:a16="http://schemas.microsoft.com/office/drawing/2014/main" id="{98B6D97C-1066-3012-608C-6E884C9B65D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39" name="Shape 39">
            <a:extLst>
              <a:ext uri="{FF2B5EF4-FFF2-40B4-BE49-F238E27FC236}">
                <a16:creationId xmlns:a16="http://schemas.microsoft.com/office/drawing/2014/main" id="{C07A0AF7-3094-7591-15F2-9D2C2B7BD5C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40" name="Shape 40">
            <a:extLst>
              <a:ext uri="{FF2B5EF4-FFF2-40B4-BE49-F238E27FC236}">
                <a16:creationId xmlns:a16="http://schemas.microsoft.com/office/drawing/2014/main" id="{9345CCB9-BAB6-F008-1710-943894849B1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41" name="Shape 41">
            <a:extLst>
              <a:ext uri="{FF2B5EF4-FFF2-40B4-BE49-F238E27FC236}">
                <a16:creationId xmlns:a16="http://schemas.microsoft.com/office/drawing/2014/main" id="{4008E7C2-9839-2D00-4948-C29D278787B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42" name="Shape 42">
            <a:extLst>
              <a:ext uri="{FF2B5EF4-FFF2-40B4-BE49-F238E27FC236}">
                <a16:creationId xmlns:a16="http://schemas.microsoft.com/office/drawing/2014/main" id="{DF819E49-8C5B-60DD-DB6A-5F8A5B59A31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43" name="Shape 43">
            <a:extLst>
              <a:ext uri="{FF2B5EF4-FFF2-40B4-BE49-F238E27FC236}">
                <a16:creationId xmlns:a16="http://schemas.microsoft.com/office/drawing/2014/main" id="{76CC0BB9-21F0-3E9D-6951-8F41D955856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44" name="Shape 44">
            <a:extLst>
              <a:ext uri="{FF2B5EF4-FFF2-40B4-BE49-F238E27FC236}">
                <a16:creationId xmlns:a16="http://schemas.microsoft.com/office/drawing/2014/main" id="{2355A3F4-180F-497C-1F87-AF048186A76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45" name="Shape 45">
            <a:extLst>
              <a:ext uri="{FF2B5EF4-FFF2-40B4-BE49-F238E27FC236}">
                <a16:creationId xmlns:a16="http://schemas.microsoft.com/office/drawing/2014/main" id="{27336D41-3704-6945-FC41-166BCEA7C00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46" name="Shape 46">
            <a:extLst>
              <a:ext uri="{FF2B5EF4-FFF2-40B4-BE49-F238E27FC236}">
                <a16:creationId xmlns:a16="http://schemas.microsoft.com/office/drawing/2014/main" id="{71091217-5C3C-BCDD-1CC3-409CD2DDD93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547" name="Group 47">
          <a:extLst>
            <a:ext uri="{FF2B5EF4-FFF2-40B4-BE49-F238E27FC236}">
              <a16:creationId xmlns:a16="http://schemas.microsoft.com/office/drawing/2014/main" id="{D0D662DD-ECB2-46D0-9314-4EBB839FCD79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548" name="Shape 48">
            <a:extLst>
              <a:ext uri="{FF2B5EF4-FFF2-40B4-BE49-F238E27FC236}">
                <a16:creationId xmlns:a16="http://schemas.microsoft.com/office/drawing/2014/main" id="{27FE54BB-2E21-3150-85E4-6406996BB97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49" name="Shape 49">
            <a:extLst>
              <a:ext uri="{FF2B5EF4-FFF2-40B4-BE49-F238E27FC236}">
                <a16:creationId xmlns:a16="http://schemas.microsoft.com/office/drawing/2014/main" id="{C44A5FC1-9835-AAC5-80C5-4B14366CFF8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50" name="Shape 50">
            <a:extLst>
              <a:ext uri="{FF2B5EF4-FFF2-40B4-BE49-F238E27FC236}">
                <a16:creationId xmlns:a16="http://schemas.microsoft.com/office/drawing/2014/main" id="{65E4B637-547C-4A18-74EC-7D141CE05BC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51" name="Shape 51">
            <a:extLst>
              <a:ext uri="{FF2B5EF4-FFF2-40B4-BE49-F238E27FC236}">
                <a16:creationId xmlns:a16="http://schemas.microsoft.com/office/drawing/2014/main" id="{F630022B-9965-CA68-05C9-4E8014B56E5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52" name="Shape 52">
            <a:extLst>
              <a:ext uri="{FF2B5EF4-FFF2-40B4-BE49-F238E27FC236}">
                <a16:creationId xmlns:a16="http://schemas.microsoft.com/office/drawing/2014/main" id="{E8C1B266-BD8F-1FBD-76A2-A8AEFF7B470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53" name="Shape 53">
            <a:extLst>
              <a:ext uri="{FF2B5EF4-FFF2-40B4-BE49-F238E27FC236}">
                <a16:creationId xmlns:a16="http://schemas.microsoft.com/office/drawing/2014/main" id="{3B51B1DB-71DF-8261-2BA2-D04538B3011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54" name="Shape 54">
            <a:extLst>
              <a:ext uri="{FF2B5EF4-FFF2-40B4-BE49-F238E27FC236}">
                <a16:creationId xmlns:a16="http://schemas.microsoft.com/office/drawing/2014/main" id="{3737932E-60AA-5836-9131-75C1BBFBBD4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55" name="Shape 55">
            <a:extLst>
              <a:ext uri="{FF2B5EF4-FFF2-40B4-BE49-F238E27FC236}">
                <a16:creationId xmlns:a16="http://schemas.microsoft.com/office/drawing/2014/main" id="{29C09924-2C4F-4BCA-8789-B4371AB88AD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56" name="Shape 56">
            <a:extLst>
              <a:ext uri="{FF2B5EF4-FFF2-40B4-BE49-F238E27FC236}">
                <a16:creationId xmlns:a16="http://schemas.microsoft.com/office/drawing/2014/main" id="{F2F8978F-CCD1-C524-2026-479D353629B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57" name="Shape 57">
            <a:extLst>
              <a:ext uri="{FF2B5EF4-FFF2-40B4-BE49-F238E27FC236}">
                <a16:creationId xmlns:a16="http://schemas.microsoft.com/office/drawing/2014/main" id="{8846342A-B4BF-F145-2A53-BB988FFC049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58" name="Shape 58">
            <a:extLst>
              <a:ext uri="{FF2B5EF4-FFF2-40B4-BE49-F238E27FC236}">
                <a16:creationId xmlns:a16="http://schemas.microsoft.com/office/drawing/2014/main" id="{4F661C4C-5C75-E13E-E286-EFCDE0755AC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59" name="Shape 59">
            <a:extLst>
              <a:ext uri="{FF2B5EF4-FFF2-40B4-BE49-F238E27FC236}">
                <a16:creationId xmlns:a16="http://schemas.microsoft.com/office/drawing/2014/main" id="{3982D8B0-338F-F9E2-36C8-0A9361F42A1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60" name="Shape 60">
            <a:extLst>
              <a:ext uri="{FF2B5EF4-FFF2-40B4-BE49-F238E27FC236}">
                <a16:creationId xmlns:a16="http://schemas.microsoft.com/office/drawing/2014/main" id="{AB01826A-ABE5-B171-EA98-53512AFC04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61" name="Shape 61">
            <a:extLst>
              <a:ext uri="{FF2B5EF4-FFF2-40B4-BE49-F238E27FC236}">
                <a16:creationId xmlns:a16="http://schemas.microsoft.com/office/drawing/2014/main" id="{271250B7-36D1-50BD-CC6A-F40536B11BB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562" name="Group 62">
          <a:extLst>
            <a:ext uri="{FF2B5EF4-FFF2-40B4-BE49-F238E27FC236}">
              <a16:creationId xmlns:a16="http://schemas.microsoft.com/office/drawing/2014/main" id="{0B386551-CE65-407B-91B6-A8B580870F67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563" name="Shape 63">
            <a:extLst>
              <a:ext uri="{FF2B5EF4-FFF2-40B4-BE49-F238E27FC236}">
                <a16:creationId xmlns:a16="http://schemas.microsoft.com/office/drawing/2014/main" id="{46A023BE-43DD-A095-2607-5BBCA047808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64" name="Shape 64">
            <a:extLst>
              <a:ext uri="{FF2B5EF4-FFF2-40B4-BE49-F238E27FC236}">
                <a16:creationId xmlns:a16="http://schemas.microsoft.com/office/drawing/2014/main" id="{31E9D4C7-A638-9E8E-3817-8681F9481BB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65" name="Shape 65">
            <a:extLst>
              <a:ext uri="{FF2B5EF4-FFF2-40B4-BE49-F238E27FC236}">
                <a16:creationId xmlns:a16="http://schemas.microsoft.com/office/drawing/2014/main" id="{B54E490F-664B-21D7-3A27-2199E5F5DA2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66" name="Shape 66">
            <a:extLst>
              <a:ext uri="{FF2B5EF4-FFF2-40B4-BE49-F238E27FC236}">
                <a16:creationId xmlns:a16="http://schemas.microsoft.com/office/drawing/2014/main" id="{309F3CDA-3616-E7F2-D8AD-57A4DD6905A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67" name="Shape 67">
            <a:extLst>
              <a:ext uri="{FF2B5EF4-FFF2-40B4-BE49-F238E27FC236}">
                <a16:creationId xmlns:a16="http://schemas.microsoft.com/office/drawing/2014/main" id="{365E1BCC-27A2-8D80-8586-6D52482AB16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68" name="Shape 68">
            <a:extLst>
              <a:ext uri="{FF2B5EF4-FFF2-40B4-BE49-F238E27FC236}">
                <a16:creationId xmlns:a16="http://schemas.microsoft.com/office/drawing/2014/main" id="{9F68BD14-DF8C-3511-0A3E-83293457F69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69" name="Shape 69">
            <a:extLst>
              <a:ext uri="{FF2B5EF4-FFF2-40B4-BE49-F238E27FC236}">
                <a16:creationId xmlns:a16="http://schemas.microsoft.com/office/drawing/2014/main" id="{FAC4327D-880F-E6F7-F39E-13A673971F5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70" name="Shape 70">
            <a:extLst>
              <a:ext uri="{FF2B5EF4-FFF2-40B4-BE49-F238E27FC236}">
                <a16:creationId xmlns:a16="http://schemas.microsoft.com/office/drawing/2014/main" id="{49758415-DC44-4015-644B-01A94728482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71" name="Shape 71">
            <a:extLst>
              <a:ext uri="{FF2B5EF4-FFF2-40B4-BE49-F238E27FC236}">
                <a16:creationId xmlns:a16="http://schemas.microsoft.com/office/drawing/2014/main" id="{A7B3AB07-56F4-CC9F-E0A1-DE3643C3FC3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72" name="Shape 72">
            <a:extLst>
              <a:ext uri="{FF2B5EF4-FFF2-40B4-BE49-F238E27FC236}">
                <a16:creationId xmlns:a16="http://schemas.microsoft.com/office/drawing/2014/main" id="{B4124FED-B8D1-1811-3AF0-A593082D548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73" name="Shape 73">
            <a:extLst>
              <a:ext uri="{FF2B5EF4-FFF2-40B4-BE49-F238E27FC236}">
                <a16:creationId xmlns:a16="http://schemas.microsoft.com/office/drawing/2014/main" id="{B8AA0F90-D644-8A47-F4C6-5010071331B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74" name="Shape 74">
            <a:extLst>
              <a:ext uri="{FF2B5EF4-FFF2-40B4-BE49-F238E27FC236}">
                <a16:creationId xmlns:a16="http://schemas.microsoft.com/office/drawing/2014/main" id="{D143268D-2DC3-3C97-27F8-DC1211300F2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75" name="Shape 75">
            <a:extLst>
              <a:ext uri="{FF2B5EF4-FFF2-40B4-BE49-F238E27FC236}">
                <a16:creationId xmlns:a16="http://schemas.microsoft.com/office/drawing/2014/main" id="{E541E965-142E-2B12-9700-22D42B51195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576" name="Shape 76">
            <a:extLst>
              <a:ext uri="{FF2B5EF4-FFF2-40B4-BE49-F238E27FC236}">
                <a16:creationId xmlns:a16="http://schemas.microsoft.com/office/drawing/2014/main" id="{808C8A11-AD5C-50DB-9B82-12411D9C63E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727" name="Group 2">
          <a:extLst>
            <a:ext uri="{FF2B5EF4-FFF2-40B4-BE49-F238E27FC236}">
              <a16:creationId xmlns:a16="http://schemas.microsoft.com/office/drawing/2014/main" id="{BCA3F9C0-658E-47AE-89B1-702CA22228A8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728" name="Shape 3">
            <a:extLst>
              <a:ext uri="{FF2B5EF4-FFF2-40B4-BE49-F238E27FC236}">
                <a16:creationId xmlns:a16="http://schemas.microsoft.com/office/drawing/2014/main" id="{069BCB8F-FF7D-9DC2-9AB6-D72CBFF0F38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29" name="Shape 4">
            <a:extLst>
              <a:ext uri="{FF2B5EF4-FFF2-40B4-BE49-F238E27FC236}">
                <a16:creationId xmlns:a16="http://schemas.microsoft.com/office/drawing/2014/main" id="{926B7A35-2481-AFCC-DC97-F9A1E023475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30" name="Shape 5">
            <a:extLst>
              <a:ext uri="{FF2B5EF4-FFF2-40B4-BE49-F238E27FC236}">
                <a16:creationId xmlns:a16="http://schemas.microsoft.com/office/drawing/2014/main" id="{3204EB95-E76F-BF3C-7B42-9C2D6031D93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31" name="Shape 6">
            <a:extLst>
              <a:ext uri="{FF2B5EF4-FFF2-40B4-BE49-F238E27FC236}">
                <a16:creationId xmlns:a16="http://schemas.microsoft.com/office/drawing/2014/main" id="{AD62B8D8-FF34-AEA2-95B8-67B858D1006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32" name="Shape 7">
            <a:extLst>
              <a:ext uri="{FF2B5EF4-FFF2-40B4-BE49-F238E27FC236}">
                <a16:creationId xmlns:a16="http://schemas.microsoft.com/office/drawing/2014/main" id="{4C59ADB5-CE9F-2F64-4741-78D735E2C7E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33" name="Shape 8">
            <a:extLst>
              <a:ext uri="{FF2B5EF4-FFF2-40B4-BE49-F238E27FC236}">
                <a16:creationId xmlns:a16="http://schemas.microsoft.com/office/drawing/2014/main" id="{9C5D1824-D801-42D5-BEAB-B2995737A18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34" name="Shape 9">
            <a:extLst>
              <a:ext uri="{FF2B5EF4-FFF2-40B4-BE49-F238E27FC236}">
                <a16:creationId xmlns:a16="http://schemas.microsoft.com/office/drawing/2014/main" id="{66FA5EE3-7A52-7F12-DC64-E37B4F75C80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35" name="Shape 10">
            <a:extLst>
              <a:ext uri="{FF2B5EF4-FFF2-40B4-BE49-F238E27FC236}">
                <a16:creationId xmlns:a16="http://schemas.microsoft.com/office/drawing/2014/main" id="{6FE09845-5AE5-9C70-00C4-541620A472C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36" name="Shape 11">
            <a:extLst>
              <a:ext uri="{FF2B5EF4-FFF2-40B4-BE49-F238E27FC236}">
                <a16:creationId xmlns:a16="http://schemas.microsoft.com/office/drawing/2014/main" id="{8DBECD4C-2E1F-95CC-C70D-4B010D4822D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37" name="Shape 12">
            <a:extLst>
              <a:ext uri="{FF2B5EF4-FFF2-40B4-BE49-F238E27FC236}">
                <a16:creationId xmlns:a16="http://schemas.microsoft.com/office/drawing/2014/main" id="{39EFFA95-024D-CAAF-E6DD-B0A526FE646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38" name="Shape 13">
            <a:extLst>
              <a:ext uri="{FF2B5EF4-FFF2-40B4-BE49-F238E27FC236}">
                <a16:creationId xmlns:a16="http://schemas.microsoft.com/office/drawing/2014/main" id="{44AD26C5-11AB-C068-5A38-0DCC0404884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39" name="Shape 14">
            <a:extLst>
              <a:ext uri="{FF2B5EF4-FFF2-40B4-BE49-F238E27FC236}">
                <a16:creationId xmlns:a16="http://schemas.microsoft.com/office/drawing/2014/main" id="{8C94483F-B702-D37C-3F7C-75F1101BEF6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40" name="Shape 15">
            <a:extLst>
              <a:ext uri="{FF2B5EF4-FFF2-40B4-BE49-F238E27FC236}">
                <a16:creationId xmlns:a16="http://schemas.microsoft.com/office/drawing/2014/main" id="{D1DA4027-7C67-08DB-46AC-865CB426A51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41" name="Shape 16">
            <a:extLst>
              <a:ext uri="{FF2B5EF4-FFF2-40B4-BE49-F238E27FC236}">
                <a16:creationId xmlns:a16="http://schemas.microsoft.com/office/drawing/2014/main" id="{9A11C083-32F4-BF3D-D5B0-744A3A27430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742" name="Group 17">
          <a:extLst>
            <a:ext uri="{FF2B5EF4-FFF2-40B4-BE49-F238E27FC236}">
              <a16:creationId xmlns:a16="http://schemas.microsoft.com/office/drawing/2014/main" id="{93334260-E83B-40D5-B09E-FEA402EDC1EA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743" name="Shape 18">
            <a:extLst>
              <a:ext uri="{FF2B5EF4-FFF2-40B4-BE49-F238E27FC236}">
                <a16:creationId xmlns:a16="http://schemas.microsoft.com/office/drawing/2014/main" id="{6ADF6070-E859-BF4C-A3B9-C07F97B6675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44" name="Shape 19">
            <a:extLst>
              <a:ext uri="{FF2B5EF4-FFF2-40B4-BE49-F238E27FC236}">
                <a16:creationId xmlns:a16="http://schemas.microsoft.com/office/drawing/2014/main" id="{204E4BDA-D17D-931B-6A5F-361277C6F71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45" name="Shape 20">
            <a:extLst>
              <a:ext uri="{FF2B5EF4-FFF2-40B4-BE49-F238E27FC236}">
                <a16:creationId xmlns:a16="http://schemas.microsoft.com/office/drawing/2014/main" id="{2CC22F45-F963-066D-4AF0-C3894FF9585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46" name="Shape 21">
            <a:extLst>
              <a:ext uri="{FF2B5EF4-FFF2-40B4-BE49-F238E27FC236}">
                <a16:creationId xmlns:a16="http://schemas.microsoft.com/office/drawing/2014/main" id="{B0E63CA5-8B93-CFD8-3A52-27C204170B0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47" name="Shape 22">
            <a:extLst>
              <a:ext uri="{FF2B5EF4-FFF2-40B4-BE49-F238E27FC236}">
                <a16:creationId xmlns:a16="http://schemas.microsoft.com/office/drawing/2014/main" id="{FA9D051C-1F67-3972-7C92-6FF484A9851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48" name="Shape 23">
            <a:extLst>
              <a:ext uri="{FF2B5EF4-FFF2-40B4-BE49-F238E27FC236}">
                <a16:creationId xmlns:a16="http://schemas.microsoft.com/office/drawing/2014/main" id="{759393DD-92ED-2A76-AF08-B4FEC91E089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49" name="Shape 24">
            <a:extLst>
              <a:ext uri="{FF2B5EF4-FFF2-40B4-BE49-F238E27FC236}">
                <a16:creationId xmlns:a16="http://schemas.microsoft.com/office/drawing/2014/main" id="{4046F664-770A-A5A1-9C9D-7726F2EA9AE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50" name="Shape 25">
            <a:extLst>
              <a:ext uri="{FF2B5EF4-FFF2-40B4-BE49-F238E27FC236}">
                <a16:creationId xmlns:a16="http://schemas.microsoft.com/office/drawing/2014/main" id="{D745E115-6A7D-77B6-00CA-0C119BBD511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51" name="Shape 26">
            <a:extLst>
              <a:ext uri="{FF2B5EF4-FFF2-40B4-BE49-F238E27FC236}">
                <a16:creationId xmlns:a16="http://schemas.microsoft.com/office/drawing/2014/main" id="{D5852796-7521-32F3-7066-169D62648D3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52" name="Shape 27">
            <a:extLst>
              <a:ext uri="{FF2B5EF4-FFF2-40B4-BE49-F238E27FC236}">
                <a16:creationId xmlns:a16="http://schemas.microsoft.com/office/drawing/2014/main" id="{F16CA701-BDE5-15B6-4E94-1E80769A812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53" name="Shape 28">
            <a:extLst>
              <a:ext uri="{FF2B5EF4-FFF2-40B4-BE49-F238E27FC236}">
                <a16:creationId xmlns:a16="http://schemas.microsoft.com/office/drawing/2014/main" id="{99E39177-DF4A-B2A5-CA38-9ACFFF3CFB7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54" name="Shape 29">
            <a:extLst>
              <a:ext uri="{FF2B5EF4-FFF2-40B4-BE49-F238E27FC236}">
                <a16:creationId xmlns:a16="http://schemas.microsoft.com/office/drawing/2014/main" id="{F06D13F5-A6B9-CB84-C5D4-E50328758F1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55" name="Shape 30">
            <a:extLst>
              <a:ext uri="{FF2B5EF4-FFF2-40B4-BE49-F238E27FC236}">
                <a16:creationId xmlns:a16="http://schemas.microsoft.com/office/drawing/2014/main" id="{23AE2C0E-7AB3-69DE-4672-E13BB329E90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56" name="Shape 31">
            <a:extLst>
              <a:ext uri="{FF2B5EF4-FFF2-40B4-BE49-F238E27FC236}">
                <a16:creationId xmlns:a16="http://schemas.microsoft.com/office/drawing/2014/main" id="{7DD68DDE-A6F6-4B77-DED9-9D91A060D86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757" name="Group 32">
          <a:extLst>
            <a:ext uri="{FF2B5EF4-FFF2-40B4-BE49-F238E27FC236}">
              <a16:creationId xmlns:a16="http://schemas.microsoft.com/office/drawing/2014/main" id="{D7F156EB-299E-4242-8E06-E9C02A5E3DBB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758" name="Shape 33">
            <a:extLst>
              <a:ext uri="{FF2B5EF4-FFF2-40B4-BE49-F238E27FC236}">
                <a16:creationId xmlns:a16="http://schemas.microsoft.com/office/drawing/2014/main" id="{C3194FDD-E47A-2D89-69DC-880605E68AD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59" name="Shape 34">
            <a:extLst>
              <a:ext uri="{FF2B5EF4-FFF2-40B4-BE49-F238E27FC236}">
                <a16:creationId xmlns:a16="http://schemas.microsoft.com/office/drawing/2014/main" id="{3578AF4F-0CB9-5A2D-315A-DC5E774EABA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60" name="Shape 35">
            <a:extLst>
              <a:ext uri="{FF2B5EF4-FFF2-40B4-BE49-F238E27FC236}">
                <a16:creationId xmlns:a16="http://schemas.microsoft.com/office/drawing/2014/main" id="{15C06102-A640-5B88-B502-68D6F4B746F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61" name="Shape 36">
            <a:extLst>
              <a:ext uri="{FF2B5EF4-FFF2-40B4-BE49-F238E27FC236}">
                <a16:creationId xmlns:a16="http://schemas.microsoft.com/office/drawing/2014/main" id="{9C1C10BA-8315-D5FC-8AC9-B02BDD06E85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62" name="Shape 37">
            <a:extLst>
              <a:ext uri="{FF2B5EF4-FFF2-40B4-BE49-F238E27FC236}">
                <a16:creationId xmlns:a16="http://schemas.microsoft.com/office/drawing/2014/main" id="{3CC1C9EE-6847-05D6-00B6-2500C1F3574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63" name="Shape 38">
            <a:extLst>
              <a:ext uri="{FF2B5EF4-FFF2-40B4-BE49-F238E27FC236}">
                <a16:creationId xmlns:a16="http://schemas.microsoft.com/office/drawing/2014/main" id="{C9B619FB-4B20-8C0A-C07B-F381FA252D2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64" name="Shape 39">
            <a:extLst>
              <a:ext uri="{FF2B5EF4-FFF2-40B4-BE49-F238E27FC236}">
                <a16:creationId xmlns:a16="http://schemas.microsoft.com/office/drawing/2014/main" id="{785672D3-1984-BEA0-8FE8-06A5E6D8F3C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65" name="Shape 40">
            <a:extLst>
              <a:ext uri="{FF2B5EF4-FFF2-40B4-BE49-F238E27FC236}">
                <a16:creationId xmlns:a16="http://schemas.microsoft.com/office/drawing/2014/main" id="{6EE36093-9C09-B7FE-153B-4B6D7309387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66" name="Shape 41">
            <a:extLst>
              <a:ext uri="{FF2B5EF4-FFF2-40B4-BE49-F238E27FC236}">
                <a16:creationId xmlns:a16="http://schemas.microsoft.com/office/drawing/2014/main" id="{EF87AD3B-754B-5549-F28D-693829F397F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67" name="Shape 42">
            <a:extLst>
              <a:ext uri="{FF2B5EF4-FFF2-40B4-BE49-F238E27FC236}">
                <a16:creationId xmlns:a16="http://schemas.microsoft.com/office/drawing/2014/main" id="{22FEE542-4E4B-A583-DD99-7390F6A755E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68" name="Shape 43">
            <a:extLst>
              <a:ext uri="{FF2B5EF4-FFF2-40B4-BE49-F238E27FC236}">
                <a16:creationId xmlns:a16="http://schemas.microsoft.com/office/drawing/2014/main" id="{08AFF49C-D22F-AFB9-1E9E-DD008503F3D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69" name="Shape 44">
            <a:extLst>
              <a:ext uri="{FF2B5EF4-FFF2-40B4-BE49-F238E27FC236}">
                <a16:creationId xmlns:a16="http://schemas.microsoft.com/office/drawing/2014/main" id="{E35B834E-5824-4E51-FAB6-C2832899A65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70" name="Shape 45">
            <a:extLst>
              <a:ext uri="{FF2B5EF4-FFF2-40B4-BE49-F238E27FC236}">
                <a16:creationId xmlns:a16="http://schemas.microsoft.com/office/drawing/2014/main" id="{F9F2D965-86AD-2ECB-976F-E66E9DEE4BC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71" name="Shape 46">
            <a:extLst>
              <a:ext uri="{FF2B5EF4-FFF2-40B4-BE49-F238E27FC236}">
                <a16:creationId xmlns:a16="http://schemas.microsoft.com/office/drawing/2014/main" id="{2B96E9CA-14FA-F460-2925-AC658709D3D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772" name="Group 47">
          <a:extLst>
            <a:ext uri="{FF2B5EF4-FFF2-40B4-BE49-F238E27FC236}">
              <a16:creationId xmlns:a16="http://schemas.microsoft.com/office/drawing/2014/main" id="{D87BFDCB-0849-4326-921D-F52ED4774966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773" name="Shape 48">
            <a:extLst>
              <a:ext uri="{FF2B5EF4-FFF2-40B4-BE49-F238E27FC236}">
                <a16:creationId xmlns:a16="http://schemas.microsoft.com/office/drawing/2014/main" id="{077FF5EB-6CC1-1D43-F40F-74D1D2A85D7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74" name="Shape 49">
            <a:extLst>
              <a:ext uri="{FF2B5EF4-FFF2-40B4-BE49-F238E27FC236}">
                <a16:creationId xmlns:a16="http://schemas.microsoft.com/office/drawing/2014/main" id="{074862ED-D216-499F-C0E9-8A61CE1893C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75" name="Shape 50">
            <a:extLst>
              <a:ext uri="{FF2B5EF4-FFF2-40B4-BE49-F238E27FC236}">
                <a16:creationId xmlns:a16="http://schemas.microsoft.com/office/drawing/2014/main" id="{E935EF37-053D-CC44-4023-6E3489FF168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76" name="Shape 51">
            <a:extLst>
              <a:ext uri="{FF2B5EF4-FFF2-40B4-BE49-F238E27FC236}">
                <a16:creationId xmlns:a16="http://schemas.microsoft.com/office/drawing/2014/main" id="{9CE01CEA-A1B7-2F49-BE72-F3FD9A7E539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77" name="Shape 52">
            <a:extLst>
              <a:ext uri="{FF2B5EF4-FFF2-40B4-BE49-F238E27FC236}">
                <a16:creationId xmlns:a16="http://schemas.microsoft.com/office/drawing/2014/main" id="{0F83CD84-459E-990E-8B36-871EADDF5A1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78" name="Shape 53">
            <a:extLst>
              <a:ext uri="{FF2B5EF4-FFF2-40B4-BE49-F238E27FC236}">
                <a16:creationId xmlns:a16="http://schemas.microsoft.com/office/drawing/2014/main" id="{28CAF87E-F39E-276C-FCF0-BB08E5CE867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79" name="Shape 54">
            <a:extLst>
              <a:ext uri="{FF2B5EF4-FFF2-40B4-BE49-F238E27FC236}">
                <a16:creationId xmlns:a16="http://schemas.microsoft.com/office/drawing/2014/main" id="{10F3BE39-F08D-4C62-35C6-23588277E6E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80" name="Shape 55">
            <a:extLst>
              <a:ext uri="{FF2B5EF4-FFF2-40B4-BE49-F238E27FC236}">
                <a16:creationId xmlns:a16="http://schemas.microsoft.com/office/drawing/2014/main" id="{08213D36-7460-F1D2-8D15-DA640B3C530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81" name="Shape 56">
            <a:extLst>
              <a:ext uri="{FF2B5EF4-FFF2-40B4-BE49-F238E27FC236}">
                <a16:creationId xmlns:a16="http://schemas.microsoft.com/office/drawing/2014/main" id="{85FC58DD-54A4-B4D6-E929-4E70ACFF743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82" name="Shape 57">
            <a:extLst>
              <a:ext uri="{FF2B5EF4-FFF2-40B4-BE49-F238E27FC236}">
                <a16:creationId xmlns:a16="http://schemas.microsoft.com/office/drawing/2014/main" id="{45EA2107-453B-88A4-E39F-2B3FB97D195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83" name="Shape 58">
            <a:extLst>
              <a:ext uri="{FF2B5EF4-FFF2-40B4-BE49-F238E27FC236}">
                <a16:creationId xmlns:a16="http://schemas.microsoft.com/office/drawing/2014/main" id="{46939967-617D-5065-B83E-E2A003D6197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84" name="Shape 59">
            <a:extLst>
              <a:ext uri="{FF2B5EF4-FFF2-40B4-BE49-F238E27FC236}">
                <a16:creationId xmlns:a16="http://schemas.microsoft.com/office/drawing/2014/main" id="{06924152-C666-7FEF-A0D1-CAA7FC6CA89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85" name="Shape 60">
            <a:extLst>
              <a:ext uri="{FF2B5EF4-FFF2-40B4-BE49-F238E27FC236}">
                <a16:creationId xmlns:a16="http://schemas.microsoft.com/office/drawing/2014/main" id="{B1F979DB-D8B1-535B-1613-56CF09557B4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86" name="Shape 61">
            <a:extLst>
              <a:ext uri="{FF2B5EF4-FFF2-40B4-BE49-F238E27FC236}">
                <a16:creationId xmlns:a16="http://schemas.microsoft.com/office/drawing/2014/main" id="{1B3F66EC-98D4-9F6B-7652-69C04F48398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787" name="Group 62">
          <a:extLst>
            <a:ext uri="{FF2B5EF4-FFF2-40B4-BE49-F238E27FC236}">
              <a16:creationId xmlns:a16="http://schemas.microsoft.com/office/drawing/2014/main" id="{27374389-5BFA-42B2-A9F3-280EC389E259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788" name="Shape 63">
            <a:extLst>
              <a:ext uri="{FF2B5EF4-FFF2-40B4-BE49-F238E27FC236}">
                <a16:creationId xmlns:a16="http://schemas.microsoft.com/office/drawing/2014/main" id="{891EBEF3-6655-7F09-19A1-ED7931048D6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89" name="Shape 64">
            <a:extLst>
              <a:ext uri="{FF2B5EF4-FFF2-40B4-BE49-F238E27FC236}">
                <a16:creationId xmlns:a16="http://schemas.microsoft.com/office/drawing/2014/main" id="{06517D74-8648-DB2D-3670-3D0518F016F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90" name="Shape 65">
            <a:extLst>
              <a:ext uri="{FF2B5EF4-FFF2-40B4-BE49-F238E27FC236}">
                <a16:creationId xmlns:a16="http://schemas.microsoft.com/office/drawing/2014/main" id="{CBB87287-DA81-D2AE-A88C-BBFDCE5ADF9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91" name="Shape 66">
            <a:extLst>
              <a:ext uri="{FF2B5EF4-FFF2-40B4-BE49-F238E27FC236}">
                <a16:creationId xmlns:a16="http://schemas.microsoft.com/office/drawing/2014/main" id="{513ACB1C-175F-72DE-1C36-7DD76C87BBC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92" name="Shape 67">
            <a:extLst>
              <a:ext uri="{FF2B5EF4-FFF2-40B4-BE49-F238E27FC236}">
                <a16:creationId xmlns:a16="http://schemas.microsoft.com/office/drawing/2014/main" id="{306BD0C4-84C9-A146-FECC-1B234BD2BB7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93" name="Shape 68">
            <a:extLst>
              <a:ext uri="{FF2B5EF4-FFF2-40B4-BE49-F238E27FC236}">
                <a16:creationId xmlns:a16="http://schemas.microsoft.com/office/drawing/2014/main" id="{C108B4DB-61B6-08C3-03F4-3A002A84C8F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94" name="Shape 69">
            <a:extLst>
              <a:ext uri="{FF2B5EF4-FFF2-40B4-BE49-F238E27FC236}">
                <a16:creationId xmlns:a16="http://schemas.microsoft.com/office/drawing/2014/main" id="{EBF7D2FD-163A-970E-9A46-9DFD14E7E87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95" name="Shape 70">
            <a:extLst>
              <a:ext uri="{FF2B5EF4-FFF2-40B4-BE49-F238E27FC236}">
                <a16:creationId xmlns:a16="http://schemas.microsoft.com/office/drawing/2014/main" id="{FD5B4600-FCF0-9845-7F44-DAA10D78F65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96" name="Shape 71">
            <a:extLst>
              <a:ext uri="{FF2B5EF4-FFF2-40B4-BE49-F238E27FC236}">
                <a16:creationId xmlns:a16="http://schemas.microsoft.com/office/drawing/2014/main" id="{C8E13425-8AB9-73DC-2789-3D8A4948B2E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97" name="Shape 72">
            <a:extLst>
              <a:ext uri="{FF2B5EF4-FFF2-40B4-BE49-F238E27FC236}">
                <a16:creationId xmlns:a16="http://schemas.microsoft.com/office/drawing/2014/main" id="{6258B982-A885-765E-3B8D-65F234B06D7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98" name="Shape 73">
            <a:extLst>
              <a:ext uri="{FF2B5EF4-FFF2-40B4-BE49-F238E27FC236}">
                <a16:creationId xmlns:a16="http://schemas.microsoft.com/office/drawing/2014/main" id="{B13EA6E4-FBC6-287D-7080-FC75A56C3D2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99" name="Shape 74">
            <a:extLst>
              <a:ext uri="{FF2B5EF4-FFF2-40B4-BE49-F238E27FC236}">
                <a16:creationId xmlns:a16="http://schemas.microsoft.com/office/drawing/2014/main" id="{2798072C-E428-17B6-065C-8F4E6F8704B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00" name="Shape 75">
            <a:extLst>
              <a:ext uri="{FF2B5EF4-FFF2-40B4-BE49-F238E27FC236}">
                <a16:creationId xmlns:a16="http://schemas.microsoft.com/office/drawing/2014/main" id="{3A55ECC1-56A2-7827-4AD0-ADFA256F265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01" name="Shape 76">
            <a:extLst>
              <a:ext uri="{FF2B5EF4-FFF2-40B4-BE49-F238E27FC236}">
                <a16:creationId xmlns:a16="http://schemas.microsoft.com/office/drawing/2014/main" id="{DCDAB5BF-EA01-815A-8BE2-AC939A96FEF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802" name="Group 2">
          <a:extLst>
            <a:ext uri="{FF2B5EF4-FFF2-40B4-BE49-F238E27FC236}">
              <a16:creationId xmlns:a16="http://schemas.microsoft.com/office/drawing/2014/main" id="{74202D41-17BC-4A77-832A-D543580FB4D6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803" name="Shape 3">
            <a:extLst>
              <a:ext uri="{FF2B5EF4-FFF2-40B4-BE49-F238E27FC236}">
                <a16:creationId xmlns:a16="http://schemas.microsoft.com/office/drawing/2014/main" id="{790D67D1-B3DB-9AE3-21AB-DF26CDAE0DA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04" name="Shape 4">
            <a:extLst>
              <a:ext uri="{FF2B5EF4-FFF2-40B4-BE49-F238E27FC236}">
                <a16:creationId xmlns:a16="http://schemas.microsoft.com/office/drawing/2014/main" id="{786A3A6D-6C87-D760-CDE0-8E9BA7A0914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05" name="Shape 5">
            <a:extLst>
              <a:ext uri="{FF2B5EF4-FFF2-40B4-BE49-F238E27FC236}">
                <a16:creationId xmlns:a16="http://schemas.microsoft.com/office/drawing/2014/main" id="{4CF51C12-987F-00F9-D464-979A9B8B8AC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06" name="Shape 6">
            <a:extLst>
              <a:ext uri="{FF2B5EF4-FFF2-40B4-BE49-F238E27FC236}">
                <a16:creationId xmlns:a16="http://schemas.microsoft.com/office/drawing/2014/main" id="{FF3BE6B4-678D-13B8-592D-901DCCCEE30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07" name="Shape 7">
            <a:extLst>
              <a:ext uri="{FF2B5EF4-FFF2-40B4-BE49-F238E27FC236}">
                <a16:creationId xmlns:a16="http://schemas.microsoft.com/office/drawing/2014/main" id="{78EC5917-02FC-BA28-7DEF-E13AAE8A6C6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08" name="Shape 8">
            <a:extLst>
              <a:ext uri="{FF2B5EF4-FFF2-40B4-BE49-F238E27FC236}">
                <a16:creationId xmlns:a16="http://schemas.microsoft.com/office/drawing/2014/main" id="{F6C5DA4B-66B1-7943-E90C-13A1B0A03B5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09" name="Shape 9">
            <a:extLst>
              <a:ext uri="{FF2B5EF4-FFF2-40B4-BE49-F238E27FC236}">
                <a16:creationId xmlns:a16="http://schemas.microsoft.com/office/drawing/2014/main" id="{E9613FB3-3E01-30A6-F547-2CE9675BBD4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10" name="Shape 10">
            <a:extLst>
              <a:ext uri="{FF2B5EF4-FFF2-40B4-BE49-F238E27FC236}">
                <a16:creationId xmlns:a16="http://schemas.microsoft.com/office/drawing/2014/main" id="{490B185A-3117-1210-7E97-CD6F0544C6F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11" name="Shape 11">
            <a:extLst>
              <a:ext uri="{FF2B5EF4-FFF2-40B4-BE49-F238E27FC236}">
                <a16:creationId xmlns:a16="http://schemas.microsoft.com/office/drawing/2014/main" id="{4E9841DD-98C8-A4B0-90E0-1706A45FFDC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12" name="Shape 12">
            <a:extLst>
              <a:ext uri="{FF2B5EF4-FFF2-40B4-BE49-F238E27FC236}">
                <a16:creationId xmlns:a16="http://schemas.microsoft.com/office/drawing/2014/main" id="{DBEA8E57-6BC7-1FD4-E57A-BEA52F4F536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13" name="Shape 13">
            <a:extLst>
              <a:ext uri="{FF2B5EF4-FFF2-40B4-BE49-F238E27FC236}">
                <a16:creationId xmlns:a16="http://schemas.microsoft.com/office/drawing/2014/main" id="{96E7AF66-4291-D08C-CEC9-4E72AE1867D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14" name="Shape 14">
            <a:extLst>
              <a:ext uri="{FF2B5EF4-FFF2-40B4-BE49-F238E27FC236}">
                <a16:creationId xmlns:a16="http://schemas.microsoft.com/office/drawing/2014/main" id="{3612402D-98E1-1225-5505-1349654E1B2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15" name="Shape 15">
            <a:extLst>
              <a:ext uri="{FF2B5EF4-FFF2-40B4-BE49-F238E27FC236}">
                <a16:creationId xmlns:a16="http://schemas.microsoft.com/office/drawing/2014/main" id="{922192F5-6A8B-5920-03E3-CB1297AFD3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16" name="Shape 16">
            <a:extLst>
              <a:ext uri="{FF2B5EF4-FFF2-40B4-BE49-F238E27FC236}">
                <a16:creationId xmlns:a16="http://schemas.microsoft.com/office/drawing/2014/main" id="{0E520104-3720-2551-1FBA-CC40641AFB2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817" name="Group 17">
          <a:extLst>
            <a:ext uri="{FF2B5EF4-FFF2-40B4-BE49-F238E27FC236}">
              <a16:creationId xmlns:a16="http://schemas.microsoft.com/office/drawing/2014/main" id="{B175F198-A9A0-4C43-8DD0-A11D154A1C91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818" name="Shape 18">
            <a:extLst>
              <a:ext uri="{FF2B5EF4-FFF2-40B4-BE49-F238E27FC236}">
                <a16:creationId xmlns:a16="http://schemas.microsoft.com/office/drawing/2014/main" id="{3B671457-87A7-F7E4-936B-8361668B9EB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19" name="Shape 19">
            <a:extLst>
              <a:ext uri="{FF2B5EF4-FFF2-40B4-BE49-F238E27FC236}">
                <a16:creationId xmlns:a16="http://schemas.microsoft.com/office/drawing/2014/main" id="{A21E5552-D7F0-4673-FB71-373745C1A28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20" name="Shape 20">
            <a:extLst>
              <a:ext uri="{FF2B5EF4-FFF2-40B4-BE49-F238E27FC236}">
                <a16:creationId xmlns:a16="http://schemas.microsoft.com/office/drawing/2014/main" id="{A231F595-5FD4-0C51-0118-1CC02F22669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21" name="Shape 21">
            <a:extLst>
              <a:ext uri="{FF2B5EF4-FFF2-40B4-BE49-F238E27FC236}">
                <a16:creationId xmlns:a16="http://schemas.microsoft.com/office/drawing/2014/main" id="{AC116335-F83B-6B3F-CA8F-715B26D9CCB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22" name="Shape 22">
            <a:extLst>
              <a:ext uri="{FF2B5EF4-FFF2-40B4-BE49-F238E27FC236}">
                <a16:creationId xmlns:a16="http://schemas.microsoft.com/office/drawing/2014/main" id="{99F40C19-81B4-B044-1F3D-3DDE85C8224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23" name="Shape 23">
            <a:extLst>
              <a:ext uri="{FF2B5EF4-FFF2-40B4-BE49-F238E27FC236}">
                <a16:creationId xmlns:a16="http://schemas.microsoft.com/office/drawing/2014/main" id="{F37CAEC1-417C-7F37-1594-6C7C0CFEF36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24" name="Shape 24">
            <a:extLst>
              <a:ext uri="{FF2B5EF4-FFF2-40B4-BE49-F238E27FC236}">
                <a16:creationId xmlns:a16="http://schemas.microsoft.com/office/drawing/2014/main" id="{427C6934-D069-7B7E-AD49-A912CEB7561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25" name="Shape 25">
            <a:extLst>
              <a:ext uri="{FF2B5EF4-FFF2-40B4-BE49-F238E27FC236}">
                <a16:creationId xmlns:a16="http://schemas.microsoft.com/office/drawing/2014/main" id="{A4BC87F4-7B91-F56D-6DE6-62BA85789C5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26" name="Shape 26">
            <a:extLst>
              <a:ext uri="{FF2B5EF4-FFF2-40B4-BE49-F238E27FC236}">
                <a16:creationId xmlns:a16="http://schemas.microsoft.com/office/drawing/2014/main" id="{F9084849-5B92-F586-3917-05CAA7AC912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27" name="Shape 27">
            <a:extLst>
              <a:ext uri="{FF2B5EF4-FFF2-40B4-BE49-F238E27FC236}">
                <a16:creationId xmlns:a16="http://schemas.microsoft.com/office/drawing/2014/main" id="{8920318F-9594-EB1E-E06D-C8B864E9A9A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28" name="Shape 28">
            <a:extLst>
              <a:ext uri="{FF2B5EF4-FFF2-40B4-BE49-F238E27FC236}">
                <a16:creationId xmlns:a16="http://schemas.microsoft.com/office/drawing/2014/main" id="{8EBB4D0F-436C-085F-C02C-895FC213685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29" name="Shape 29">
            <a:extLst>
              <a:ext uri="{FF2B5EF4-FFF2-40B4-BE49-F238E27FC236}">
                <a16:creationId xmlns:a16="http://schemas.microsoft.com/office/drawing/2014/main" id="{8E6A992C-8D6C-B30C-4736-9E21F0891ED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30" name="Shape 30">
            <a:extLst>
              <a:ext uri="{FF2B5EF4-FFF2-40B4-BE49-F238E27FC236}">
                <a16:creationId xmlns:a16="http://schemas.microsoft.com/office/drawing/2014/main" id="{D8A3C574-D458-9293-3C0B-F95292B1827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31" name="Shape 31">
            <a:extLst>
              <a:ext uri="{FF2B5EF4-FFF2-40B4-BE49-F238E27FC236}">
                <a16:creationId xmlns:a16="http://schemas.microsoft.com/office/drawing/2014/main" id="{401BE74E-6C63-4810-CC43-C0033668A6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832" name="Group 32">
          <a:extLst>
            <a:ext uri="{FF2B5EF4-FFF2-40B4-BE49-F238E27FC236}">
              <a16:creationId xmlns:a16="http://schemas.microsoft.com/office/drawing/2014/main" id="{DA48692F-F8CF-42C1-9790-7F3C5BA3F946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833" name="Shape 33">
            <a:extLst>
              <a:ext uri="{FF2B5EF4-FFF2-40B4-BE49-F238E27FC236}">
                <a16:creationId xmlns:a16="http://schemas.microsoft.com/office/drawing/2014/main" id="{73C28A00-EF7A-075A-AFAA-92D5A4667DA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34" name="Shape 34">
            <a:extLst>
              <a:ext uri="{FF2B5EF4-FFF2-40B4-BE49-F238E27FC236}">
                <a16:creationId xmlns:a16="http://schemas.microsoft.com/office/drawing/2014/main" id="{FD03E203-A0C5-0498-BA44-A5D42EAAB57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35" name="Shape 35">
            <a:extLst>
              <a:ext uri="{FF2B5EF4-FFF2-40B4-BE49-F238E27FC236}">
                <a16:creationId xmlns:a16="http://schemas.microsoft.com/office/drawing/2014/main" id="{708B7DD3-0641-1FEA-8055-54B4D072353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36" name="Shape 36">
            <a:extLst>
              <a:ext uri="{FF2B5EF4-FFF2-40B4-BE49-F238E27FC236}">
                <a16:creationId xmlns:a16="http://schemas.microsoft.com/office/drawing/2014/main" id="{6E0F972D-E99A-9175-73C6-9FD6C358868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37" name="Shape 37">
            <a:extLst>
              <a:ext uri="{FF2B5EF4-FFF2-40B4-BE49-F238E27FC236}">
                <a16:creationId xmlns:a16="http://schemas.microsoft.com/office/drawing/2014/main" id="{2E522468-47C1-4E73-6B57-0090BFFD8A0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38" name="Shape 38">
            <a:extLst>
              <a:ext uri="{FF2B5EF4-FFF2-40B4-BE49-F238E27FC236}">
                <a16:creationId xmlns:a16="http://schemas.microsoft.com/office/drawing/2014/main" id="{94E68AD1-D48D-590B-5749-A58396042B6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39" name="Shape 39">
            <a:extLst>
              <a:ext uri="{FF2B5EF4-FFF2-40B4-BE49-F238E27FC236}">
                <a16:creationId xmlns:a16="http://schemas.microsoft.com/office/drawing/2014/main" id="{F24621D2-7858-51D6-8175-B6C238E923C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40" name="Shape 40">
            <a:extLst>
              <a:ext uri="{FF2B5EF4-FFF2-40B4-BE49-F238E27FC236}">
                <a16:creationId xmlns:a16="http://schemas.microsoft.com/office/drawing/2014/main" id="{D8FE77BD-92D0-F87E-DEB4-5D1DA1BA17F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41" name="Shape 41">
            <a:extLst>
              <a:ext uri="{FF2B5EF4-FFF2-40B4-BE49-F238E27FC236}">
                <a16:creationId xmlns:a16="http://schemas.microsoft.com/office/drawing/2014/main" id="{2EE4B1F1-1E43-752A-DDBD-B4C83EBF611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42" name="Shape 42">
            <a:extLst>
              <a:ext uri="{FF2B5EF4-FFF2-40B4-BE49-F238E27FC236}">
                <a16:creationId xmlns:a16="http://schemas.microsoft.com/office/drawing/2014/main" id="{B70225BB-7062-CBDC-44FD-9C670D176E2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43" name="Shape 43">
            <a:extLst>
              <a:ext uri="{FF2B5EF4-FFF2-40B4-BE49-F238E27FC236}">
                <a16:creationId xmlns:a16="http://schemas.microsoft.com/office/drawing/2014/main" id="{B3553CD5-BC1C-28D2-ABB3-BAC4132165F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44" name="Shape 44">
            <a:extLst>
              <a:ext uri="{FF2B5EF4-FFF2-40B4-BE49-F238E27FC236}">
                <a16:creationId xmlns:a16="http://schemas.microsoft.com/office/drawing/2014/main" id="{BFAC2C10-E0A1-9FCF-C8D1-06718660A49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45" name="Shape 45">
            <a:extLst>
              <a:ext uri="{FF2B5EF4-FFF2-40B4-BE49-F238E27FC236}">
                <a16:creationId xmlns:a16="http://schemas.microsoft.com/office/drawing/2014/main" id="{0AD0DA4B-06D8-6A6E-3270-FDBF7C0EB30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46" name="Shape 46">
            <a:extLst>
              <a:ext uri="{FF2B5EF4-FFF2-40B4-BE49-F238E27FC236}">
                <a16:creationId xmlns:a16="http://schemas.microsoft.com/office/drawing/2014/main" id="{912FEDC0-CB34-CFD2-82F7-140D63E9A9C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847" name="Group 47">
          <a:extLst>
            <a:ext uri="{FF2B5EF4-FFF2-40B4-BE49-F238E27FC236}">
              <a16:creationId xmlns:a16="http://schemas.microsoft.com/office/drawing/2014/main" id="{95DA500B-D5D9-414B-B679-9AB41B72FAEC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848" name="Shape 48">
            <a:extLst>
              <a:ext uri="{FF2B5EF4-FFF2-40B4-BE49-F238E27FC236}">
                <a16:creationId xmlns:a16="http://schemas.microsoft.com/office/drawing/2014/main" id="{26420C5B-FDAA-3EF2-2CFD-469D04B6FA3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49" name="Shape 49">
            <a:extLst>
              <a:ext uri="{FF2B5EF4-FFF2-40B4-BE49-F238E27FC236}">
                <a16:creationId xmlns:a16="http://schemas.microsoft.com/office/drawing/2014/main" id="{D87581F4-3A3A-AC93-6923-F557833149D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50" name="Shape 50">
            <a:extLst>
              <a:ext uri="{FF2B5EF4-FFF2-40B4-BE49-F238E27FC236}">
                <a16:creationId xmlns:a16="http://schemas.microsoft.com/office/drawing/2014/main" id="{FAD5DEFE-8340-2335-64D9-067B27F922B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51" name="Shape 51">
            <a:extLst>
              <a:ext uri="{FF2B5EF4-FFF2-40B4-BE49-F238E27FC236}">
                <a16:creationId xmlns:a16="http://schemas.microsoft.com/office/drawing/2014/main" id="{F9061848-FE09-CF3D-9575-E1E93C05E73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52" name="Shape 52">
            <a:extLst>
              <a:ext uri="{FF2B5EF4-FFF2-40B4-BE49-F238E27FC236}">
                <a16:creationId xmlns:a16="http://schemas.microsoft.com/office/drawing/2014/main" id="{82BD2866-8BD2-C02A-4730-67598EE5DBB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53" name="Shape 53">
            <a:extLst>
              <a:ext uri="{FF2B5EF4-FFF2-40B4-BE49-F238E27FC236}">
                <a16:creationId xmlns:a16="http://schemas.microsoft.com/office/drawing/2014/main" id="{825B1E20-78EE-A876-6E92-01126ECC426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54" name="Shape 54">
            <a:extLst>
              <a:ext uri="{FF2B5EF4-FFF2-40B4-BE49-F238E27FC236}">
                <a16:creationId xmlns:a16="http://schemas.microsoft.com/office/drawing/2014/main" id="{813AFADB-22F1-FB82-7510-9ADA9A75637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55" name="Shape 55">
            <a:extLst>
              <a:ext uri="{FF2B5EF4-FFF2-40B4-BE49-F238E27FC236}">
                <a16:creationId xmlns:a16="http://schemas.microsoft.com/office/drawing/2014/main" id="{1D81C596-D0D4-10B1-CDED-FBF960E9ED7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56" name="Shape 56">
            <a:extLst>
              <a:ext uri="{FF2B5EF4-FFF2-40B4-BE49-F238E27FC236}">
                <a16:creationId xmlns:a16="http://schemas.microsoft.com/office/drawing/2014/main" id="{B7C5A6E0-399E-EB8E-5BC7-4CB87DA1B7F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57" name="Shape 57">
            <a:extLst>
              <a:ext uri="{FF2B5EF4-FFF2-40B4-BE49-F238E27FC236}">
                <a16:creationId xmlns:a16="http://schemas.microsoft.com/office/drawing/2014/main" id="{A5A84922-32FE-00D0-DC73-A8229EC4AB3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58" name="Shape 58">
            <a:extLst>
              <a:ext uri="{FF2B5EF4-FFF2-40B4-BE49-F238E27FC236}">
                <a16:creationId xmlns:a16="http://schemas.microsoft.com/office/drawing/2014/main" id="{27AEDF9E-2DD2-D727-3CE0-3A1D1CB3F0D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59" name="Shape 59">
            <a:extLst>
              <a:ext uri="{FF2B5EF4-FFF2-40B4-BE49-F238E27FC236}">
                <a16:creationId xmlns:a16="http://schemas.microsoft.com/office/drawing/2014/main" id="{CDD59933-095D-6E89-94F5-9F21CF3838D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60" name="Shape 60">
            <a:extLst>
              <a:ext uri="{FF2B5EF4-FFF2-40B4-BE49-F238E27FC236}">
                <a16:creationId xmlns:a16="http://schemas.microsoft.com/office/drawing/2014/main" id="{51CC6C8F-0D1C-21F4-2108-B84B106F8F7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61" name="Shape 61">
            <a:extLst>
              <a:ext uri="{FF2B5EF4-FFF2-40B4-BE49-F238E27FC236}">
                <a16:creationId xmlns:a16="http://schemas.microsoft.com/office/drawing/2014/main" id="{0F5A035C-6008-A074-01A7-32E02F33701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862" name="Group 62">
          <a:extLst>
            <a:ext uri="{FF2B5EF4-FFF2-40B4-BE49-F238E27FC236}">
              <a16:creationId xmlns:a16="http://schemas.microsoft.com/office/drawing/2014/main" id="{A4F2D6C4-C75F-46D1-A57A-5E80EE313FE3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863" name="Shape 63">
            <a:extLst>
              <a:ext uri="{FF2B5EF4-FFF2-40B4-BE49-F238E27FC236}">
                <a16:creationId xmlns:a16="http://schemas.microsoft.com/office/drawing/2014/main" id="{57075C7E-CEEA-3C5D-4AD6-F71E99D6321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64" name="Shape 64">
            <a:extLst>
              <a:ext uri="{FF2B5EF4-FFF2-40B4-BE49-F238E27FC236}">
                <a16:creationId xmlns:a16="http://schemas.microsoft.com/office/drawing/2014/main" id="{9F48E7CB-1037-68EA-6469-1156D9F8F31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65" name="Shape 65">
            <a:extLst>
              <a:ext uri="{FF2B5EF4-FFF2-40B4-BE49-F238E27FC236}">
                <a16:creationId xmlns:a16="http://schemas.microsoft.com/office/drawing/2014/main" id="{8932D32B-0FC9-D661-A10A-079C3F6CFB8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66" name="Shape 66">
            <a:extLst>
              <a:ext uri="{FF2B5EF4-FFF2-40B4-BE49-F238E27FC236}">
                <a16:creationId xmlns:a16="http://schemas.microsoft.com/office/drawing/2014/main" id="{C4254C9A-A512-D5C6-FDBB-2AF340330AE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67" name="Shape 67">
            <a:extLst>
              <a:ext uri="{FF2B5EF4-FFF2-40B4-BE49-F238E27FC236}">
                <a16:creationId xmlns:a16="http://schemas.microsoft.com/office/drawing/2014/main" id="{7A376A92-F400-92D8-C524-6F203A89BBD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68" name="Shape 68">
            <a:extLst>
              <a:ext uri="{FF2B5EF4-FFF2-40B4-BE49-F238E27FC236}">
                <a16:creationId xmlns:a16="http://schemas.microsoft.com/office/drawing/2014/main" id="{0B7C6AE2-BA80-2F87-9D25-19A2ACD48BB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69" name="Shape 69">
            <a:extLst>
              <a:ext uri="{FF2B5EF4-FFF2-40B4-BE49-F238E27FC236}">
                <a16:creationId xmlns:a16="http://schemas.microsoft.com/office/drawing/2014/main" id="{DFAD1A0E-EB97-2639-D330-A89383D8DFB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70" name="Shape 70">
            <a:extLst>
              <a:ext uri="{FF2B5EF4-FFF2-40B4-BE49-F238E27FC236}">
                <a16:creationId xmlns:a16="http://schemas.microsoft.com/office/drawing/2014/main" id="{2262BB56-F06C-6097-3A32-19425C52645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71" name="Shape 71">
            <a:extLst>
              <a:ext uri="{FF2B5EF4-FFF2-40B4-BE49-F238E27FC236}">
                <a16:creationId xmlns:a16="http://schemas.microsoft.com/office/drawing/2014/main" id="{CD48A21A-D600-2FD3-5316-C563700F5C6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72" name="Shape 72">
            <a:extLst>
              <a:ext uri="{FF2B5EF4-FFF2-40B4-BE49-F238E27FC236}">
                <a16:creationId xmlns:a16="http://schemas.microsoft.com/office/drawing/2014/main" id="{C4B98099-E3BE-7776-6AFD-0EE88329DAC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73" name="Shape 73">
            <a:extLst>
              <a:ext uri="{FF2B5EF4-FFF2-40B4-BE49-F238E27FC236}">
                <a16:creationId xmlns:a16="http://schemas.microsoft.com/office/drawing/2014/main" id="{3BC82B35-4E1C-0165-9B36-69041F89C7E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74" name="Shape 74">
            <a:extLst>
              <a:ext uri="{FF2B5EF4-FFF2-40B4-BE49-F238E27FC236}">
                <a16:creationId xmlns:a16="http://schemas.microsoft.com/office/drawing/2014/main" id="{62DFCCD4-8A4D-78CE-56FE-48200F7BFB1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75" name="Shape 75">
            <a:extLst>
              <a:ext uri="{FF2B5EF4-FFF2-40B4-BE49-F238E27FC236}">
                <a16:creationId xmlns:a16="http://schemas.microsoft.com/office/drawing/2014/main" id="{4A3DCCBD-7C2D-3823-A26F-73C1711CFEF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876" name="Shape 76">
            <a:extLst>
              <a:ext uri="{FF2B5EF4-FFF2-40B4-BE49-F238E27FC236}">
                <a16:creationId xmlns:a16="http://schemas.microsoft.com/office/drawing/2014/main" id="{A73DEB45-3E0B-5D21-BB79-5080D409910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877" name="Group 2">
          <a:extLst>
            <a:ext uri="{FF2B5EF4-FFF2-40B4-BE49-F238E27FC236}">
              <a16:creationId xmlns:a16="http://schemas.microsoft.com/office/drawing/2014/main" id="{F04BBF00-9021-42A9-952F-06889B26EB4D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878" name="Shape 3">
            <a:extLst>
              <a:ext uri="{FF2B5EF4-FFF2-40B4-BE49-F238E27FC236}">
                <a16:creationId xmlns:a16="http://schemas.microsoft.com/office/drawing/2014/main" id="{58699A9A-4496-0241-9770-1285B10D165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79" name="Shape 4">
            <a:extLst>
              <a:ext uri="{FF2B5EF4-FFF2-40B4-BE49-F238E27FC236}">
                <a16:creationId xmlns:a16="http://schemas.microsoft.com/office/drawing/2014/main" id="{6E8C3178-176D-3FBF-EF95-E020D784A47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80" name="Shape 5">
            <a:extLst>
              <a:ext uri="{FF2B5EF4-FFF2-40B4-BE49-F238E27FC236}">
                <a16:creationId xmlns:a16="http://schemas.microsoft.com/office/drawing/2014/main" id="{E544F6C9-001F-CB12-82A2-B8ABCAA815A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81" name="Shape 6">
            <a:extLst>
              <a:ext uri="{FF2B5EF4-FFF2-40B4-BE49-F238E27FC236}">
                <a16:creationId xmlns:a16="http://schemas.microsoft.com/office/drawing/2014/main" id="{B2FBCA90-7A31-20E7-CA32-73DE36ED8DA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82" name="Shape 7">
            <a:extLst>
              <a:ext uri="{FF2B5EF4-FFF2-40B4-BE49-F238E27FC236}">
                <a16:creationId xmlns:a16="http://schemas.microsoft.com/office/drawing/2014/main" id="{EE3BD0D8-6945-251B-9C0E-7F1F8B2471E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83" name="Shape 8">
            <a:extLst>
              <a:ext uri="{FF2B5EF4-FFF2-40B4-BE49-F238E27FC236}">
                <a16:creationId xmlns:a16="http://schemas.microsoft.com/office/drawing/2014/main" id="{53E6C6DE-BB6A-7137-53CE-1B91264A23E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84" name="Shape 9">
            <a:extLst>
              <a:ext uri="{FF2B5EF4-FFF2-40B4-BE49-F238E27FC236}">
                <a16:creationId xmlns:a16="http://schemas.microsoft.com/office/drawing/2014/main" id="{3024017B-9AF2-1561-FAD8-6C534C262B1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85" name="Shape 10">
            <a:extLst>
              <a:ext uri="{FF2B5EF4-FFF2-40B4-BE49-F238E27FC236}">
                <a16:creationId xmlns:a16="http://schemas.microsoft.com/office/drawing/2014/main" id="{D892F159-D727-CC8D-A83B-C97406C57CF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86" name="Shape 11">
            <a:extLst>
              <a:ext uri="{FF2B5EF4-FFF2-40B4-BE49-F238E27FC236}">
                <a16:creationId xmlns:a16="http://schemas.microsoft.com/office/drawing/2014/main" id="{1ECFA0E5-B3DD-95A5-C797-F080EE1B0C4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87" name="Shape 12">
            <a:extLst>
              <a:ext uri="{FF2B5EF4-FFF2-40B4-BE49-F238E27FC236}">
                <a16:creationId xmlns:a16="http://schemas.microsoft.com/office/drawing/2014/main" id="{2A8C8F28-6246-4BE1-7980-DAB9B84F730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88" name="Shape 13">
            <a:extLst>
              <a:ext uri="{FF2B5EF4-FFF2-40B4-BE49-F238E27FC236}">
                <a16:creationId xmlns:a16="http://schemas.microsoft.com/office/drawing/2014/main" id="{8372BB36-50F1-9DE1-7509-EF082EDF129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89" name="Shape 14">
            <a:extLst>
              <a:ext uri="{FF2B5EF4-FFF2-40B4-BE49-F238E27FC236}">
                <a16:creationId xmlns:a16="http://schemas.microsoft.com/office/drawing/2014/main" id="{1BEA4EB2-9CFD-038D-2AC2-88D3FE84DA4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90" name="Shape 15">
            <a:extLst>
              <a:ext uri="{FF2B5EF4-FFF2-40B4-BE49-F238E27FC236}">
                <a16:creationId xmlns:a16="http://schemas.microsoft.com/office/drawing/2014/main" id="{D8193121-FCF6-A8AD-6E6F-F15190518A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91" name="Shape 16">
            <a:extLst>
              <a:ext uri="{FF2B5EF4-FFF2-40B4-BE49-F238E27FC236}">
                <a16:creationId xmlns:a16="http://schemas.microsoft.com/office/drawing/2014/main" id="{9527D270-7B38-73CF-71B2-1B18E9923BC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892" name="Group 17">
          <a:extLst>
            <a:ext uri="{FF2B5EF4-FFF2-40B4-BE49-F238E27FC236}">
              <a16:creationId xmlns:a16="http://schemas.microsoft.com/office/drawing/2014/main" id="{AA10B26D-7D2D-4945-97E3-9159086717E2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893" name="Shape 18">
            <a:extLst>
              <a:ext uri="{FF2B5EF4-FFF2-40B4-BE49-F238E27FC236}">
                <a16:creationId xmlns:a16="http://schemas.microsoft.com/office/drawing/2014/main" id="{7DB16F13-5BCC-D7B4-D0A4-C44212F93DF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94" name="Shape 19">
            <a:extLst>
              <a:ext uri="{FF2B5EF4-FFF2-40B4-BE49-F238E27FC236}">
                <a16:creationId xmlns:a16="http://schemas.microsoft.com/office/drawing/2014/main" id="{69FDD40F-60D9-7BB9-ACD9-C14E3C8F7C4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95" name="Shape 20">
            <a:extLst>
              <a:ext uri="{FF2B5EF4-FFF2-40B4-BE49-F238E27FC236}">
                <a16:creationId xmlns:a16="http://schemas.microsoft.com/office/drawing/2014/main" id="{DFDD6A42-570A-6C36-C6E0-E9E27E9ED80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96" name="Shape 21">
            <a:extLst>
              <a:ext uri="{FF2B5EF4-FFF2-40B4-BE49-F238E27FC236}">
                <a16:creationId xmlns:a16="http://schemas.microsoft.com/office/drawing/2014/main" id="{3BE87467-9948-1338-AC56-49A55FD945C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97" name="Shape 22">
            <a:extLst>
              <a:ext uri="{FF2B5EF4-FFF2-40B4-BE49-F238E27FC236}">
                <a16:creationId xmlns:a16="http://schemas.microsoft.com/office/drawing/2014/main" id="{7427A718-4589-CB93-9DD8-CDA820A0054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898" name="Shape 23">
            <a:extLst>
              <a:ext uri="{FF2B5EF4-FFF2-40B4-BE49-F238E27FC236}">
                <a16:creationId xmlns:a16="http://schemas.microsoft.com/office/drawing/2014/main" id="{4BB2BBB5-BDDC-6BBB-EB85-3363C212C76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899" name="Shape 24">
            <a:extLst>
              <a:ext uri="{FF2B5EF4-FFF2-40B4-BE49-F238E27FC236}">
                <a16:creationId xmlns:a16="http://schemas.microsoft.com/office/drawing/2014/main" id="{E0D8E4CF-6193-8D6B-A86A-9BED1F49922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00" name="Shape 25">
            <a:extLst>
              <a:ext uri="{FF2B5EF4-FFF2-40B4-BE49-F238E27FC236}">
                <a16:creationId xmlns:a16="http://schemas.microsoft.com/office/drawing/2014/main" id="{81C67F79-AC7A-6C3D-0C3F-4D7C665F15D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01" name="Shape 26">
            <a:extLst>
              <a:ext uri="{FF2B5EF4-FFF2-40B4-BE49-F238E27FC236}">
                <a16:creationId xmlns:a16="http://schemas.microsoft.com/office/drawing/2014/main" id="{F26E61A0-CB8B-F490-0896-A5E16454B88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02" name="Shape 27">
            <a:extLst>
              <a:ext uri="{FF2B5EF4-FFF2-40B4-BE49-F238E27FC236}">
                <a16:creationId xmlns:a16="http://schemas.microsoft.com/office/drawing/2014/main" id="{F74031CB-38F3-1278-399B-FF37AA3B2D3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03" name="Shape 28">
            <a:extLst>
              <a:ext uri="{FF2B5EF4-FFF2-40B4-BE49-F238E27FC236}">
                <a16:creationId xmlns:a16="http://schemas.microsoft.com/office/drawing/2014/main" id="{BD9B6E89-1F97-03C2-97EB-5552F87BFD3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04" name="Shape 29">
            <a:extLst>
              <a:ext uri="{FF2B5EF4-FFF2-40B4-BE49-F238E27FC236}">
                <a16:creationId xmlns:a16="http://schemas.microsoft.com/office/drawing/2014/main" id="{2FB4B29A-2822-3221-6130-ABAC229AA46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05" name="Shape 30">
            <a:extLst>
              <a:ext uri="{FF2B5EF4-FFF2-40B4-BE49-F238E27FC236}">
                <a16:creationId xmlns:a16="http://schemas.microsoft.com/office/drawing/2014/main" id="{23EC56D4-9119-3D9D-E9CA-F1715A79524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06" name="Shape 31">
            <a:extLst>
              <a:ext uri="{FF2B5EF4-FFF2-40B4-BE49-F238E27FC236}">
                <a16:creationId xmlns:a16="http://schemas.microsoft.com/office/drawing/2014/main" id="{E30D217C-1A73-DCAE-1C4D-4721B3AE570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907" name="Group 32">
          <a:extLst>
            <a:ext uri="{FF2B5EF4-FFF2-40B4-BE49-F238E27FC236}">
              <a16:creationId xmlns:a16="http://schemas.microsoft.com/office/drawing/2014/main" id="{93A54876-E9BE-406C-910E-C0DB6E86F5DA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908" name="Shape 33">
            <a:extLst>
              <a:ext uri="{FF2B5EF4-FFF2-40B4-BE49-F238E27FC236}">
                <a16:creationId xmlns:a16="http://schemas.microsoft.com/office/drawing/2014/main" id="{50209F7A-A419-C223-C74F-EA36F0734B3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09" name="Shape 34">
            <a:extLst>
              <a:ext uri="{FF2B5EF4-FFF2-40B4-BE49-F238E27FC236}">
                <a16:creationId xmlns:a16="http://schemas.microsoft.com/office/drawing/2014/main" id="{6595834B-F0D8-4673-E550-5F5289143F5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10" name="Shape 35">
            <a:extLst>
              <a:ext uri="{FF2B5EF4-FFF2-40B4-BE49-F238E27FC236}">
                <a16:creationId xmlns:a16="http://schemas.microsoft.com/office/drawing/2014/main" id="{0286448A-AA16-2A76-D506-B883E5610EA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11" name="Shape 36">
            <a:extLst>
              <a:ext uri="{FF2B5EF4-FFF2-40B4-BE49-F238E27FC236}">
                <a16:creationId xmlns:a16="http://schemas.microsoft.com/office/drawing/2014/main" id="{C2610251-9B7D-AAF9-DA00-D3E77BB7B08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12" name="Shape 37">
            <a:extLst>
              <a:ext uri="{FF2B5EF4-FFF2-40B4-BE49-F238E27FC236}">
                <a16:creationId xmlns:a16="http://schemas.microsoft.com/office/drawing/2014/main" id="{29CC031C-8976-D197-6418-C4938FE6817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13" name="Shape 38">
            <a:extLst>
              <a:ext uri="{FF2B5EF4-FFF2-40B4-BE49-F238E27FC236}">
                <a16:creationId xmlns:a16="http://schemas.microsoft.com/office/drawing/2014/main" id="{54B1AC17-146D-7D9C-98D4-295E3EB071A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14" name="Shape 39">
            <a:extLst>
              <a:ext uri="{FF2B5EF4-FFF2-40B4-BE49-F238E27FC236}">
                <a16:creationId xmlns:a16="http://schemas.microsoft.com/office/drawing/2014/main" id="{1B761C02-51DE-E730-EA0D-D97471ACF25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15" name="Shape 40">
            <a:extLst>
              <a:ext uri="{FF2B5EF4-FFF2-40B4-BE49-F238E27FC236}">
                <a16:creationId xmlns:a16="http://schemas.microsoft.com/office/drawing/2014/main" id="{39C55B5D-E630-9EBF-F765-EAEFF52BBE3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16" name="Shape 41">
            <a:extLst>
              <a:ext uri="{FF2B5EF4-FFF2-40B4-BE49-F238E27FC236}">
                <a16:creationId xmlns:a16="http://schemas.microsoft.com/office/drawing/2014/main" id="{36E1CEE2-ECEB-BA6F-9F63-3859D6A4944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17" name="Shape 42">
            <a:extLst>
              <a:ext uri="{FF2B5EF4-FFF2-40B4-BE49-F238E27FC236}">
                <a16:creationId xmlns:a16="http://schemas.microsoft.com/office/drawing/2014/main" id="{4ECB74D1-19FD-B0B0-2B44-2E067B823FB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18" name="Shape 43">
            <a:extLst>
              <a:ext uri="{FF2B5EF4-FFF2-40B4-BE49-F238E27FC236}">
                <a16:creationId xmlns:a16="http://schemas.microsoft.com/office/drawing/2014/main" id="{8770739F-EEC5-7216-A3D0-EC9100E89B8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19" name="Shape 44">
            <a:extLst>
              <a:ext uri="{FF2B5EF4-FFF2-40B4-BE49-F238E27FC236}">
                <a16:creationId xmlns:a16="http://schemas.microsoft.com/office/drawing/2014/main" id="{81E3FC93-CCA1-9EED-278E-8616FDA8CE9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20" name="Shape 45">
            <a:extLst>
              <a:ext uri="{FF2B5EF4-FFF2-40B4-BE49-F238E27FC236}">
                <a16:creationId xmlns:a16="http://schemas.microsoft.com/office/drawing/2014/main" id="{F67A6E4A-3CD5-4F1B-4424-C63561821BC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21" name="Shape 46">
            <a:extLst>
              <a:ext uri="{FF2B5EF4-FFF2-40B4-BE49-F238E27FC236}">
                <a16:creationId xmlns:a16="http://schemas.microsoft.com/office/drawing/2014/main" id="{572E31E0-366A-A1F7-9537-DEC704E40AB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922" name="Group 47">
          <a:extLst>
            <a:ext uri="{FF2B5EF4-FFF2-40B4-BE49-F238E27FC236}">
              <a16:creationId xmlns:a16="http://schemas.microsoft.com/office/drawing/2014/main" id="{046143F7-B7E2-486F-AFD1-96E93E10219D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923" name="Shape 48">
            <a:extLst>
              <a:ext uri="{FF2B5EF4-FFF2-40B4-BE49-F238E27FC236}">
                <a16:creationId xmlns:a16="http://schemas.microsoft.com/office/drawing/2014/main" id="{6B9B0BE2-CED3-DE94-9C95-CB28C024706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24" name="Shape 49">
            <a:extLst>
              <a:ext uri="{FF2B5EF4-FFF2-40B4-BE49-F238E27FC236}">
                <a16:creationId xmlns:a16="http://schemas.microsoft.com/office/drawing/2014/main" id="{B4AD9C10-5A80-63DE-A969-EEB68F63E2A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25" name="Shape 50">
            <a:extLst>
              <a:ext uri="{FF2B5EF4-FFF2-40B4-BE49-F238E27FC236}">
                <a16:creationId xmlns:a16="http://schemas.microsoft.com/office/drawing/2014/main" id="{72352F79-2348-EDB3-7362-51D9D2EDDD3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26" name="Shape 51">
            <a:extLst>
              <a:ext uri="{FF2B5EF4-FFF2-40B4-BE49-F238E27FC236}">
                <a16:creationId xmlns:a16="http://schemas.microsoft.com/office/drawing/2014/main" id="{B1A81E53-3C04-4A90-0DBD-7F8651A9A5D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27" name="Shape 52">
            <a:extLst>
              <a:ext uri="{FF2B5EF4-FFF2-40B4-BE49-F238E27FC236}">
                <a16:creationId xmlns:a16="http://schemas.microsoft.com/office/drawing/2014/main" id="{6B35F2E6-1BCB-B0C9-961F-0F34A5AC42E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28" name="Shape 53">
            <a:extLst>
              <a:ext uri="{FF2B5EF4-FFF2-40B4-BE49-F238E27FC236}">
                <a16:creationId xmlns:a16="http://schemas.microsoft.com/office/drawing/2014/main" id="{1CC17B6A-970A-41FC-A943-CC46D47667C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29" name="Shape 54">
            <a:extLst>
              <a:ext uri="{FF2B5EF4-FFF2-40B4-BE49-F238E27FC236}">
                <a16:creationId xmlns:a16="http://schemas.microsoft.com/office/drawing/2014/main" id="{9C45242A-064E-1B26-23B0-723FC4C797E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30" name="Shape 55">
            <a:extLst>
              <a:ext uri="{FF2B5EF4-FFF2-40B4-BE49-F238E27FC236}">
                <a16:creationId xmlns:a16="http://schemas.microsoft.com/office/drawing/2014/main" id="{D67A81E1-2FB5-3127-F278-F956B7A8A77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31" name="Shape 56">
            <a:extLst>
              <a:ext uri="{FF2B5EF4-FFF2-40B4-BE49-F238E27FC236}">
                <a16:creationId xmlns:a16="http://schemas.microsoft.com/office/drawing/2014/main" id="{CD590540-C5BE-AA1E-EE25-08AF21F943A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32" name="Shape 57">
            <a:extLst>
              <a:ext uri="{FF2B5EF4-FFF2-40B4-BE49-F238E27FC236}">
                <a16:creationId xmlns:a16="http://schemas.microsoft.com/office/drawing/2014/main" id="{0122FED3-4D96-CF2C-58E4-5F847597C87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33" name="Shape 58">
            <a:extLst>
              <a:ext uri="{FF2B5EF4-FFF2-40B4-BE49-F238E27FC236}">
                <a16:creationId xmlns:a16="http://schemas.microsoft.com/office/drawing/2014/main" id="{4A0AF542-E460-8A47-7FAC-6DA4F807EE6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34" name="Shape 59">
            <a:extLst>
              <a:ext uri="{FF2B5EF4-FFF2-40B4-BE49-F238E27FC236}">
                <a16:creationId xmlns:a16="http://schemas.microsoft.com/office/drawing/2014/main" id="{2757283A-1641-0551-ABE6-05213F6C04D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35" name="Shape 60">
            <a:extLst>
              <a:ext uri="{FF2B5EF4-FFF2-40B4-BE49-F238E27FC236}">
                <a16:creationId xmlns:a16="http://schemas.microsoft.com/office/drawing/2014/main" id="{4A63AC66-CA72-A8B7-5B33-368A3EEA6ED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36" name="Shape 61">
            <a:extLst>
              <a:ext uri="{FF2B5EF4-FFF2-40B4-BE49-F238E27FC236}">
                <a16:creationId xmlns:a16="http://schemas.microsoft.com/office/drawing/2014/main" id="{52FC24EF-111E-FF92-0803-77B167DC142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937" name="Group 62">
          <a:extLst>
            <a:ext uri="{FF2B5EF4-FFF2-40B4-BE49-F238E27FC236}">
              <a16:creationId xmlns:a16="http://schemas.microsoft.com/office/drawing/2014/main" id="{CAE6D416-3EE0-4CFE-9055-F76D7B0BB918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938" name="Shape 63">
            <a:extLst>
              <a:ext uri="{FF2B5EF4-FFF2-40B4-BE49-F238E27FC236}">
                <a16:creationId xmlns:a16="http://schemas.microsoft.com/office/drawing/2014/main" id="{E2680A97-8E28-171D-C5FD-FFE23960560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39" name="Shape 64">
            <a:extLst>
              <a:ext uri="{FF2B5EF4-FFF2-40B4-BE49-F238E27FC236}">
                <a16:creationId xmlns:a16="http://schemas.microsoft.com/office/drawing/2014/main" id="{21D0F7F8-2893-6EFC-3928-8BE846F8AF8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940" name="Shape 65">
            <a:extLst>
              <a:ext uri="{FF2B5EF4-FFF2-40B4-BE49-F238E27FC236}">
                <a16:creationId xmlns:a16="http://schemas.microsoft.com/office/drawing/2014/main" id="{FBBE7754-C00E-B2C1-4D23-9272EBEACD5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41" name="Shape 66">
            <a:extLst>
              <a:ext uri="{FF2B5EF4-FFF2-40B4-BE49-F238E27FC236}">
                <a16:creationId xmlns:a16="http://schemas.microsoft.com/office/drawing/2014/main" id="{D4A908C0-71B5-2205-12D5-753B777FF82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942" name="Shape 67">
            <a:extLst>
              <a:ext uri="{FF2B5EF4-FFF2-40B4-BE49-F238E27FC236}">
                <a16:creationId xmlns:a16="http://schemas.microsoft.com/office/drawing/2014/main" id="{15550C67-F42E-91C1-E159-948A69A87A0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43" name="Shape 68">
            <a:extLst>
              <a:ext uri="{FF2B5EF4-FFF2-40B4-BE49-F238E27FC236}">
                <a16:creationId xmlns:a16="http://schemas.microsoft.com/office/drawing/2014/main" id="{52627A06-91F1-43D9-39BE-E10B1C6FA8A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944" name="Shape 69">
            <a:extLst>
              <a:ext uri="{FF2B5EF4-FFF2-40B4-BE49-F238E27FC236}">
                <a16:creationId xmlns:a16="http://schemas.microsoft.com/office/drawing/2014/main" id="{635AC782-8BC4-E7FB-7132-6BF5DA6BBFA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45" name="Shape 70">
            <a:extLst>
              <a:ext uri="{FF2B5EF4-FFF2-40B4-BE49-F238E27FC236}">
                <a16:creationId xmlns:a16="http://schemas.microsoft.com/office/drawing/2014/main" id="{C9D14FDE-9888-FEBA-AA7B-66E253D8FBA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946" name="Shape 71">
            <a:extLst>
              <a:ext uri="{FF2B5EF4-FFF2-40B4-BE49-F238E27FC236}">
                <a16:creationId xmlns:a16="http://schemas.microsoft.com/office/drawing/2014/main" id="{31FB88D4-DDF6-1813-815D-7E1FD557964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47" name="Shape 72">
            <a:extLst>
              <a:ext uri="{FF2B5EF4-FFF2-40B4-BE49-F238E27FC236}">
                <a16:creationId xmlns:a16="http://schemas.microsoft.com/office/drawing/2014/main" id="{3394AA30-0943-3340-6159-59B4BBA81B8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948" name="Shape 73">
            <a:extLst>
              <a:ext uri="{FF2B5EF4-FFF2-40B4-BE49-F238E27FC236}">
                <a16:creationId xmlns:a16="http://schemas.microsoft.com/office/drawing/2014/main" id="{93DE9BE9-0155-8BAF-5BF0-4297EC78D09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49" name="Shape 74">
            <a:extLst>
              <a:ext uri="{FF2B5EF4-FFF2-40B4-BE49-F238E27FC236}">
                <a16:creationId xmlns:a16="http://schemas.microsoft.com/office/drawing/2014/main" id="{3FCC627A-8775-8FB1-09FC-51C058C5726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950" name="Shape 75">
            <a:extLst>
              <a:ext uri="{FF2B5EF4-FFF2-40B4-BE49-F238E27FC236}">
                <a16:creationId xmlns:a16="http://schemas.microsoft.com/office/drawing/2014/main" id="{CFD8106E-94AF-BB5B-9DCA-27578C2AF49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951" name="Shape 76">
            <a:extLst>
              <a:ext uri="{FF2B5EF4-FFF2-40B4-BE49-F238E27FC236}">
                <a16:creationId xmlns:a16="http://schemas.microsoft.com/office/drawing/2014/main" id="{FFC26BE2-E32E-B11F-8F17-A8C7F5559AB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952" name="Group 2">
          <a:extLst>
            <a:ext uri="{FF2B5EF4-FFF2-40B4-BE49-F238E27FC236}">
              <a16:creationId xmlns:a16="http://schemas.microsoft.com/office/drawing/2014/main" id="{ECEA4306-18C9-4579-95B3-8596F456EB46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953" name="Shape 3">
            <a:extLst>
              <a:ext uri="{FF2B5EF4-FFF2-40B4-BE49-F238E27FC236}">
                <a16:creationId xmlns:a16="http://schemas.microsoft.com/office/drawing/2014/main" id="{531CDCDA-A137-EEF3-CEBE-261EA6159E7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54" name="Shape 4">
            <a:extLst>
              <a:ext uri="{FF2B5EF4-FFF2-40B4-BE49-F238E27FC236}">
                <a16:creationId xmlns:a16="http://schemas.microsoft.com/office/drawing/2014/main" id="{7C1C7853-61AB-F9FB-1613-ABB55A7E031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55" name="Shape 5">
            <a:extLst>
              <a:ext uri="{FF2B5EF4-FFF2-40B4-BE49-F238E27FC236}">
                <a16:creationId xmlns:a16="http://schemas.microsoft.com/office/drawing/2014/main" id="{B5AF4B7B-A701-BFB7-7819-9235CA2CBF8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56" name="Shape 6">
            <a:extLst>
              <a:ext uri="{FF2B5EF4-FFF2-40B4-BE49-F238E27FC236}">
                <a16:creationId xmlns:a16="http://schemas.microsoft.com/office/drawing/2014/main" id="{40219529-EE5D-8151-BBC3-285053F14F9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57" name="Shape 7">
            <a:extLst>
              <a:ext uri="{FF2B5EF4-FFF2-40B4-BE49-F238E27FC236}">
                <a16:creationId xmlns:a16="http://schemas.microsoft.com/office/drawing/2014/main" id="{97C51A00-08DA-120C-BFB6-D90514D18DC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58" name="Shape 8">
            <a:extLst>
              <a:ext uri="{FF2B5EF4-FFF2-40B4-BE49-F238E27FC236}">
                <a16:creationId xmlns:a16="http://schemas.microsoft.com/office/drawing/2014/main" id="{1C005378-EC97-AE11-50EE-4A702F4D68E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59" name="Shape 9">
            <a:extLst>
              <a:ext uri="{FF2B5EF4-FFF2-40B4-BE49-F238E27FC236}">
                <a16:creationId xmlns:a16="http://schemas.microsoft.com/office/drawing/2014/main" id="{7CA90F37-7C02-10E0-B6E6-A5BF75BFE1E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60" name="Shape 10">
            <a:extLst>
              <a:ext uri="{FF2B5EF4-FFF2-40B4-BE49-F238E27FC236}">
                <a16:creationId xmlns:a16="http://schemas.microsoft.com/office/drawing/2014/main" id="{30C0F4A9-0DC2-82EF-8DD1-C638B7AFDF6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61" name="Shape 11">
            <a:extLst>
              <a:ext uri="{FF2B5EF4-FFF2-40B4-BE49-F238E27FC236}">
                <a16:creationId xmlns:a16="http://schemas.microsoft.com/office/drawing/2014/main" id="{85DC5816-381B-57A2-D722-BA68369D043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62" name="Shape 12">
            <a:extLst>
              <a:ext uri="{FF2B5EF4-FFF2-40B4-BE49-F238E27FC236}">
                <a16:creationId xmlns:a16="http://schemas.microsoft.com/office/drawing/2014/main" id="{7937F1DE-329D-DEAC-8ECC-CB635B2DC86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63" name="Shape 13">
            <a:extLst>
              <a:ext uri="{FF2B5EF4-FFF2-40B4-BE49-F238E27FC236}">
                <a16:creationId xmlns:a16="http://schemas.microsoft.com/office/drawing/2014/main" id="{7FC02F0C-65E9-317E-5D1C-765A35C7CFB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64" name="Shape 14">
            <a:extLst>
              <a:ext uri="{FF2B5EF4-FFF2-40B4-BE49-F238E27FC236}">
                <a16:creationId xmlns:a16="http://schemas.microsoft.com/office/drawing/2014/main" id="{8C13B4AD-08E0-3CF9-C24B-0F95FBC541C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65" name="Shape 15">
            <a:extLst>
              <a:ext uri="{FF2B5EF4-FFF2-40B4-BE49-F238E27FC236}">
                <a16:creationId xmlns:a16="http://schemas.microsoft.com/office/drawing/2014/main" id="{6A194F57-B3E2-AEA5-2F42-928556E69E7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66" name="Shape 16">
            <a:extLst>
              <a:ext uri="{FF2B5EF4-FFF2-40B4-BE49-F238E27FC236}">
                <a16:creationId xmlns:a16="http://schemas.microsoft.com/office/drawing/2014/main" id="{23491BDF-2C9C-5B65-FA1F-6A45517032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967" name="Group 17">
          <a:extLst>
            <a:ext uri="{FF2B5EF4-FFF2-40B4-BE49-F238E27FC236}">
              <a16:creationId xmlns:a16="http://schemas.microsoft.com/office/drawing/2014/main" id="{70FE77C7-D1C1-4E43-BFE0-EF28B000152C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968" name="Shape 18">
            <a:extLst>
              <a:ext uri="{FF2B5EF4-FFF2-40B4-BE49-F238E27FC236}">
                <a16:creationId xmlns:a16="http://schemas.microsoft.com/office/drawing/2014/main" id="{3984F0B3-86F3-406E-3EBE-EF75A70CD39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69" name="Shape 19">
            <a:extLst>
              <a:ext uri="{FF2B5EF4-FFF2-40B4-BE49-F238E27FC236}">
                <a16:creationId xmlns:a16="http://schemas.microsoft.com/office/drawing/2014/main" id="{B5BCDA84-D50C-98C8-0867-DD293B54B07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70" name="Shape 20">
            <a:extLst>
              <a:ext uri="{FF2B5EF4-FFF2-40B4-BE49-F238E27FC236}">
                <a16:creationId xmlns:a16="http://schemas.microsoft.com/office/drawing/2014/main" id="{17E93C2E-C1F5-2C35-3C10-99448ABEE2C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71" name="Shape 21">
            <a:extLst>
              <a:ext uri="{FF2B5EF4-FFF2-40B4-BE49-F238E27FC236}">
                <a16:creationId xmlns:a16="http://schemas.microsoft.com/office/drawing/2014/main" id="{DA1CF84E-ED35-4917-17E7-10E2BCF91E2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72" name="Shape 22">
            <a:extLst>
              <a:ext uri="{FF2B5EF4-FFF2-40B4-BE49-F238E27FC236}">
                <a16:creationId xmlns:a16="http://schemas.microsoft.com/office/drawing/2014/main" id="{3B320669-00BA-9B5E-B9DD-531E0CB6773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73" name="Shape 23">
            <a:extLst>
              <a:ext uri="{FF2B5EF4-FFF2-40B4-BE49-F238E27FC236}">
                <a16:creationId xmlns:a16="http://schemas.microsoft.com/office/drawing/2014/main" id="{B156B117-1E31-6A22-C5D8-06EB38844C8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74" name="Shape 24">
            <a:extLst>
              <a:ext uri="{FF2B5EF4-FFF2-40B4-BE49-F238E27FC236}">
                <a16:creationId xmlns:a16="http://schemas.microsoft.com/office/drawing/2014/main" id="{B8C66DB7-FE7E-79BA-1D59-08BE9B11802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75" name="Shape 25">
            <a:extLst>
              <a:ext uri="{FF2B5EF4-FFF2-40B4-BE49-F238E27FC236}">
                <a16:creationId xmlns:a16="http://schemas.microsoft.com/office/drawing/2014/main" id="{8D13B3EC-ECB4-1B59-659D-6FA82B398AC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76" name="Shape 26">
            <a:extLst>
              <a:ext uri="{FF2B5EF4-FFF2-40B4-BE49-F238E27FC236}">
                <a16:creationId xmlns:a16="http://schemas.microsoft.com/office/drawing/2014/main" id="{7112F5B2-7700-BBF7-ADD8-0299C8707D0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77" name="Shape 27">
            <a:extLst>
              <a:ext uri="{FF2B5EF4-FFF2-40B4-BE49-F238E27FC236}">
                <a16:creationId xmlns:a16="http://schemas.microsoft.com/office/drawing/2014/main" id="{3CA4DA85-68F3-644A-1FA3-0A8CEB9A385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78" name="Shape 28">
            <a:extLst>
              <a:ext uri="{FF2B5EF4-FFF2-40B4-BE49-F238E27FC236}">
                <a16:creationId xmlns:a16="http://schemas.microsoft.com/office/drawing/2014/main" id="{B8F0C345-121F-7427-FB37-FCA318182DB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79" name="Shape 29">
            <a:extLst>
              <a:ext uri="{FF2B5EF4-FFF2-40B4-BE49-F238E27FC236}">
                <a16:creationId xmlns:a16="http://schemas.microsoft.com/office/drawing/2014/main" id="{01FF10E0-3B92-58FA-B2E0-92CDF74C199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80" name="Shape 30">
            <a:extLst>
              <a:ext uri="{FF2B5EF4-FFF2-40B4-BE49-F238E27FC236}">
                <a16:creationId xmlns:a16="http://schemas.microsoft.com/office/drawing/2014/main" id="{7E18F0A5-6434-E664-1C77-38F8C4DEA05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81" name="Shape 31">
            <a:extLst>
              <a:ext uri="{FF2B5EF4-FFF2-40B4-BE49-F238E27FC236}">
                <a16:creationId xmlns:a16="http://schemas.microsoft.com/office/drawing/2014/main" id="{4819392F-9058-B447-FA7F-09908F830A5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982" name="Group 32">
          <a:extLst>
            <a:ext uri="{FF2B5EF4-FFF2-40B4-BE49-F238E27FC236}">
              <a16:creationId xmlns:a16="http://schemas.microsoft.com/office/drawing/2014/main" id="{1800C03E-11F8-4AD7-93DD-B901D582142E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983" name="Shape 33">
            <a:extLst>
              <a:ext uri="{FF2B5EF4-FFF2-40B4-BE49-F238E27FC236}">
                <a16:creationId xmlns:a16="http://schemas.microsoft.com/office/drawing/2014/main" id="{BBBDBC47-15E8-14D8-489B-DED312498C6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84" name="Shape 34">
            <a:extLst>
              <a:ext uri="{FF2B5EF4-FFF2-40B4-BE49-F238E27FC236}">
                <a16:creationId xmlns:a16="http://schemas.microsoft.com/office/drawing/2014/main" id="{5CC44789-C0A8-D4D0-E336-081D3EAA948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85" name="Shape 35">
            <a:extLst>
              <a:ext uri="{FF2B5EF4-FFF2-40B4-BE49-F238E27FC236}">
                <a16:creationId xmlns:a16="http://schemas.microsoft.com/office/drawing/2014/main" id="{8083B42B-9B14-2839-326D-99C404AE07B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86" name="Shape 36">
            <a:extLst>
              <a:ext uri="{FF2B5EF4-FFF2-40B4-BE49-F238E27FC236}">
                <a16:creationId xmlns:a16="http://schemas.microsoft.com/office/drawing/2014/main" id="{35CFEAA5-29F3-3EFF-C873-98C8581D098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87" name="Shape 37">
            <a:extLst>
              <a:ext uri="{FF2B5EF4-FFF2-40B4-BE49-F238E27FC236}">
                <a16:creationId xmlns:a16="http://schemas.microsoft.com/office/drawing/2014/main" id="{4A64C96F-F797-2E59-16AC-2CE764970E4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88" name="Shape 38">
            <a:extLst>
              <a:ext uri="{FF2B5EF4-FFF2-40B4-BE49-F238E27FC236}">
                <a16:creationId xmlns:a16="http://schemas.microsoft.com/office/drawing/2014/main" id="{1AF84BC7-EA4A-5013-C25F-648402EB4ED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89" name="Shape 39">
            <a:extLst>
              <a:ext uri="{FF2B5EF4-FFF2-40B4-BE49-F238E27FC236}">
                <a16:creationId xmlns:a16="http://schemas.microsoft.com/office/drawing/2014/main" id="{35830572-C14B-B785-0612-9DF5CB726EB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90" name="Shape 40">
            <a:extLst>
              <a:ext uri="{FF2B5EF4-FFF2-40B4-BE49-F238E27FC236}">
                <a16:creationId xmlns:a16="http://schemas.microsoft.com/office/drawing/2014/main" id="{B958AC5F-B6EA-64BB-4075-B946B0B4057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91" name="Shape 41">
            <a:extLst>
              <a:ext uri="{FF2B5EF4-FFF2-40B4-BE49-F238E27FC236}">
                <a16:creationId xmlns:a16="http://schemas.microsoft.com/office/drawing/2014/main" id="{A5456C05-B3F1-2A27-8B77-C29FF8CF1D9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92" name="Shape 42">
            <a:extLst>
              <a:ext uri="{FF2B5EF4-FFF2-40B4-BE49-F238E27FC236}">
                <a16:creationId xmlns:a16="http://schemas.microsoft.com/office/drawing/2014/main" id="{7CF95408-BF6B-1102-AA92-EADB6F809C0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93" name="Shape 43">
            <a:extLst>
              <a:ext uri="{FF2B5EF4-FFF2-40B4-BE49-F238E27FC236}">
                <a16:creationId xmlns:a16="http://schemas.microsoft.com/office/drawing/2014/main" id="{5DE47FFC-0580-8AFB-98A4-97F0F7F72A3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94" name="Shape 44">
            <a:extLst>
              <a:ext uri="{FF2B5EF4-FFF2-40B4-BE49-F238E27FC236}">
                <a16:creationId xmlns:a16="http://schemas.microsoft.com/office/drawing/2014/main" id="{A121A453-88A3-EC31-C13B-2C52E56A89F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95" name="Shape 45">
            <a:extLst>
              <a:ext uri="{FF2B5EF4-FFF2-40B4-BE49-F238E27FC236}">
                <a16:creationId xmlns:a16="http://schemas.microsoft.com/office/drawing/2014/main" id="{9DC43408-B459-9BD8-F710-CDE5F1339A1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996" name="Shape 46">
            <a:extLst>
              <a:ext uri="{FF2B5EF4-FFF2-40B4-BE49-F238E27FC236}">
                <a16:creationId xmlns:a16="http://schemas.microsoft.com/office/drawing/2014/main" id="{0679AD20-8052-A28D-5DF9-4C909B9D5E3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997" name="Group 47">
          <a:extLst>
            <a:ext uri="{FF2B5EF4-FFF2-40B4-BE49-F238E27FC236}">
              <a16:creationId xmlns:a16="http://schemas.microsoft.com/office/drawing/2014/main" id="{4F069449-30F3-425D-A23B-B83C5531DD30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998" name="Shape 48">
            <a:extLst>
              <a:ext uri="{FF2B5EF4-FFF2-40B4-BE49-F238E27FC236}">
                <a16:creationId xmlns:a16="http://schemas.microsoft.com/office/drawing/2014/main" id="{38CBD7E5-C0CB-FCF7-4218-5DEE5B81327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999" name="Shape 49">
            <a:extLst>
              <a:ext uri="{FF2B5EF4-FFF2-40B4-BE49-F238E27FC236}">
                <a16:creationId xmlns:a16="http://schemas.microsoft.com/office/drawing/2014/main" id="{DAD0DFD8-0AA9-C988-A995-4EF8D4350EA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00" name="Shape 50">
            <a:extLst>
              <a:ext uri="{FF2B5EF4-FFF2-40B4-BE49-F238E27FC236}">
                <a16:creationId xmlns:a16="http://schemas.microsoft.com/office/drawing/2014/main" id="{61FD4518-313F-E45C-745E-BD57D523520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01" name="Shape 51">
            <a:extLst>
              <a:ext uri="{FF2B5EF4-FFF2-40B4-BE49-F238E27FC236}">
                <a16:creationId xmlns:a16="http://schemas.microsoft.com/office/drawing/2014/main" id="{AFD98DFC-9519-C501-50A6-F121D9D5A69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02" name="Shape 52">
            <a:extLst>
              <a:ext uri="{FF2B5EF4-FFF2-40B4-BE49-F238E27FC236}">
                <a16:creationId xmlns:a16="http://schemas.microsoft.com/office/drawing/2014/main" id="{A5156655-A1E7-E12E-14AC-912A9589875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03" name="Shape 53">
            <a:extLst>
              <a:ext uri="{FF2B5EF4-FFF2-40B4-BE49-F238E27FC236}">
                <a16:creationId xmlns:a16="http://schemas.microsoft.com/office/drawing/2014/main" id="{9AD34601-D559-FBA7-1608-28FE3161D9B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04" name="Shape 54">
            <a:extLst>
              <a:ext uri="{FF2B5EF4-FFF2-40B4-BE49-F238E27FC236}">
                <a16:creationId xmlns:a16="http://schemas.microsoft.com/office/drawing/2014/main" id="{05806B5B-143C-11F9-68DB-6962CB28E6A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05" name="Shape 55">
            <a:extLst>
              <a:ext uri="{FF2B5EF4-FFF2-40B4-BE49-F238E27FC236}">
                <a16:creationId xmlns:a16="http://schemas.microsoft.com/office/drawing/2014/main" id="{5577C279-DC81-AC93-2BFE-FCC92AFAD1E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06" name="Shape 56">
            <a:extLst>
              <a:ext uri="{FF2B5EF4-FFF2-40B4-BE49-F238E27FC236}">
                <a16:creationId xmlns:a16="http://schemas.microsoft.com/office/drawing/2014/main" id="{7DDCA68C-4C47-62D6-2F09-E0273530C2C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07" name="Shape 57">
            <a:extLst>
              <a:ext uri="{FF2B5EF4-FFF2-40B4-BE49-F238E27FC236}">
                <a16:creationId xmlns:a16="http://schemas.microsoft.com/office/drawing/2014/main" id="{38E3B722-20B3-253C-5FDC-766D2F2C633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08" name="Shape 58">
            <a:extLst>
              <a:ext uri="{FF2B5EF4-FFF2-40B4-BE49-F238E27FC236}">
                <a16:creationId xmlns:a16="http://schemas.microsoft.com/office/drawing/2014/main" id="{B9BF3B27-A637-E768-4CD9-A81C1D389EF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09" name="Shape 59">
            <a:extLst>
              <a:ext uri="{FF2B5EF4-FFF2-40B4-BE49-F238E27FC236}">
                <a16:creationId xmlns:a16="http://schemas.microsoft.com/office/drawing/2014/main" id="{3E4E5E13-C926-9CD2-2F15-120CD2DB770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10" name="Shape 60">
            <a:extLst>
              <a:ext uri="{FF2B5EF4-FFF2-40B4-BE49-F238E27FC236}">
                <a16:creationId xmlns:a16="http://schemas.microsoft.com/office/drawing/2014/main" id="{7D5644F7-FF0A-A437-0B73-EF77C9A936A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11" name="Shape 61">
            <a:extLst>
              <a:ext uri="{FF2B5EF4-FFF2-40B4-BE49-F238E27FC236}">
                <a16:creationId xmlns:a16="http://schemas.microsoft.com/office/drawing/2014/main" id="{DEE5D391-B7D2-8F59-2E4C-C8D04B945E3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012" name="Group 62">
          <a:extLst>
            <a:ext uri="{FF2B5EF4-FFF2-40B4-BE49-F238E27FC236}">
              <a16:creationId xmlns:a16="http://schemas.microsoft.com/office/drawing/2014/main" id="{02A2ED4A-6E7E-4319-8AFD-54DF1BDDB944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013" name="Shape 63">
            <a:extLst>
              <a:ext uri="{FF2B5EF4-FFF2-40B4-BE49-F238E27FC236}">
                <a16:creationId xmlns:a16="http://schemas.microsoft.com/office/drawing/2014/main" id="{0CD06A9D-88A2-B25E-5145-81159D14BAF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14" name="Shape 64">
            <a:extLst>
              <a:ext uri="{FF2B5EF4-FFF2-40B4-BE49-F238E27FC236}">
                <a16:creationId xmlns:a16="http://schemas.microsoft.com/office/drawing/2014/main" id="{8EC51373-8552-F8C7-F545-39D9549A8D0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15" name="Shape 65">
            <a:extLst>
              <a:ext uri="{FF2B5EF4-FFF2-40B4-BE49-F238E27FC236}">
                <a16:creationId xmlns:a16="http://schemas.microsoft.com/office/drawing/2014/main" id="{E5F16525-21C3-BC85-5CAD-BD3233589AA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16" name="Shape 66">
            <a:extLst>
              <a:ext uri="{FF2B5EF4-FFF2-40B4-BE49-F238E27FC236}">
                <a16:creationId xmlns:a16="http://schemas.microsoft.com/office/drawing/2014/main" id="{51F5FC82-EDBA-8083-3E90-F8D419E6E9F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17" name="Shape 67">
            <a:extLst>
              <a:ext uri="{FF2B5EF4-FFF2-40B4-BE49-F238E27FC236}">
                <a16:creationId xmlns:a16="http://schemas.microsoft.com/office/drawing/2014/main" id="{4A26D8FB-D4E4-98FF-2B0C-F78B9F202CB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18" name="Shape 68">
            <a:extLst>
              <a:ext uri="{FF2B5EF4-FFF2-40B4-BE49-F238E27FC236}">
                <a16:creationId xmlns:a16="http://schemas.microsoft.com/office/drawing/2014/main" id="{FCE507B4-5216-C090-6285-4283364C20D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19" name="Shape 69">
            <a:extLst>
              <a:ext uri="{FF2B5EF4-FFF2-40B4-BE49-F238E27FC236}">
                <a16:creationId xmlns:a16="http://schemas.microsoft.com/office/drawing/2014/main" id="{A6B0DAFA-B6E0-6F33-46E6-2CC1318F309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20" name="Shape 70">
            <a:extLst>
              <a:ext uri="{FF2B5EF4-FFF2-40B4-BE49-F238E27FC236}">
                <a16:creationId xmlns:a16="http://schemas.microsoft.com/office/drawing/2014/main" id="{8E08F299-FEE9-EF7E-AFD1-57961666062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21" name="Shape 71">
            <a:extLst>
              <a:ext uri="{FF2B5EF4-FFF2-40B4-BE49-F238E27FC236}">
                <a16:creationId xmlns:a16="http://schemas.microsoft.com/office/drawing/2014/main" id="{9885A36B-AF04-8F60-1CB5-F3DE80DBA09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22" name="Shape 72">
            <a:extLst>
              <a:ext uri="{FF2B5EF4-FFF2-40B4-BE49-F238E27FC236}">
                <a16:creationId xmlns:a16="http://schemas.microsoft.com/office/drawing/2014/main" id="{7AABF1DA-9120-B20D-1AB9-F953F967C9F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23" name="Shape 73">
            <a:extLst>
              <a:ext uri="{FF2B5EF4-FFF2-40B4-BE49-F238E27FC236}">
                <a16:creationId xmlns:a16="http://schemas.microsoft.com/office/drawing/2014/main" id="{CB30FC92-D30E-DBA0-18B3-82B9D76E071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24" name="Shape 74">
            <a:extLst>
              <a:ext uri="{FF2B5EF4-FFF2-40B4-BE49-F238E27FC236}">
                <a16:creationId xmlns:a16="http://schemas.microsoft.com/office/drawing/2014/main" id="{AC983BF7-1E18-6CF7-82E6-ECD2C4622A2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25" name="Shape 75">
            <a:extLst>
              <a:ext uri="{FF2B5EF4-FFF2-40B4-BE49-F238E27FC236}">
                <a16:creationId xmlns:a16="http://schemas.microsoft.com/office/drawing/2014/main" id="{FA3C0065-AB41-E46E-55E0-9B35AC759AC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26" name="Shape 76">
            <a:extLst>
              <a:ext uri="{FF2B5EF4-FFF2-40B4-BE49-F238E27FC236}">
                <a16:creationId xmlns:a16="http://schemas.microsoft.com/office/drawing/2014/main" id="{4BABB9E7-E9D7-8592-2F42-2A413390CAA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277" name="Group 2">
          <a:extLst>
            <a:ext uri="{FF2B5EF4-FFF2-40B4-BE49-F238E27FC236}">
              <a16:creationId xmlns:a16="http://schemas.microsoft.com/office/drawing/2014/main" id="{ED927F45-D168-4A71-9343-C434AEC6D230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278" name="Shape 3">
            <a:extLst>
              <a:ext uri="{FF2B5EF4-FFF2-40B4-BE49-F238E27FC236}">
                <a16:creationId xmlns:a16="http://schemas.microsoft.com/office/drawing/2014/main" id="{43070D54-7074-71D1-E1D8-B679044E32B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79" name="Shape 4">
            <a:extLst>
              <a:ext uri="{FF2B5EF4-FFF2-40B4-BE49-F238E27FC236}">
                <a16:creationId xmlns:a16="http://schemas.microsoft.com/office/drawing/2014/main" id="{42E72EEB-6818-82F0-BF9E-B4378F66664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80" name="Shape 5">
            <a:extLst>
              <a:ext uri="{FF2B5EF4-FFF2-40B4-BE49-F238E27FC236}">
                <a16:creationId xmlns:a16="http://schemas.microsoft.com/office/drawing/2014/main" id="{A244625A-C785-389C-5D0B-44542076C78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81" name="Shape 6">
            <a:extLst>
              <a:ext uri="{FF2B5EF4-FFF2-40B4-BE49-F238E27FC236}">
                <a16:creationId xmlns:a16="http://schemas.microsoft.com/office/drawing/2014/main" id="{BA2C0A5A-2032-98E4-8AD9-FC220B5F540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82" name="Shape 7">
            <a:extLst>
              <a:ext uri="{FF2B5EF4-FFF2-40B4-BE49-F238E27FC236}">
                <a16:creationId xmlns:a16="http://schemas.microsoft.com/office/drawing/2014/main" id="{AD481EA5-B501-AA19-19E5-DD0E84F0151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83" name="Shape 8">
            <a:extLst>
              <a:ext uri="{FF2B5EF4-FFF2-40B4-BE49-F238E27FC236}">
                <a16:creationId xmlns:a16="http://schemas.microsoft.com/office/drawing/2014/main" id="{5344A38B-383E-6AAD-6386-1C2B5F2DDDD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84" name="Shape 9">
            <a:extLst>
              <a:ext uri="{FF2B5EF4-FFF2-40B4-BE49-F238E27FC236}">
                <a16:creationId xmlns:a16="http://schemas.microsoft.com/office/drawing/2014/main" id="{56291A1E-6C5B-F652-2901-9C96400A0CB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85" name="Shape 10">
            <a:extLst>
              <a:ext uri="{FF2B5EF4-FFF2-40B4-BE49-F238E27FC236}">
                <a16:creationId xmlns:a16="http://schemas.microsoft.com/office/drawing/2014/main" id="{DB5C0244-824E-969D-D23C-9421AFB1C3F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286" name="Shape 11">
            <a:extLst>
              <a:ext uri="{FF2B5EF4-FFF2-40B4-BE49-F238E27FC236}">
                <a16:creationId xmlns:a16="http://schemas.microsoft.com/office/drawing/2014/main" id="{969CC98C-49DA-CC68-CFC6-8E58493E784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287" name="Shape 12">
            <a:extLst>
              <a:ext uri="{FF2B5EF4-FFF2-40B4-BE49-F238E27FC236}">
                <a16:creationId xmlns:a16="http://schemas.microsoft.com/office/drawing/2014/main" id="{62B11158-686F-8255-1E7B-D69290C93A4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16" name="Shape 13">
            <a:extLst>
              <a:ext uri="{FF2B5EF4-FFF2-40B4-BE49-F238E27FC236}">
                <a16:creationId xmlns:a16="http://schemas.microsoft.com/office/drawing/2014/main" id="{D2346AFE-3DFB-4E3C-B6FC-06348A68E36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17" name="Shape 14">
            <a:extLst>
              <a:ext uri="{FF2B5EF4-FFF2-40B4-BE49-F238E27FC236}">
                <a16:creationId xmlns:a16="http://schemas.microsoft.com/office/drawing/2014/main" id="{9D89476D-F942-80E9-95E2-3E06A30FC04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18" name="Shape 15">
            <a:extLst>
              <a:ext uri="{FF2B5EF4-FFF2-40B4-BE49-F238E27FC236}">
                <a16:creationId xmlns:a16="http://schemas.microsoft.com/office/drawing/2014/main" id="{E08059CA-F091-185B-208D-20C21329833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19" name="Shape 16">
            <a:extLst>
              <a:ext uri="{FF2B5EF4-FFF2-40B4-BE49-F238E27FC236}">
                <a16:creationId xmlns:a16="http://schemas.microsoft.com/office/drawing/2014/main" id="{683A3B92-6DB9-CA9D-7861-7C61E9AD5F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420" name="Group 17">
          <a:extLst>
            <a:ext uri="{FF2B5EF4-FFF2-40B4-BE49-F238E27FC236}">
              <a16:creationId xmlns:a16="http://schemas.microsoft.com/office/drawing/2014/main" id="{DB3934CC-C236-457C-BF06-CF80E8FDF652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421" name="Shape 18">
            <a:extLst>
              <a:ext uri="{FF2B5EF4-FFF2-40B4-BE49-F238E27FC236}">
                <a16:creationId xmlns:a16="http://schemas.microsoft.com/office/drawing/2014/main" id="{C712B8AF-7FC3-FEEE-7FFF-B9B8686E1BB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22" name="Shape 19">
            <a:extLst>
              <a:ext uri="{FF2B5EF4-FFF2-40B4-BE49-F238E27FC236}">
                <a16:creationId xmlns:a16="http://schemas.microsoft.com/office/drawing/2014/main" id="{AD37009F-04EA-B8BB-D86A-BEDF480867A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23" name="Shape 20">
            <a:extLst>
              <a:ext uri="{FF2B5EF4-FFF2-40B4-BE49-F238E27FC236}">
                <a16:creationId xmlns:a16="http://schemas.microsoft.com/office/drawing/2014/main" id="{D9C7E103-099B-CF3E-445D-527A235F361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24" name="Shape 21">
            <a:extLst>
              <a:ext uri="{FF2B5EF4-FFF2-40B4-BE49-F238E27FC236}">
                <a16:creationId xmlns:a16="http://schemas.microsoft.com/office/drawing/2014/main" id="{C5ED3FC0-F44A-6F16-8794-6A3B46A46D0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425" name="Shape 22">
            <a:extLst>
              <a:ext uri="{FF2B5EF4-FFF2-40B4-BE49-F238E27FC236}">
                <a16:creationId xmlns:a16="http://schemas.microsoft.com/office/drawing/2014/main" id="{1300E42A-9399-63AB-3223-D72D3B789AE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426" name="Shape 23">
            <a:extLst>
              <a:ext uri="{FF2B5EF4-FFF2-40B4-BE49-F238E27FC236}">
                <a16:creationId xmlns:a16="http://schemas.microsoft.com/office/drawing/2014/main" id="{3B2078F2-3E46-29B2-373F-6B8218D059E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77" name="Shape 24">
            <a:extLst>
              <a:ext uri="{FF2B5EF4-FFF2-40B4-BE49-F238E27FC236}">
                <a16:creationId xmlns:a16="http://schemas.microsoft.com/office/drawing/2014/main" id="{6D5A825C-CEA3-C508-D420-6E96DE95214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78" name="Shape 25">
            <a:extLst>
              <a:ext uri="{FF2B5EF4-FFF2-40B4-BE49-F238E27FC236}">
                <a16:creationId xmlns:a16="http://schemas.microsoft.com/office/drawing/2014/main" id="{4F2B753A-274A-C2F9-3BD9-8EDF0498A2B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79" name="Shape 26">
            <a:extLst>
              <a:ext uri="{FF2B5EF4-FFF2-40B4-BE49-F238E27FC236}">
                <a16:creationId xmlns:a16="http://schemas.microsoft.com/office/drawing/2014/main" id="{E68A3D41-F3FD-A604-A2F3-E7B482920A6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80" name="Shape 27">
            <a:extLst>
              <a:ext uri="{FF2B5EF4-FFF2-40B4-BE49-F238E27FC236}">
                <a16:creationId xmlns:a16="http://schemas.microsoft.com/office/drawing/2014/main" id="{7B298842-2028-A0A5-4EDA-849D1DC5641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81" name="Shape 28">
            <a:extLst>
              <a:ext uri="{FF2B5EF4-FFF2-40B4-BE49-F238E27FC236}">
                <a16:creationId xmlns:a16="http://schemas.microsoft.com/office/drawing/2014/main" id="{1C0CC99E-FF6B-2858-CD80-BF3AFFB5548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82" name="Shape 29">
            <a:extLst>
              <a:ext uri="{FF2B5EF4-FFF2-40B4-BE49-F238E27FC236}">
                <a16:creationId xmlns:a16="http://schemas.microsoft.com/office/drawing/2014/main" id="{4EB2C824-AA19-CF42-D3D8-84468A84B92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83" name="Shape 30">
            <a:extLst>
              <a:ext uri="{FF2B5EF4-FFF2-40B4-BE49-F238E27FC236}">
                <a16:creationId xmlns:a16="http://schemas.microsoft.com/office/drawing/2014/main" id="{F43B7D92-67E2-B97B-290C-A213110B4F2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84" name="Shape 31">
            <a:extLst>
              <a:ext uri="{FF2B5EF4-FFF2-40B4-BE49-F238E27FC236}">
                <a16:creationId xmlns:a16="http://schemas.microsoft.com/office/drawing/2014/main" id="{F40C4B53-0F51-87C0-3045-1BA4F3E6E28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585" name="Group 32">
          <a:extLst>
            <a:ext uri="{FF2B5EF4-FFF2-40B4-BE49-F238E27FC236}">
              <a16:creationId xmlns:a16="http://schemas.microsoft.com/office/drawing/2014/main" id="{33282646-6BBE-42DF-ACBD-868B752DD7D3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586" name="Shape 33">
            <a:extLst>
              <a:ext uri="{FF2B5EF4-FFF2-40B4-BE49-F238E27FC236}">
                <a16:creationId xmlns:a16="http://schemas.microsoft.com/office/drawing/2014/main" id="{38A5302D-0B4F-8380-18DB-240ADF098F1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87" name="Shape 34">
            <a:extLst>
              <a:ext uri="{FF2B5EF4-FFF2-40B4-BE49-F238E27FC236}">
                <a16:creationId xmlns:a16="http://schemas.microsoft.com/office/drawing/2014/main" id="{C870E80B-CD16-8E10-498E-79FD28E9CFF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88" name="Shape 35">
            <a:extLst>
              <a:ext uri="{FF2B5EF4-FFF2-40B4-BE49-F238E27FC236}">
                <a16:creationId xmlns:a16="http://schemas.microsoft.com/office/drawing/2014/main" id="{1DCD6FD4-3A1B-FB97-C827-66AB2182C44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89" name="Shape 36">
            <a:extLst>
              <a:ext uri="{FF2B5EF4-FFF2-40B4-BE49-F238E27FC236}">
                <a16:creationId xmlns:a16="http://schemas.microsoft.com/office/drawing/2014/main" id="{E5B96015-91D0-1FAD-8B0C-31DA194DE49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90" name="Shape 37">
            <a:extLst>
              <a:ext uri="{FF2B5EF4-FFF2-40B4-BE49-F238E27FC236}">
                <a16:creationId xmlns:a16="http://schemas.microsoft.com/office/drawing/2014/main" id="{217D9EB0-D854-E6F6-4718-0ED7EE9CFAB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91" name="Shape 38">
            <a:extLst>
              <a:ext uri="{FF2B5EF4-FFF2-40B4-BE49-F238E27FC236}">
                <a16:creationId xmlns:a16="http://schemas.microsoft.com/office/drawing/2014/main" id="{01C142E2-C2A1-E9F5-0BCD-79295839AE6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92" name="Shape 39">
            <a:extLst>
              <a:ext uri="{FF2B5EF4-FFF2-40B4-BE49-F238E27FC236}">
                <a16:creationId xmlns:a16="http://schemas.microsoft.com/office/drawing/2014/main" id="{8F01D377-0197-2408-7526-476EF48FB49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93" name="Shape 40">
            <a:extLst>
              <a:ext uri="{FF2B5EF4-FFF2-40B4-BE49-F238E27FC236}">
                <a16:creationId xmlns:a16="http://schemas.microsoft.com/office/drawing/2014/main" id="{76F5137A-1B68-F62E-BBAD-5AD0C716E82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94" name="Shape 41">
            <a:extLst>
              <a:ext uri="{FF2B5EF4-FFF2-40B4-BE49-F238E27FC236}">
                <a16:creationId xmlns:a16="http://schemas.microsoft.com/office/drawing/2014/main" id="{C7076EAE-BFF9-02A0-F843-9360CA3E0D4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95" name="Shape 42">
            <a:extLst>
              <a:ext uri="{FF2B5EF4-FFF2-40B4-BE49-F238E27FC236}">
                <a16:creationId xmlns:a16="http://schemas.microsoft.com/office/drawing/2014/main" id="{BAABA759-D195-DB9D-728C-53BE2BA0EC8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96" name="Shape 43">
            <a:extLst>
              <a:ext uri="{FF2B5EF4-FFF2-40B4-BE49-F238E27FC236}">
                <a16:creationId xmlns:a16="http://schemas.microsoft.com/office/drawing/2014/main" id="{C788E1FC-4BA9-D90D-38A9-6C28C288B25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597" name="Shape 44">
            <a:extLst>
              <a:ext uri="{FF2B5EF4-FFF2-40B4-BE49-F238E27FC236}">
                <a16:creationId xmlns:a16="http://schemas.microsoft.com/office/drawing/2014/main" id="{90EC2800-19DA-8585-086B-514AC4C6C00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98" name="Shape 45">
            <a:extLst>
              <a:ext uri="{FF2B5EF4-FFF2-40B4-BE49-F238E27FC236}">
                <a16:creationId xmlns:a16="http://schemas.microsoft.com/office/drawing/2014/main" id="{13B71694-F834-2AE8-87A0-801D37B806D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599" name="Shape 46">
            <a:extLst>
              <a:ext uri="{FF2B5EF4-FFF2-40B4-BE49-F238E27FC236}">
                <a16:creationId xmlns:a16="http://schemas.microsoft.com/office/drawing/2014/main" id="{CE1862B6-DA87-C1E6-7520-DD3BCDE76B0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600" name="Group 47">
          <a:extLst>
            <a:ext uri="{FF2B5EF4-FFF2-40B4-BE49-F238E27FC236}">
              <a16:creationId xmlns:a16="http://schemas.microsoft.com/office/drawing/2014/main" id="{56EE5854-2878-4EE6-8C76-A792D3C31F98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601" name="Shape 48">
            <a:extLst>
              <a:ext uri="{FF2B5EF4-FFF2-40B4-BE49-F238E27FC236}">
                <a16:creationId xmlns:a16="http://schemas.microsoft.com/office/drawing/2014/main" id="{F148BC03-0E2F-E9FF-14F8-8B80133DF7F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602" name="Shape 49">
            <a:extLst>
              <a:ext uri="{FF2B5EF4-FFF2-40B4-BE49-F238E27FC236}">
                <a16:creationId xmlns:a16="http://schemas.microsoft.com/office/drawing/2014/main" id="{A10B0574-1AB6-C261-1C50-0D3B2CE7FD2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603" name="Shape 50">
            <a:extLst>
              <a:ext uri="{FF2B5EF4-FFF2-40B4-BE49-F238E27FC236}">
                <a16:creationId xmlns:a16="http://schemas.microsoft.com/office/drawing/2014/main" id="{EDBE7206-0601-1A5E-D106-55FAC342CE3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604" name="Shape 51">
            <a:extLst>
              <a:ext uri="{FF2B5EF4-FFF2-40B4-BE49-F238E27FC236}">
                <a16:creationId xmlns:a16="http://schemas.microsoft.com/office/drawing/2014/main" id="{438A2561-EAED-8E81-228D-ED5A6C8D838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605" name="Shape 52">
            <a:extLst>
              <a:ext uri="{FF2B5EF4-FFF2-40B4-BE49-F238E27FC236}">
                <a16:creationId xmlns:a16="http://schemas.microsoft.com/office/drawing/2014/main" id="{0E99F402-5EB9-6F8C-4526-12EB6469C98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606" name="Shape 53">
            <a:extLst>
              <a:ext uri="{FF2B5EF4-FFF2-40B4-BE49-F238E27FC236}">
                <a16:creationId xmlns:a16="http://schemas.microsoft.com/office/drawing/2014/main" id="{D81A465B-56D6-7288-248D-366A59FF160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607" name="Shape 54">
            <a:extLst>
              <a:ext uri="{FF2B5EF4-FFF2-40B4-BE49-F238E27FC236}">
                <a16:creationId xmlns:a16="http://schemas.microsoft.com/office/drawing/2014/main" id="{6269C237-3DA8-7345-8C72-24438EF951E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04" name="Shape 55">
            <a:extLst>
              <a:ext uri="{FF2B5EF4-FFF2-40B4-BE49-F238E27FC236}">
                <a16:creationId xmlns:a16="http://schemas.microsoft.com/office/drawing/2014/main" id="{FD789884-0C53-6D94-E7E7-E3331043A42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05" name="Shape 56">
            <a:extLst>
              <a:ext uri="{FF2B5EF4-FFF2-40B4-BE49-F238E27FC236}">
                <a16:creationId xmlns:a16="http://schemas.microsoft.com/office/drawing/2014/main" id="{0F942C64-3874-538F-9E26-4557E26B3B3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06" name="Shape 57">
            <a:extLst>
              <a:ext uri="{FF2B5EF4-FFF2-40B4-BE49-F238E27FC236}">
                <a16:creationId xmlns:a16="http://schemas.microsoft.com/office/drawing/2014/main" id="{7646DF94-1697-BEB3-A113-D49B9B9028A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07" name="Shape 58">
            <a:extLst>
              <a:ext uri="{FF2B5EF4-FFF2-40B4-BE49-F238E27FC236}">
                <a16:creationId xmlns:a16="http://schemas.microsoft.com/office/drawing/2014/main" id="{1A4995B2-37AB-DEBD-4CDE-4BFE8E7F756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08" name="Shape 59">
            <a:extLst>
              <a:ext uri="{FF2B5EF4-FFF2-40B4-BE49-F238E27FC236}">
                <a16:creationId xmlns:a16="http://schemas.microsoft.com/office/drawing/2014/main" id="{B35DE64E-9F44-9B2B-CF8D-C27A8B2DD1B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09" name="Shape 60">
            <a:extLst>
              <a:ext uri="{FF2B5EF4-FFF2-40B4-BE49-F238E27FC236}">
                <a16:creationId xmlns:a16="http://schemas.microsoft.com/office/drawing/2014/main" id="{D906FA6D-4590-95B1-CAB3-3DAF3ED3F49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8710" name="Shape 61">
            <a:extLst>
              <a:ext uri="{FF2B5EF4-FFF2-40B4-BE49-F238E27FC236}">
                <a16:creationId xmlns:a16="http://schemas.microsoft.com/office/drawing/2014/main" id="{A4A1B777-531F-552D-EA81-C598B043D7C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711" name="Group 62">
          <a:extLst>
            <a:ext uri="{FF2B5EF4-FFF2-40B4-BE49-F238E27FC236}">
              <a16:creationId xmlns:a16="http://schemas.microsoft.com/office/drawing/2014/main" id="{66795854-49B2-409B-B8C7-0D01F301E8F8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8712" name="Shape 63">
            <a:extLst>
              <a:ext uri="{FF2B5EF4-FFF2-40B4-BE49-F238E27FC236}">
                <a16:creationId xmlns:a16="http://schemas.microsoft.com/office/drawing/2014/main" id="{45E47FB8-7C26-1985-9CA7-0D0D1DFD0CB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13" name="Shape 64">
            <a:extLst>
              <a:ext uri="{FF2B5EF4-FFF2-40B4-BE49-F238E27FC236}">
                <a16:creationId xmlns:a16="http://schemas.microsoft.com/office/drawing/2014/main" id="{FD7BA223-C24A-9EAE-DB2E-32AD40698CB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14" name="Shape 65">
            <a:extLst>
              <a:ext uri="{FF2B5EF4-FFF2-40B4-BE49-F238E27FC236}">
                <a16:creationId xmlns:a16="http://schemas.microsoft.com/office/drawing/2014/main" id="{477B7E45-D0B8-AAE9-1A09-787ED593AC5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15" name="Shape 66">
            <a:extLst>
              <a:ext uri="{FF2B5EF4-FFF2-40B4-BE49-F238E27FC236}">
                <a16:creationId xmlns:a16="http://schemas.microsoft.com/office/drawing/2014/main" id="{E1799E85-3B26-C070-D175-EBED3A1F012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16" name="Shape 67">
            <a:extLst>
              <a:ext uri="{FF2B5EF4-FFF2-40B4-BE49-F238E27FC236}">
                <a16:creationId xmlns:a16="http://schemas.microsoft.com/office/drawing/2014/main" id="{76C31C69-CDAA-F9F1-C2AB-57836EBB051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17" name="Shape 68">
            <a:extLst>
              <a:ext uri="{FF2B5EF4-FFF2-40B4-BE49-F238E27FC236}">
                <a16:creationId xmlns:a16="http://schemas.microsoft.com/office/drawing/2014/main" id="{A0EDBAEA-720A-2580-7EEE-0089D9339AE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18" name="Shape 69">
            <a:extLst>
              <a:ext uri="{FF2B5EF4-FFF2-40B4-BE49-F238E27FC236}">
                <a16:creationId xmlns:a16="http://schemas.microsoft.com/office/drawing/2014/main" id="{BCCF5666-312E-B8C7-27F2-9571A4EFDE3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19" name="Shape 70">
            <a:extLst>
              <a:ext uri="{FF2B5EF4-FFF2-40B4-BE49-F238E27FC236}">
                <a16:creationId xmlns:a16="http://schemas.microsoft.com/office/drawing/2014/main" id="{E7B1BF3C-39B7-5449-E612-DDD7AD24792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20" name="Shape 71">
            <a:extLst>
              <a:ext uri="{FF2B5EF4-FFF2-40B4-BE49-F238E27FC236}">
                <a16:creationId xmlns:a16="http://schemas.microsoft.com/office/drawing/2014/main" id="{D15C9FF4-310F-E451-2FCE-AC94136673D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21" name="Shape 72">
            <a:extLst>
              <a:ext uri="{FF2B5EF4-FFF2-40B4-BE49-F238E27FC236}">
                <a16:creationId xmlns:a16="http://schemas.microsoft.com/office/drawing/2014/main" id="{F90757CB-48E6-2C32-DD6D-97627F7D47C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22" name="Shape 73">
            <a:extLst>
              <a:ext uri="{FF2B5EF4-FFF2-40B4-BE49-F238E27FC236}">
                <a16:creationId xmlns:a16="http://schemas.microsoft.com/office/drawing/2014/main" id="{6869183E-BFEB-C691-7E2D-9FB7CCBE7CC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8723" name="Shape 74">
            <a:extLst>
              <a:ext uri="{FF2B5EF4-FFF2-40B4-BE49-F238E27FC236}">
                <a16:creationId xmlns:a16="http://schemas.microsoft.com/office/drawing/2014/main" id="{18B7A828-AD42-70E7-8D93-7597C5C8EB2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24" name="Shape 75">
            <a:extLst>
              <a:ext uri="{FF2B5EF4-FFF2-40B4-BE49-F238E27FC236}">
                <a16:creationId xmlns:a16="http://schemas.microsoft.com/office/drawing/2014/main" id="{C502B354-C527-B6DD-E1B2-C1BDFCEEED9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8725" name="Shape 76">
            <a:extLst>
              <a:ext uri="{FF2B5EF4-FFF2-40B4-BE49-F238E27FC236}">
                <a16:creationId xmlns:a16="http://schemas.microsoft.com/office/drawing/2014/main" id="{D00A4982-37EA-E43D-1A0D-AD175665220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8726" name="Group 2">
          <a:extLst>
            <a:ext uri="{FF2B5EF4-FFF2-40B4-BE49-F238E27FC236}">
              <a16:creationId xmlns:a16="http://schemas.microsoft.com/office/drawing/2014/main" id="{20DCED61-D0C7-491D-B80E-7E585B257406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027" name="Shape 3">
            <a:extLst>
              <a:ext uri="{FF2B5EF4-FFF2-40B4-BE49-F238E27FC236}">
                <a16:creationId xmlns:a16="http://schemas.microsoft.com/office/drawing/2014/main" id="{4E09D064-09C9-0388-28E8-E937DE8B363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28" name="Shape 4">
            <a:extLst>
              <a:ext uri="{FF2B5EF4-FFF2-40B4-BE49-F238E27FC236}">
                <a16:creationId xmlns:a16="http://schemas.microsoft.com/office/drawing/2014/main" id="{C3E4D9C8-F963-D10C-9C35-81416486B8F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29" name="Shape 5">
            <a:extLst>
              <a:ext uri="{FF2B5EF4-FFF2-40B4-BE49-F238E27FC236}">
                <a16:creationId xmlns:a16="http://schemas.microsoft.com/office/drawing/2014/main" id="{C08B06C2-443D-1AE7-C773-D95208660E8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30" name="Shape 6">
            <a:extLst>
              <a:ext uri="{FF2B5EF4-FFF2-40B4-BE49-F238E27FC236}">
                <a16:creationId xmlns:a16="http://schemas.microsoft.com/office/drawing/2014/main" id="{5CFD1F0E-B979-6A91-436A-061E9DC36FF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31" name="Shape 7">
            <a:extLst>
              <a:ext uri="{FF2B5EF4-FFF2-40B4-BE49-F238E27FC236}">
                <a16:creationId xmlns:a16="http://schemas.microsoft.com/office/drawing/2014/main" id="{D9DCCE03-7071-490F-383C-CD728F82376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32" name="Shape 8">
            <a:extLst>
              <a:ext uri="{FF2B5EF4-FFF2-40B4-BE49-F238E27FC236}">
                <a16:creationId xmlns:a16="http://schemas.microsoft.com/office/drawing/2014/main" id="{7A2AD41A-35AA-8FBF-5A23-23312CEFE09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33" name="Shape 9">
            <a:extLst>
              <a:ext uri="{FF2B5EF4-FFF2-40B4-BE49-F238E27FC236}">
                <a16:creationId xmlns:a16="http://schemas.microsoft.com/office/drawing/2014/main" id="{7BA09606-0759-2478-1C74-541E3242D1D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34" name="Shape 10">
            <a:extLst>
              <a:ext uri="{FF2B5EF4-FFF2-40B4-BE49-F238E27FC236}">
                <a16:creationId xmlns:a16="http://schemas.microsoft.com/office/drawing/2014/main" id="{B23E51C4-F8BE-D136-8EB6-3C3F4A57421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35" name="Shape 11">
            <a:extLst>
              <a:ext uri="{FF2B5EF4-FFF2-40B4-BE49-F238E27FC236}">
                <a16:creationId xmlns:a16="http://schemas.microsoft.com/office/drawing/2014/main" id="{CC8121E3-0F63-FC32-ADC1-D3DE6C28E6B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36" name="Shape 12">
            <a:extLst>
              <a:ext uri="{FF2B5EF4-FFF2-40B4-BE49-F238E27FC236}">
                <a16:creationId xmlns:a16="http://schemas.microsoft.com/office/drawing/2014/main" id="{0EEB2072-60D7-9132-7AC2-62B62E3E776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37" name="Shape 13">
            <a:extLst>
              <a:ext uri="{FF2B5EF4-FFF2-40B4-BE49-F238E27FC236}">
                <a16:creationId xmlns:a16="http://schemas.microsoft.com/office/drawing/2014/main" id="{8BD72ADE-1935-120E-952E-2FF38A67274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38" name="Shape 14">
            <a:extLst>
              <a:ext uri="{FF2B5EF4-FFF2-40B4-BE49-F238E27FC236}">
                <a16:creationId xmlns:a16="http://schemas.microsoft.com/office/drawing/2014/main" id="{9B238EFF-939C-E3BB-39D0-93E9BF9EC7C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39" name="Shape 15">
            <a:extLst>
              <a:ext uri="{FF2B5EF4-FFF2-40B4-BE49-F238E27FC236}">
                <a16:creationId xmlns:a16="http://schemas.microsoft.com/office/drawing/2014/main" id="{B9196F66-38A5-1387-4C5D-1238BF2E2F0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40" name="Shape 16">
            <a:extLst>
              <a:ext uri="{FF2B5EF4-FFF2-40B4-BE49-F238E27FC236}">
                <a16:creationId xmlns:a16="http://schemas.microsoft.com/office/drawing/2014/main" id="{48618592-9B9D-7396-C3BA-F86C82A87E7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041" name="Group 17">
          <a:extLst>
            <a:ext uri="{FF2B5EF4-FFF2-40B4-BE49-F238E27FC236}">
              <a16:creationId xmlns:a16="http://schemas.microsoft.com/office/drawing/2014/main" id="{513E25C7-4858-4F93-B1A1-BC0564822AAC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042" name="Shape 18">
            <a:extLst>
              <a:ext uri="{FF2B5EF4-FFF2-40B4-BE49-F238E27FC236}">
                <a16:creationId xmlns:a16="http://schemas.microsoft.com/office/drawing/2014/main" id="{CDF55D99-DC20-5E6D-AB60-EADBF58369F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43" name="Shape 19">
            <a:extLst>
              <a:ext uri="{FF2B5EF4-FFF2-40B4-BE49-F238E27FC236}">
                <a16:creationId xmlns:a16="http://schemas.microsoft.com/office/drawing/2014/main" id="{5B203BF7-98F8-7222-0805-47FA165CA21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44" name="Shape 20">
            <a:extLst>
              <a:ext uri="{FF2B5EF4-FFF2-40B4-BE49-F238E27FC236}">
                <a16:creationId xmlns:a16="http://schemas.microsoft.com/office/drawing/2014/main" id="{2F7E84D4-7DB2-830F-5687-812C51171A7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45" name="Shape 21">
            <a:extLst>
              <a:ext uri="{FF2B5EF4-FFF2-40B4-BE49-F238E27FC236}">
                <a16:creationId xmlns:a16="http://schemas.microsoft.com/office/drawing/2014/main" id="{4713437E-7BB0-38CA-5514-8FE7A77911B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46" name="Shape 22">
            <a:extLst>
              <a:ext uri="{FF2B5EF4-FFF2-40B4-BE49-F238E27FC236}">
                <a16:creationId xmlns:a16="http://schemas.microsoft.com/office/drawing/2014/main" id="{B25CFBBE-B096-BFBB-4652-394C910FD9A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47" name="Shape 23">
            <a:extLst>
              <a:ext uri="{FF2B5EF4-FFF2-40B4-BE49-F238E27FC236}">
                <a16:creationId xmlns:a16="http://schemas.microsoft.com/office/drawing/2014/main" id="{3AC7C10C-0F42-8FEB-701E-481EB3ABFB8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48" name="Shape 24">
            <a:extLst>
              <a:ext uri="{FF2B5EF4-FFF2-40B4-BE49-F238E27FC236}">
                <a16:creationId xmlns:a16="http://schemas.microsoft.com/office/drawing/2014/main" id="{4079FAC9-2AD6-C444-6A22-D60EDC0D75D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49" name="Shape 25">
            <a:extLst>
              <a:ext uri="{FF2B5EF4-FFF2-40B4-BE49-F238E27FC236}">
                <a16:creationId xmlns:a16="http://schemas.microsoft.com/office/drawing/2014/main" id="{3F5B5D57-DD7A-A089-2E6A-8E662BBD03A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50" name="Shape 26">
            <a:extLst>
              <a:ext uri="{FF2B5EF4-FFF2-40B4-BE49-F238E27FC236}">
                <a16:creationId xmlns:a16="http://schemas.microsoft.com/office/drawing/2014/main" id="{D770EAB5-1836-76F4-35C9-2CCEF6A7D48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51" name="Shape 27">
            <a:extLst>
              <a:ext uri="{FF2B5EF4-FFF2-40B4-BE49-F238E27FC236}">
                <a16:creationId xmlns:a16="http://schemas.microsoft.com/office/drawing/2014/main" id="{19B89491-447D-CD91-726C-549747E46C6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52" name="Shape 28">
            <a:extLst>
              <a:ext uri="{FF2B5EF4-FFF2-40B4-BE49-F238E27FC236}">
                <a16:creationId xmlns:a16="http://schemas.microsoft.com/office/drawing/2014/main" id="{AE78E477-E4D7-5F93-92C7-89249612C74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53" name="Shape 29">
            <a:extLst>
              <a:ext uri="{FF2B5EF4-FFF2-40B4-BE49-F238E27FC236}">
                <a16:creationId xmlns:a16="http://schemas.microsoft.com/office/drawing/2014/main" id="{ED724C9F-FCB9-BE4F-6E1F-758F6A7DCC8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54" name="Shape 30">
            <a:extLst>
              <a:ext uri="{FF2B5EF4-FFF2-40B4-BE49-F238E27FC236}">
                <a16:creationId xmlns:a16="http://schemas.microsoft.com/office/drawing/2014/main" id="{F24624F7-BED7-BE67-3B7C-FE620EFE390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55" name="Shape 31">
            <a:extLst>
              <a:ext uri="{FF2B5EF4-FFF2-40B4-BE49-F238E27FC236}">
                <a16:creationId xmlns:a16="http://schemas.microsoft.com/office/drawing/2014/main" id="{6F2EF028-2D05-2C19-20F1-0F1C1A98E0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056" name="Group 32">
          <a:extLst>
            <a:ext uri="{FF2B5EF4-FFF2-40B4-BE49-F238E27FC236}">
              <a16:creationId xmlns:a16="http://schemas.microsoft.com/office/drawing/2014/main" id="{359137B7-36A6-4957-AF59-B67023516039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057" name="Shape 33">
            <a:extLst>
              <a:ext uri="{FF2B5EF4-FFF2-40B4-BE49-F238E27FC236}">
                <a16:creationId xmlns:a16="http://schemas.microsoft.com/office/drawing/2014/main" id="{CC7F8444-7891-21B0-6F26-2954DDFBB28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58" name="Shape 34">
            <a:extLst>
              <a:ext uri="{FF2B5EF4-FFF2-40B4-BE49-F238E27FC236}">
                <a16:creationId xmlns:a16="http://schemas.microsoft.com/office/drawing/2014/main" id="{53225EC1-5942-EC70-8BD3-527A620B752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59" name="Shape 35">
            <a:extLst>
              <a:ext uri="{FF2B5EF4-FFF2-40B4-BE49-F238E27FC236}">
                <a16:creationId xmlns:a16="http://schemas.microsoft.com/office/drawing/2014/main" id="{943BB4F2-2808-481B-ABF5-1B12EA37550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60" name="Shape 36">
            <a:extLst>
              <a:ext uri="{FF2B5EF4-FFF2-40B4-BE49-F238E27FC236}">
                <a16:creationId xmlns:a16="http://schemas.microsoft.com/office/drawing/2014/main" id="{A793679B-EDE6-1ADC-3542-275F56009B2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61" name="Shape 37">
            <a:extLst>
              <a:ext uri="{FF2B5EF4-FFF2-40B4-BE49-F238E27FC236}">
                <a16:creationId xmlns:a16="http://schemas.microsoft.com/office/drawing/2014/main" id="{66F57984-7CE4-C202-431C-CF5B3659C08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62" name="Shape 38">
            <a:extLst>
              <a:ext uri="{FF2B5EF4-FFF2-40B4-BE49-F238E27FC236}">
                <a16:creationId xmlns:a16="http://schemas.microsoft.com/office/drawing/2014/main" id="{B3D8DF1A-81C4-1168-13A5-2F50E35293E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63" name="Shape 39">
            <a:extLst>
              <a:ext uri="{FF2B5EF4-FFF2-40B4-BE49-F238E27FC236}">
                <a16:creationId xmlns:a16="http://schemas.microsoft.com/office/drawing/2014/main" id="{50CE409E-9EA4-5B0F-0A65-15F176D4005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64" name="Shape 40">
            <a:extLst>
              <a:ext uri="{FF2B5EF4-FFF2-40B4-BE49-F238E27FC236}">
                <a16:creationId xmlns:a16="http://schemas.microsoft.com/office/drawing/2014/main" id="{F42763B5-06EC-AB4D-5989-482D97E4F4A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65" name="Shape 41">
            <a:extLst>
              <a:ext uri="{FF2B5EF4-FFF2-40B4-BE49-F238E27FC236}">
                <a16:creationId xmlns:a16="http://schemas.microsoft.com/office/drawing/2014/main" id="{F6284BFB-ADC6-1788-4AE9-7990E65D5F7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66" name="Shape 42">
            <a:extLst>
              <a:ext uri="{FF2B5EF4-FFF2-40B4-BE49-F238E27FC236}">
                <a16:creationId xmlns:a16="http://schemas.microsoft.com/office/drawing/2014/main" id="{C42ACB50-2F45-F7FD-F48B-D88B78060EE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67" name="Shape 43">
            <a:extLst>
              <a:ext uri="{FF2B5EF4-FFF2-40B4-BE49-F238E27FC236}">
                <a16:creationId xmlns:a16="http://schemas.microsoft.com/office/drawing/2014/main" id="{E6FD3F10-9262-C789-63A7-D1EAE2680EF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68" name="Shape 44">
            <a:extLst>
              <a:ext uri="{FF2B5EF4-FFF2-40B4-BE49-F238E27FC236}">
                <a16:creationId xmlns:a16="http://schemas.microsoft.com/office/drawing/2014/main" id="{570378CA-4754-7B5D-EDBA-EEFF3A32FA1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69" name="Shape 45">
            <a:extLst>
              <a:ext uri="{FF2B5EF4-FFF2-40B4-BE49-F238E27FC236}">
                <a16:creationId xmlns:a16="http://schemas.microsoft.com/office/drawing/2014/main" id="{0F9C38A8-5924-18D1-E241-2DA7D9FDFD8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70" name="Shape 46">
            <a:extLst>
              <a:ext uri="{FF2B5EF4-FFF2-40B4-BE49-F238E27FC236}">
                <a16:creationId xmlns:a16="http://schemas.microsoft.com/office/drawing/2014/main" id="{3BD2FA7F-65AA-77DA-79A0-2158A52CDF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071" name="Group 47">
          <a:extLst>
            <a:ext uri="{FF2B5EF4-FFF2-40B4-BE49-F238E27FC236}">
              <a16:creationId xmlns:a16="http://schemas.microsoft.com/office/drawing/2014/main" id="{6C3905EF-4BA9-4F14-BAEA-AC65A08A680F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072" name="Shape 48">
            <a:extLst>
              <a:ext uri="{FF2B5EF4-FFF2-40B4-BE49-F238E27FC236}">
                <a16:creationId xmlns:a16="http://schemas.microsoft.com/office/drawing/2014/main" id="{E16F6732-C143-2F6B-6F5C-387128D2DA7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73" name="Shape 49">
            <a:extLst>
              <a:ext uri="{FF2B5EF4-FFF2-40B4-BE49-F238E27FC236}">
                <a16:creationId xmlns:a16="http://schemas.microsoft.com/office/drawing/2014/main" id="{FE393AEA-9739-0680-D903-B09401C91DF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74" name="Shape 50">
            <a:extLst>
              <a:ext uri="{FF2B5EF4-FFF2-40B4-BE49-F238E27FC236}">
                <a16:creationId xmlns:a16="http://schemas.microsoft.com/office/drawing/2014/main" id="{FD960BDC-CF19-CF77-56B8-A4A903F834B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75" name="Shape 51">
            <a:extLst>
              <a:ext uri="{FF2B5EF4-FFF2-40B4-BE49-F238E27FC236}">
                <a16:creationId xmlns:a16="http://schemas.microsoft.com/office/drawing/2014/main" id="{2734FE62-BCFD-18C1-F0B7-3DE5932D153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76" name="Shape 52">
            <a:extLst>
              <a:ext uri="{FF2B5EF4-FFF2-40B4-BE49-F238E27FC236}">
                <a16:creationId xmlns:a16="http://schemas.microsoft.com/office/drawing/2014/main" id="{70D3562F-DF79-9051-D37F-EA04153B638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77" name="Shape 53">
            <a:extLst>
              <a:ext uri="{FF2B5EF4-FFF2-40B4-BE49-F238E27FC236}">
                <a16:creationId xmlns:a16="http://schemas.microsoft.com/office/drawing/2014/main" id="{55F19419-5B23-713F-0666-0131195FC69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78" name="Shape 54">
            <a:extLst>
              <a:ext uri="{FF2B5EF4-FFF2-40B4-BE49-F238E27FC236}">
                <a16:creationId xmlns:a16="http://schemas.microsoft.com/office/drawing/2014/main" id="{79E9CC02-9231-5264-9960-029E8CD9BAB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79" name="Shape 55">
            <a:extLst>
              <a:ext uri="{FF2B5EF4-FFF2-40B4-BE49-F238E27FC236}">
                <a16:creationId xmlns:a16="http://schemas.microsoft.com/office/drawing/2014/main" id="{C409C835-9283-08CC-0DD3-0421683C30D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80" name="Shape 56">
            <a:extLst>
              <a:ext uri="{FF2B5EF4-FFF2-40B4-BE49-F238E27FC236}">
                <a16:creationId xmlns:a16="http://schemas.microsoft.com/office/drawing/2014/main" id="{647B0612-D54E-BD18-A846-96B282842B8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81" name="Shape 57">
            <a:extLst>
              <a:ext uri="{FF2B5EF4-FFF2-40B4-BE49-F238E27FC236}">
                <a16:creationId xmlns:a16="http://schemas.microsoft.com/office/drawing/2014/main" id="{9759A52E-8E71-A0C1-E924-7FAE2C49E95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82" name="Shape 58">
            <a:extLst>
              <a:ext uri="{FF2B5EF4-FFF2-40B4-BE49-F238E27FC236}">
                <a16:creationId xmlns:a16="http://schemas.microsoft.com/office/drawing/2014/main" id="{7E348E4D-3E4B-92E2-354A-40A9784092E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83" name="Shape 59">
            <a:extLst>
              <a:ext uri="{FF2B5EF4-FFF2-40B4-BE49-F238E27FC236}">
                <a16:creationId xmlns:a16="http://schemas.microsoft.com/office/drawing/2014/main" id="{C1FF1BEB-3B8F-DAFD-D398-6CF3675517B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84" name="Shape 60">
            <a:extLst>
              <a:ext uri="{FF2B5EF4-FFF2-40B4-BE49-F238E27FC236}">
                <a16:creationId xmlns:a16="http://schemas.microsoft.com/office/drawing/2014/main" id="{2B1E34E2-FB53-3DCC-1CF0-7B364C77E1F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085" name="Shape 61">
            <a:extLst>
              <a:ext uri="{FF2B5EF4-FFF2-40B4-BE49-F238E27FC236}">
                <a16:creationId xmlns:a16="http://schemas.microsoft.com/office/drawing/2014/main" id="{9096E754-3A16-82CC-279F-7320B280327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086" name="Group 62">
          <a:extLst>
            <a:ext uri="{FF2B5EF4-FFF2-40B4-BE49-F238E27FC236}">
              <a16:creationId xmlns:a16="http://schemas.microsoft.com/office/drawing/2014/main" id="{613DEDB4-7576-4453-BA06-D41CBC0957E3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087" name="Shape 63">
            <a:extLst>
              <a:ext uri="{FF2B5EF4-FFF2-40B4-BE49-F238E27FC236}">
                <a16:creationId xmlns:a16="http://schemas.microsoft.com/office/drawing/2014/main" id="{0A8E6972-A649-7199-A3EA-B4FBB12B0CD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88" name="Shape 64">
            <a:extLst>
              <a:ext uri="{FF2B5EF4-FFF2-40B4-BE49-F238E27FC236}">
                <a16:creationId xmlns:a16="http://schemas.microsoft.com/office/drawing/2014/main" id="{B60ACF4C-C302-9688-A539-482ECAB8CD7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89" name="Shape 65">
            <a:extLst>
              <a:ext uri="{FF2B5EF4-FFF2-40B4-BE49-F238E27FC236}">
                <a16:creationId xmlns:a16="http://schemas.microsoft.com/office/drawing/2014/main" id="{62F26C4F-2082-DAE6-D351-A88EFCEE23C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90" name="Shape 66">
            <a:extLst>
              <a:ext uri="{FF2B5EF4-FFF2-40B4-BE49-F238E27FC236}">
                <a16:creationId xmlns:a16="http://schemas.microsoft.com/office/drawing/2014/main" id="{12D1D8C7-5DF8-2A02-C766-AABA6AFBC83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91" name="Shape 67">
            <a:extLst>
              <a:ext uri="{FF2B5EF4-FFF2-40B4-BE49-F238E27FC236}">
                <a16:creationId xmlns:a16="http://schemas.microsoft.com/office/drawing/2014/main" id="{BA09317E-433F-45CD-0726-D81CD79C74C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92" name="Shape 68">
            <a:extLst>
              <a:ext uri="{FF2B5EF4-FFF2-40B4-BE49-F238E27FC236}">
                <a16:creationId xmlns:a16="http://schemas.microsoft.com/office/drawing/2014/main" id="{9ADA94D1-22F5-99C5-5933-16733A1D382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93" name="Shape 69">
            <a:extLst>
              <a:ext uri="{FF2B5EF4-FFF2-40B4-BE49-F238E27FC236}">
                <a16:creationId xmlns:a16="http://schemas.microsoft.com/office/drawing/2014/main" id="{2CC5786D-F650-3362-D891-220FA598C53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94" name="Shape 70">
            <a:extLst>
              <a:ext uri="{FF2B5EF4-FFF2-40B4-BE49-F238E27FC236}">
                <a16:creationId xmlns:a16="http://schemas.microsoft.com/office/drawing/2014/main" id="{815CB440-8692-D915-DF2C-FC0EC36788B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95" name="Shape 71">
            <a:extLst>
              <a:ext uri="{FF2B5EF4-FFF2-40B4-BE49-F238E27FC236}">
                <a16:creationId xmlns:a16="http://schemas.microsoft.com/office/drawing/2014/main" id="{13DEA4F9-13C5-D60D-F430-092BE863645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96" name="Shape 72">
            <a:extLst>
              <a:ext uri="{FF2B5EF4-FFF2-40B4-BE49-F238E27FC236}">
                <a16:creationId xmlns:a16="http://schemas.microsoft.com/office/drawing/2014/main" id="{FF207FE9-C2E1-C077-5BFE-827CE3897CF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97" name="Shape 73">
            <a:extLst>
              <a:ext uri="{FF2B5EF4-FFF2-40B4-BE49-F238E27FC236}">
                <a16:creationId xmlns:a16="http://schemas.microsoft.com/office/drawing/2014/main" id="{8A012920-4FCA-3BB5-2BA8-C208BDD512F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098" name="Shape 74">
            <a:extLst>
              <a:ext uri="{FF2B5EF4-FFF2-40B4-BE49-F238E27FC236}">
                <a16:creationId xmlns:a16="http://schemas.microsoft.com/office/drawing/2014/main" id="{F65A91E5-6240-61E3-6AE0-EB6DA3643E4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099" name="Shape 75">
            <a:extLst>
              <a:ext uri="{FF2B5EF4-FFF2-40B4-BE49-F238E27FC236}">
                <a16:creationId xmlns:a16="http://schemas.microsoft.com/office/drawing/2014/main" id="{C8315F0B-5D98-A927-6763-40BC1D10C78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100" name="Shape 76">
            <a:extLst>
              <a:ext uri="{FF2B5EF4-FFF2-40B4-BE49-F238E27FC236}">
                <a16:creationId xmlns:a16="http://schemas.microsoft.com/office/drawing/2014/main" id="{914D04EC-9990-49BF-2DE2-1E78C469AF1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101" name="Group 2">
          <a:extLst>
            <a:ext uri="{FF2B5EF4-FFF2-40B4-BE49-F238E27FC236}">
              <a16:creationId xmlns:a16="http://schemas.microsoft.com/office/drawing/2014/main" id="{63648056-B376-4961-96FA-9C570966BC74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102" name="Shape 3">
            <a:extLst>
              <a:ext uri="{FF2B5EF4-FFF2-40B4-BE49-F238E27FC236}">
                <a16:creationId xmlns:a16="http://schemas.microsoft.com/office/drawing/2014/main" id="{293D7E28-6616-B9B2-CDDA-E2E4DB7BAB3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03" name="Shape 4">
            <a:extLst>
              <a:ext uri="{FF2B5EF4-FFF2-40B4-BE49-F238E27FC236}">
                <a16:creationId xmlns:a16="http://schemas.microsoft.com/office/drawing/2014/main" id="{3EA70392-36C2-D01E-2405-EA561EF4A75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04" name="Shape 5">
            <a:extLst>
              <a:ext uri="{FF2B5EF4-FFF2-40B4-BE49-F238E27FC236}">
                <a16:creationId xmlns:a16="http://schemas.microsoft.com/office/drawing/2014/main" id="{7A9B3B98-1C0A-D1BC-3D83-232C934814F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05" name="Shape 6">
            <a:extLst>
              <a:ext uri="{FF2B5EF4-FFF2-40B4-BE49-F238E27FC236}">
                <a16:creationId xmlns:a16="http://schemas.microsoft.com/office/drawing/2014/main" id="{871B7AF9-CCEA-DF1E-4004-44AA1F56EE8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06" name="Shape 7">
            <a:extLst>
              <a:ext uri="{FF2B5EF4-FFF2-40B4-BE49-F238E27FC236}">
                <a16:creationId xmlns:a16="http://schemas.microsoft.com/office/drawing/2014/main" id="{ED9C5BDF-D319-47F7-8EF6-E5D782DEAF4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07" name="Shape 8">
            <a:extLst>
              <a:ext uri="{FF2B5EF4-FFF2-40B4-BE49-F238E27FC236}">
                <a16:creationId xmlns:a16="http://schemas.microsoft.com/office/drawing/2014/main" id="{C07A8032-827B-5FAB-5473-8668308AF1B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08" name="Shape 9">
            <a:extLst>
              <a:ext uri="{FF2B5EF4-FFF2-40B4-BE49-F238E27FC236}">
                <a16:creationId xmlns:a16="http://schemas.microsoft.com/office/drawing/2014/main" id="{A567183C-B296-69DF-49EE-C64258FC262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09" name="Shape 10">
            <a:extLst>
              <a:ext uri="{FF2B5EF4-FFF2-40B4-BE49-F238E27FC236}">
                <a16:creationId xmlns:a16="http://schemas.microsoft.com/office/drawing/2014/main" id="{AAB354AC-FF3F-32F0-4B83-F32D83DDF4C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10" name="Shape 11">
            <a:extLst>
              <a:ext uri="{FF2B5EF4-FFF2-40B4-BE49-F238E27FC236}">
                <a16:creationId xmlns:a16="http://schemas.microsoft.com/office/drawing/2014/main" id="{A5BF86A8-E65F-5460-E04D-D171DC7E15F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11" name="Shape 12">
            <a:extLst>
              <a:ext uri="{FF2B5EF4-FFF2-40B4-BE49-F238E27FC236}">
                <a16:creationId xmlns:a16="http://schemas.microsoft.com/office/drawing/2014/main" id="{12088BD4-A0A2-748B-9136-AC6C05AAE98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12" name="Shape 13">
            <a:extLst>
              <a:ext uri="{FF2B5EF4-FFF2-40B4-BE49-F238E27FC236}">
                <a16:creationId xmlns:a16="http://schemas.microsoft.com/office/drawing/2014/main" id="{241E4CC3-E5B9-275C-55C2-534BF7E56B5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13" name="Shape 14">
            <a:extLst>
              <a:ext uri="{FF2B5EF4-FFF2-40B4-BE49-F238E27FC236}">
                <a16:creationId xmlns:a16="http://schemas.microsoft.com/office/drawing/2014/main" id="{2F166549-FCC7-B6C3-49B5-561393CC6B0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14" name="Shape 15">
            <a:extLst>
              <a:ext uri="{FF2B5EF4-FFF2-40B4-BE49-F238E27FC236}">
                <a16:creationId xmlns:a16="http://schemas.microsoft.com/office/drawing/2014/main" id="{8FE2B002-3870-0FDA-2140-64E4BD0AC89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15" name="Shape 16">
            <a:extLst>
              <a:ext uri="{FF2B5EF4-FFF2-40B4-BE49-F238E27FC236}">
                <a16:creationId xmlns:a16="http://schemas.microsoft.com/office/drawing/2014/main" id="{805853ED-BA6B-9A81-B4ED-6953C6934B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116" name="Group 17">
          <a:extLst>
            <a:ext uri="{FF2B5EF4-FFF2-40B4-BE49-F238E27FC236}">
              <a16:creationId xmlns:a16="http://schemas.microsoft.com/office/drawing/2014/main" id="{36637606-4F55-4404-9B78-B3B123806BD3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117" name="Shape 18">
            <a:extLst>
              <a:ext uri="{FF2B5EF4-FFF2-40B4-BE49-F238E27FC236}">
                <a16:creationId xmlns:a16="http://schemas.microsoft.com/office/drawing/2014/main" id="{D8F0A10C-FFF0-E28A-FD2B-C08AB616900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18" name="Shape 19">
            <a:extLst>
              <a:ext uri="{FF2B5EF4-FFF2-40B4-BE49-F238E27FC236}">
                <a16:creationId xmlns:a16="http://schemas.microsoft.com/office/drawing/2014/main" id="{7DC7DDBD-A0E5-C184-04FF-24E93F1C3FF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19" name="Shape 20">
            <a:extLst>
              <a:ext uri="{FF2B5EF4-FFF2-40B4-BE49-F238E27FC236}">
                <a16:creationId xmlns:a16="http://schemas.microsoft.com/office/drawing/2014/main" id="{1D058193-4A4A-DC90-6225-E61DCC2CF1B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20" name="Shape 21">
            <a:extLst>
              <a:ext uri="{FF2B5EF4-FFF2-40B4-BE49-F238E27FC236}">
                <a16:creationId xmlns:a16="http://schemas.microsoft.com/office/drawing/2014/main" id="{7E5EA64E-6DE0-CB20-1973-5DB8EE6B74C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21" name="Shape 22">
            <a:extLst>
              <a:ext uri="{FF2B5EF4-FFF2-40B4-BE49-F238E27FC236}">
                <a16:creationId xmlns:a16="http://schemas.microsoft.com/office/drawing/2014/main" id="{15B1136E-97FF-EA9D-BB3C-5E4E84A998F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22" name="Shape 23">
            <a:extLst>
              <a:ext uri="{FF2B5EF4-FFF2-40B4-BE49-F238E27FC236}">
                <a16:creationId xmlns:a16="http://schemas.microsoft.com/office/drawing/2014/main" id="{61BAD79C-AC98-520F-987F-B55E8127C0A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23" name="Shape 24">
            <a:extLst>
              <a:ext uri="{FF2B5EF4-FFF2-40B4-BE49-F238E27FC236}">
                <a16:creationId xmlns:a16="http://schemas.microsoft.com/office/drawing/2014/main" id="{82FD1B66-6C8F-07FF-F4CE-2224090F290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24" name="Shape 25">
            <a:extLst>
              <a:ext uri="{FF2B5EF4-FFF2-40B4-BE49-F238E27FC236}">
                <a16:creationId xmlns:a16="http://schemas.microsoft.com/office/drawing/2014/main" id="{485AE0A9-2FB6-0495-34D8-24A6A52267F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25" name="Shape 26">
            <a:extLst>
              <a:ext uri="{FF2B5EF4-FFF2-40B4-BE49-F238E27FC236}">
                <a16:creationId xmlns:a16="http://schemas.microsoft.com/office/drawing/2014/main" id="{8931219C-3033-A705-99FA-970F14DB5FC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26" name="Shape 27">
            <a:extLst>
              <a:ext uri="{FF2B5EF4-FFF2-40B4-BE49-F238E27FC236}">
                <a16:creationId xmlns:a16="http://schemas.microsoft.com/office/drawing/2014/main" id="{879EE6F1-C6A5-13DC-1380-6D893E5A542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27" name="Shape 28">
            <a:extLst>
              <a:ext uri="{FF2B5EF4-FFF2-40B4-BE49-F238E27FC236}">
                <a16:creationId xmlns:a16="http://schemas.microsoft.com/office/drawing/2014/main" id="{7C6559B7-042A-7495-0399-2324BAD762B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28" name="Shape 29">
            <a:extLst>
              <a:ext uri="{FF2B5EF4-FFF2-40B4-BE49-F238E27FC236}">
                <a16:creationId xmlns:a16="http://schemas.microsoft.com/office/drawing/2014/main" id="{EAD89DB6-A2B5-9A5B-C58B-50190AE453F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29" name="Shape 30">
            <a:extLst>
              <a:ext uri="{FF2B5EF4-FFF2-40B4-BE49-F238E27FC236}">
                <a16:creationId xmlns:a16="http://schemas.microsoft.com/office/drawing/2014/main" id="{04E33700-9622-0FD9-295A-2A14750A021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30" name="Shape 31">
            <a:extLst>
              <a:ext uri="{FF2B5EF4-FFF2-40B4-BE49-F238E27FC236}">
                <a16:creationId xmlns:a16="http://schemas.microsoft.com/office/drawing/2014/main" id="{94021AA5-2634-095C-6A48-D00609E685D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131" name="Group 32">
          <a:extLst>
            <a:ext uri="{FF2B5EF4-FFF2-40B4-BE49-F238E27FC236}">
              <a16:creationId xmlns:a16="http://schemas.microsoft.com/office/drawing/2014/main" id="{1BC5363C-825F-4631-8FBC-4177C46E023E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132" name="Shape 33">
            <a:extLst>
              <a:ext uri="{FF2B5EF4-FFF2-40B4-BE49-F238E27FC236}">
                <a16:creationId xmlns:a16="http://schemas.microsoft.com/office/drawing/2014/main" id="{9EC8003D-87D7-0306-38A1-881F127CB35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33" name="Shape 34">
            <a:extLst>
              <a:ext uri="{FF2B5EF4-FFF2-40B4-BE49-F238E27FC236}">
                <a16:creationId xmlns:a16="http://schemas.microsoft.com/office/drawing/2014/main" id="{CC9D5CC9-CA30-3F1F-9DD0-689E7B6A91A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34" name="Shape 35">
            <a:extLst>
              <a:ext uri="{FF2B5EF4-FFF2-40B4-BE49-F238E27FC236}">
                <a16:creationId xmlns:a16="http://schemas.microsoft.com/office/drawing/2014/main" id="{40562763-B6C6-5F2D-B786-10DBF779EFB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35" name="Shape 36">
            <a:extLst>
              <a:ext uri="{FF2B5EF4-FFF2-40B4-BE49-F238E27FC236}">
                <a16:creationId xmlns:a16="http://schemas.microsoft.com/office/drawing/2014/main" id="{D287A547-6297-8A82-1E67-B1B1E4CB591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36" name="Shape 37">
            <a:extLst>
              <a:ext uri="{FF2B5EF4-FFF2-40B4-BE49-F238E27FC236}">
                <a16:creationId xmlns:a16="http://schemas.microsoft.com/office/drawing/2014/main" id="{41D652AB-BFB5-9927-2547-A7DAE56051E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37" name="Shape 38">
            <a:extLst>
              <a:ext uri="{FF2B5EF4-FFF2-40B4-BE49-F238E27FC236}">
                <a16:creationId xmlns:a16="http://schemas.microsoft.com/office/drawing/2014/main" id="{62A55AEA-9C13-DC6B-B02F-AE6D6C1D2CD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38" name="Shape 39">
            <a:extLst>
              <a:ext uri="{FF2B5EF4-FFF2-40B4-BE49-F238E27FC236}">
                <a16:creationId xmlns:a16="http://schemas.microsoft.com/office/drawing/2014/main" id="{548E7FA2-744E-1B34-BE3A-98EC281EEB3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39" name="Shape 40">
            <a:extLst>
              <a:ext uri="{FF2B5EF4-FFF2-40B4-BE49-F238E27FC236}">
                <a16:creationId xmlns:a16="http://schemas.microsoft.com/office/drawing/2014/main" id="{B49D43B8-4476-97E4-BB56-B066B8D43D3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40" name="Shape 41">
            <a:extLst>
              <a:ext uri="{FF2B5EF4-FFF2-40B4-BE49-F238E27FC236}">
                <a16:creationId xmlns:a16="http://schemas.microsoft.com/office/drawing/2014/main" id="{629DE927-40CF-027F-C56E-86A964F9B5F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41" name="Shape 42">
            <a:extLst>
              <a:ext uri="{FF2B5EF4-FFF2-40B4-BE49-F238E27FC236}">
                <a16:creationId xmlns:a16="http://schemas.microsoft.com/office/drawing/2014/main" id="{F242B107-0708-0A4C-B863-73F19A93C1D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42" name="Shape 43">
            <a:extLst>
              <a:ext uri="{FF2B5EF4-FFF2-40B4-BE49-F238E27FC236}">
                <a16:creationId xmlns:a16="http://schemas.microsoft.com/office/drawing/2014/main" id="{5C4834C5-FAD9-3EC0-C98F-1FA3C11B76D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43" name="Shape 44">
            <a:extLst>
              <a:ext uri="{FF2B5EF4-FFF2-40B4-BE49-F238E27FC236}">
                <a16:creationId xmlns:a16="http://schemas.microsoft.com/office/drawing/2014/main" id="{5F6A221B-2A06-42DB-77C1-F067436CF61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44" name="Shape 45">
            <a:extLst>
              <a:ext uri="{FF2B5EF4-FFF2-40B4-BE49-F238E27FC236}">
                <a16:creationId xmlns:a16="http://schemas.microsoft.com/office/drawing/2014/main" id="{08E75388-EB46-31DF-FF85-847ACD73FA1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45" name="Shape 46">
            <a:extLst>
              <a:ext uri="{FF2B5EF4-FFF2-40B4-BE49-F238E27FC236}">
                <a16:creationId xmlns:a16="http://schemas.microsoft.com/office/drawing/2014/main" id="{87EE6587-1BE1-5F52-D796-38D1CB9BD46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146" name="Group 47">
          <a:extLst>
            <a:ext uri="{FF2B5EF4-FFF2-40B4-BE49-F238E27FC236}">
              <a16:creationId xmlns:a16="http://schemas.microsoft.com/office/drawing/2014/main" id="{2FFBF38C-4DCA-4A4D-9FE3-971CB2791A78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147" name="Shape 48">
            <a:extLst>
              <a:ext uri="{FF2B5EF4-FFF2-40B4-BE49-F238E27FC236}">
                <a16:creationId xmlns:a16="http://schemas.microsoft.com/office/drawing/2014/main" id="{E0B03394-14E4-6F90-395E-3D4BEEA6ADD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48" name="Shape 49">
            <a:extLst>
              <a:ext uri="{FF2B5EF4-FFF2-40B4-BE49-F238E27FC236}">
                <a16:creationId xmlns:a16="http://schemas.microsoft.com/office/drawing/2014/main" id="{93C09099-C32E-6A79-6125-7AE8DB4CC7C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49" name="Shape 50">
            <a:extLst>
              <a:ext uri="{FF2B5EF4-FFF2-40B4-BE49-F238E27FC236}">
                <a16:creationId xmlns:a16="http://schemas.microsoft.com/office/drawing/2014/main" id="{BF2402CC-4975-7EB2-2311-88926124E72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50" name="Shape 51">
            <a:extLst>
              <a:ext uri="{FF2B5EF4-FFF2-40B4-BE49-F238E27FC236}">
                <a16:creationId xmlns:a16="http://schemas.microsoft.com/office/drawing/2014/main" id="{C4794619-B6A9-4E49-CC5F-BE55D46B4D8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51" name="Shape 52">
            <a:extLst>
              <a:ext uri="{FF2B5EF4-FFF2-40B4-BE49-F238E27FC236}">
                <a16:creationId xmlns:a16="http://schemas.microsoft.com/office/drawing/2014/main" id="{0F80F89B-380B-E1D0-9BA3-C7F6F949B0C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52" name="Shape 53">
            <a:extLst>
              <a:ext uri="{FF2B5EF4-FFF2-40B4-BE49-F238E27FC236}">
                <a16:creationId xmlns:a16="http://schemas.microsoft.com/office/drawing/2014/main" id="{FBB87695-84F7-599A-88BF-7236DFCEEE5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53" name="Shape 54">
            <a:extLst>
              <a:ext uri="{FF2B5EF4-FFF2-40B4-BE49-F238E27FC236}">
                <a16:creationId xmlns:a16="http://schemas.microsoft.com/office/drawing/2014/main" id="{7EFFA296-6301-A1AC-D924-2931E34E935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54" name="Shape 55">
            <a:extLst>
              <a:ext uri="{FF2B5EF4-FFF2-40B4-BE49-F238E27FC236}">
                <a16:creationId xmlns:a16="http://schemas.microsoft.com/office/drawing/2014/main" id="{A271C20B-C7B1-8F5C-F5DC-B3670B744DF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55" name="Shape 56">
            <a:extLst>
              <a:ext uri="{FF2B5EF4-FFF2-40B4-BE49-F238E27FC236}">
                <a16:creationId xmlns:a16="http://schemas.microsoft.com/office/drawing/2014/main" id="{1E5AB767-2C3B-E801-DC6E-10A61D063DC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56" name="Shape 57">
            <a:extLst>
              <a:ext uri="{FF2B5EF4-FFF2-40B4-BE49-F238E27FC236}">
                <a16:creationId xmlns:a16="http://schemas.microsoft.com/office/drawing/2014/main" id="{CD6A9F0E-ACAA-4DEC-BB64-EF9DC95174E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57" name="Shape 58">
            <a:extLst>
              <a:ext uri="{FF2B5EF4-FFF2-40B4-BE49-F238E27FC236}">
                <a16:creationId xmlns:a16="http://schemas.microsoft.com/office/drawing/2014/main" id="{7A9710DB-8EF8-3FBF-9D74-46458959B10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58" name="Shape 59">
            <a:extLst>
              <a:ext uri="{FF2B5EF4-FFF2-40B4-BE49-F238E27FC236}">
                <a16:creationId xmlns:a16="http://schemas.microsoft.com/office/drawing/2014/main" id="{D91D6CC0-12A4-01EB-B760-9973D8FF4D5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59" name="Shape 60">
            <a:extLst>
              <a:ext uri="{FF2B5EF4-FFF2-40B4-BE49-F238E27FC236}">
                <a16:creationId xmlns:a16="http://schemas.microsoft.com/office/drawing/2014/main" id="{6AEF7E5D-EC2B-BC70-642A-F69F384E107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60" name="Shape 61">
            <a:extLst>
              <a:ext uri="{FF2B5EF4-FFF2-40B4-BE49-F238E27FC236}">
                <a16:creationId xmlns:a16="http://schemas.microsoft.com/office/drawing/2014/main" id="{2EA21C66-1729-B86A-0AF5-1D3335C52F4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161" name="Group 62">
          <a:extLst>
            <a:ext uri="{FF2B5EF4-FFF2-40B4-BE49-F238E27FC236}">
              <a16:creationId xmlns:a16="http://schemas.microsoft.com/office/drawing/2014/main" id="{F2106486-CEB2-4204-B62B-F7C43F4B98EF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162" name="Shape 63">
            <a:extLst>
              <a:ext uri="{FF2B5EF4-FFF2-40B4-BE49-F238E27FC236}">
                <a16:creationId xmlns:a16="http://schemas.microsoft.com/office/drawing/2014/main" id="{1C666397-7EBD-C626-807C-FF1888C6BD1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63" name="Shape 64">
            <a:extLst>
              <a:ext uri="{FF2B5EF4-FFF2-40B4-BE49-F238E27FC236}">
                <a16:creationId xmlns:a16="http://schemas.microsoft.com/office/drawing/2014/main" id="{81B96CCA-C015-2206-3A71-0BD9827381F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164" name="Shape 65">
            <a:extLst>
              <a:ext uri="{FF2B5EF4-FFF2-40B4-BE49-F238E27FC236}">
                <a16:creationId xmlns:a16="http://schemas.microsoft.com/office/drawing/2014/main" id="{17E559C0-30DE-EB6A-16F7-151080A39D8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65" name="Shape 66">
            <a:extLst>
              <a:ext uri="{FF2B5EF4-FFF2-40B4-BE49-F238E27FC236}">
                <a16:creationId xmlns:a16="http://schemas.microsoft.com/office/drawing/2014/main" id="{FB43D6EA-EA73-913C-A51C-55EC6E82AD0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166" name="Shape 67">
            <a:extLst>
              <a:ext uri="{FF2B5EF4-FFF2-40B4-BE49-F238E27FC236}">
                <a16:creationId xmlns:a16="http://schemas.microsoft.com/office/drawing/2014/main" id="{A5FC139B-A611-4947-3A3F-2241DA40356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67" name="Shape 68">
            <a:extLst>
              <a:ext uri="{FF2B5EF4-FFF2-40B4-BE49-F238E27FC236}">
                <a16:creationId xmlns:a16="http://schemas.microsoft.com/office/drawing/2014/main" id="{DFF6EB74-9207-C72D-83C0-46BE1901519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168" name="Shape 69">
            <a:extLst>
              <a:ext uri="{FF2B5EF4-FFF2-40B4-BE49-F238E27FC236}">
                <a16:creationId xmlns:a16="http://schemas.microsoft.com/office/drawing/2014/main" id="{E84868CC-F6A3-2EB8-B94F-B9697A33BF7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69" name="Shape 70">
            <a:extLst>
              <a:ext uri="{FF2B5EF4-FFF2-40B4-BE49-F238E27FC236}">
                <a16:creationId xmlns:a16="http://schemas.microsoft.com/office/drawing/2014/main" id="{9619A933-E8C9-1FFF-DDA4-4AB0D0A50EB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170" name="Shape 71">
            <a:extLst>
              <a:ext uri="{FF2B5EF4-FFF2-40B4-BE49-F238E27FC236}">
                <a16:creationId xmlns:a16="http://schemas.microsoft.com/office/drawing/2014/main" id="{BA2E6C1F-E721-65BE-6427-A919D45E206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71" name="Shape 72">
            <a:extLst>
              <a:ext uri="{FF2B5EF4-FFF2-40B4-BE49-F238E27FC236}">
                <a16:creationId xmlns:a16="http://schemas.microsoft.com/office/drawing/2014/main" id="{17AC0519-65BE-FC90-43ED-F7CC23C159F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172" name="Shape 73">
            <a:extLst>
              <a:ext uri="{FF2B5EF4-FFF2-40B4-BE49-F238E27FC236}">
                <a16:creationId xmlns:a16="http://schemas.microsoft.com/office/drawing/2014/main" id="{89E75D2B-5D22-DC55-2E87-A8E708942B6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73" name="Shape 74">
            <a:extLst>
              <a:ext uri="{FF2B5EF4-FFF2-40B4-BE49-F238E27FC236}">
                <a16:creationId xmlns:a16="http://schemas.microsoft.com/office/drawing/2014/main" id="{D820A009-7409-9E8A-EFD8-BACF3395276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174" name="Shape 75">
            <a:extLst>
              <a:ext uri="{FF2B5EF4-FFF2-40B4-BE49-F238E27FC236}">
                <a16:creationId xmlns:a16="http://schemas.microsoft.com/office/drawing/2014/main" id="{23BA101A-1E63-012E-FA3F-ECFD091883E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175" name="Shape 76">
            <a:extLst>
              <a:ext uri="{FF2B5EF4-FFF2-40B4-BE49-F238E27FC236}">
                <a16:creationId xmlns:a16="http://schemas.microsoft.com/office/drawing/2014/main" id="{D853954D-8138-EB5A-6D5F-E336820CC31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176" name="Group 2">
          <a:extLst>
            <a:ext uri="{FF2B5EF4-FFF2-40B4-BE49-F238E27FC236}">
              <a16:creationId xmlns:a16="http://schemas.microsoft.com/office/drawing/2014/main" id="{D90F22F2-C455-4F24-A893-E5E293E8B3D2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177" name="Shape 3">
            <a:extLst>
              <a:ext uri="{FF2B5EF4-FFF2-40B4-BE49-F238E27FC236}">
                <a16:creationId xmlns:a16="http://schemas.microsoft.com/office/drawing/2014/main" id="{507747C6-C3A2-90AA-AAC7-93543679A60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78" name="Shape 4">
            <a:extLst>
              <a:ext uri="{FF2B5EF4-FFF2-40B4-BE49-F238E27FC236}">
                <a16:creationId xmlns:a16="http://schemas.microsoft.com/office/drawing/2014/main" id="{BA5658D1-6CE0-6093-EE98-56B7F16436F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79" name="Shape 5">
            <a:extLst>
              <a:ext uri="{FF2B5EF4-FFF2-40B4-BE49-F238E27FC236}">
                <a16:creationId xmlns:a16="http://schemas.microsoft.com/office/drawing/2014/main" id="{F9BBC8A4-7317-AC43-349F-870F8CD5815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80" name="Shape 6">
            <a:extLst>
              <a:ext uri="{FF2B5EF4-FFF2-40B4-BE49-F238E27FC236}">
                <a16:creationId xmlns:a16="http://schemas.microsoft.com/office/drawing/2014/main" id="{556A33B8-249D-6F1C-AF43-EC836D2D9DF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81" name="Shape 7">
            <a:extLst>
              <a:ext uri="{FF2B5EF4-FFF2-40B4-BE49-F238E27FC236}">
                <a16:creationId xmlns:a16="http://schemas.microsoft.com/office/drawing/2014/main" id="{FEA77529-FBDA-4DA7-8A8F-74EE73C6875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82" name="Shape 8">
            <a:extLst>
              <a:ext uri="{FF2B5EF4-FFF2-40B4-BE49-F238E27FC236}">
                <a16:creationId xmlns:a16="http://schemas.microsoft.com/office/drawing/2014/main" id="{7B8E73CD-9856-D04B-F1A5-36A1A5A24D7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83" name="Shape 9">
            <a:extLst>
              <a:ext uri="{FF2B5EF4-FFF2-40B4-BE49-F238E27FC236}">
                <a16:creationId xmlns:a16="http://schemas.microsoft.com/office/drawing/2014/main" id="{445D0259-D517-A58E-63EE-AB56B191E11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84" name="Shape 10">
            <a:extLst>
              <a:ext uri="{FF2B5EF4-FFF2-40B4-BE49-F238E27FC236}">
                <a16:creationId xmlns:a16="http://schemas.microsoft.com/office/drawing/2014/main" id="{0E8AD265-1BD4-CE4B-553D-EF8E3962801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85" name="Shape 11">
            <a:extLst>
              <a:ext uri="{FF2B5EF4-FFF2-40B4-BE49-F238E27FC236}">
                <a16:creationId xmlns:a16="http://schemas.microsoft.com/office/drawing/2014/main" id="{8B81278D-FAE6-E8C5-F19C-7DB1159E72F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86" name="Shape 12">
            <a:extLst>
              <a:ext uri="{FF2B5EF4-FFF2-40B4-BE49-F238E27FC236}">
                <a16:creationId xmlns:a16="http://schemas.microsoft.com/office/drawing/2014/main" id="{406BC006-308A-E72D-526C-E3A909414DE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87" name="Shape 13">
            <a:extLst>
              <a:ext uri="{FF2B5EF4-FFF2-40B4-BE49-F238E27FC236}">
                <a16:creationId xmlns:a16="http://schemas.microsoft.com/office/drawing/2014/main" id="{91115E81-E16F-C5BA-6895-11BD1E966A8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88" name="Shape 14">
            <a:extLst>
              <a:ext uri="{FF2B5EF4-FFF2-40B4-BE49-F238E27FC236}">
                <a16:creationId xmlns:a16="http://schemas.microsoft.com/office/drawing/2014/main" id="{882B5498-CD8C-396F-4BE4-AD56155D90B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89" name="Shape 15">
            <a:extLst>
              <a:ext uri="{FF2B5EF4-FFF2-40B4-BE49-F238E27FC236}">
                <a16:creationId xmlns:a16="http://schemas.microsoft.com/office/drawing/2014/main" id="{156F39EF-3425-7CDA-F448-471BFDDC0D4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90" name="Shape 16">
            <a:extLst>
              <a:ext uri="{FF2B5EF4-FFF2-40B4-BE49-F238E27FC236}">
                <a16:creationId xmlns:a16="http://schemas.microsoft.com/office/drawing/2014/main" id="{6D8E4A2D-DDA6-CA2D-EC91-268D2D98539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191" name="Group 17">
          <a:extLst>
            <a:ext uri="{FF2B5EF4-FFF2-40B4-BE49-F238E27FC236}">
              <a16:creationId xmlns:a16="http://schemas.microsoft.com/office/drawing/2014/main" id="{CA59118B-F9CE-4E4A-8136-E14169A13B54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192" name="Shape 18">
            <a:extLst>
              <a:ext uri="{FF2B5EF4-FFF2-40B4-BE49-F238E27FC236}">
                <a16:creationId xmlns:a16="http://schemas.microsoft.com/office/drawing/2014/main" id="{A9887FA5-70CA-00A6-7E07-2B59D7FFF93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93" name="Shape 19">
            <a:extLst>
              <a:ext uri="{FF2B5EF4-FFF2-40B4-BE49-F238E27FC236}">
                <a16:creationId xmlns:a16="http://schemas.microsoft.com/office/drawing/2014/main" id="{2C520B41-982B-9655-6E6C-88E80B8089C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94" name="Shape 20">
            <a:extLst>
              <a:ext uri="{FF2B5EF4-FFF2-40B4-BE49-F238E27FC236}">
                <a16:creationId xmlns:a16="http://schemas.microsoft.com/office/drawing/2014/main" id="{BA1775EF-0945-70C2-E1F8-D2D959D14F1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95" name="Shape 21">
            <a:extLst>
              <a:ext uri="{FF2B5EF4-FFF2-40B4-BE49-F238E27FC236}">
                <a16:creationId xmlns:a16="http://schemas.microsoft.com/office/drawing/2014/main" id="{DD6CE712-C17F-2245-EAA1-FE56E699515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96" name="Shape 22">
            <a:extLst>
              <a:ext uri="{FF2B5EF4-FFF2-40B4-BE49-F238E27FC236}">
                <a16:creationId xmlns:a16="http://schemas.microsoft.com/office/drawing/2014/main" id="{C8FFA2BE-47D3-DA93-B910-1EC49C5C77F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97" name="Shape 23">
            <a:extLst>
              <a:ext uri="{FF2B5EF4-FFF2-40B4-BE49-F238E27FC236}">
                <a16:creationId xmlns:a16="http://schemas.microsoft.com/office/drawing/2014/main" id="{F0EC9443-1CF5-F711-164B-421EB7C33A7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198" name="Shape 24">
            <a:extLst>
              <a:ext uri="{FF2B5EF4-FFF2-40B4-BE49-F238E27FC236}">
                <a16:creationId xmlns:a16="http://schemas.microsoft.com/office/drawing/2014/main" id="{200BFC5D-F031-6ACD-4DF2-8C59619CB24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199" name="Shape 25">
            <a:extLst>
              <a:ext uri="{FF2B5EF4-FFF2-40B4-BE49-F238E27FC236}">
                <a16:creationId xmlns:a16="http://schemas.microsoft.com/office/drawing/2014/main" id="{6217704A-A0FA-2682-B078-BFF83404DB6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00" name="Shape 26">
            <a:extLst>
              <a:ext uri="{FF2B5EF4-FFF2-40B4-BE49-F238E27FC236}">
                <a16:creationId xmlns:a16="http://schemas.microsoft.com/office/drawing/2014/main" id="{2F702D72-9BEF-2F6F-EAFD-F1E2F54C7F1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01" name="Shape 27">
            <a:extLst>
              <a:ext uri="{FF2B5EF4-FFF2-40B4-BE49-F238E27FC236}">
                <a16:creationId xmlns:a16="http://schemas.microsoft.com/office/drawing/2014/main" id="{CDB6B001-529C-E3B4-1FFF-3504B04CF15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02" name="Shape 28">
            <a:extLst>
              <a:ext uri="{FF2B5EF4-FFF2-40B4-BE49-F238E27FC236}">
                <a16:creationId xmlns:a16="http://schemas.microsoft.com/office/drawing/2014/main" id="{C8275037-E6C4-424F-3CF9-39C7046E691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03" name="Shape 29">
            <a:extLst>
              <a:ext uri="{FF2B5EF4-FFF2-40B4-BE49-F238E27FC236}">
                <a16:creationId xmlns:a16="http://schemas.microsoft.com/office/drawing/2014/main" id="{723CD774-0227-E966-8C18-00A82E7E699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04" name="Shape 30">
            <a:extLst>
              <a:ext uri="{FF2B5EF4-FFF2-40B4-BE49-F238E27FC236}">
                <a16:creationId xmlns:a16="http://schemas.microsoft.com/office/drawing/2014/main" id="{351507F6-9DD8-7436-D9A4-BA865FF379B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05" name="Shape 31">
            <a:extLst>
              <a:ext uri="{FF2B5EF4-FFF2-40B4-BE49-F238E27FC236}">
                <a16:creationId xmlns:a16="http://schemas.microsoft.com/office/drawing/2014/main" id="{DD0A83D8-D42A-B991-10F6-5ADD377466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206" name="Group 32">
          <a:extLst>
            <a:ext uri="{FF2B5EF4-FFF2-40B4-BE49-F238E27FC236}">
              <a16:creationId xmlns:a16="http://schemas.microsoft.com/office/drawing/2014/main" id="{26D411F9-9E20-44E4-8BC6-416C91A217E1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207" name="Shape 33">
            <a:extLst>
              <a:ext uri="{FF2B5EF4-FFF2-40B4-BE49-F238E27FC236}">
                <a16:creationId xmlns:a16="http://schemas.microsoft.com/office/drawing/2014/main" id="{2245A521-941D-FED8-7053-0C0093D079C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08" name="Shape 34">
            <a:extLst>
              <a:ext uri="{FF2B5EF4-FFF2-40B4-BE49-F238E27FC236}">
                <a16:creationId xmlns:a16="http://schemas.microsoft.com/office/drawing/2014/main" id="{07300F41-4B70-FE6B-5D51-641851E49FF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09" name="Shape 35">
            <a:extLst>
              <a:ext uri="{FF2B5EF4-FFF2-40B4-BE49-F238E27FC236}">
                <a16:creationId xmlns:a16="http://schemas.microsoft.com/office/drawing/2014/main" id="{8E98F5EC-F561-F28C-ABCD-F5C677BC5C4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10" name="Shape 36">
            <a:extLst>
              <a:ext uri="{FF2B5EF4-FFF2-40B4-BE49-F238E27FC236}">
                <a16:creationId xmlns:a16="http://schemas.microsoft.com/office/drawing/2014/main" id="{1DE13CFD-528C-8AD7-7F33-44AFB27DCE0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11" name="Shape 37">
            <a:extLst>
              <a:ext uri="{FF2B5EF4-FFF2-40B4-BE49-F238E27FC236}">
                <a16:creationId xmlns:a16="http://schemas.microsoft.com/office/drawing/2014/main" id="{C3F5B680-AAB4-6998-4331-3EAE3927723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12" name="Shape 38">
            <a:extLst>
              <a:ext uri="{FF2B5EF4-FFF2-40B4-BE49-F238E27FC236}">
                <a16:creationId xmlns:a16="http://schemas.microsoft.com/office/drawing/2014/main" id="{D6F98F66-4680-AF78-03C4-E073CB65F81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13" name="Shape 39">
            <a:extLst>
              <a:ext uri="{FF2B5EF4-FFF2-40B4-BE49-F238E27FC236}">
                <a16:creationId xmlns:a16="http://schemas.microsoft.com/office/drawing/2014/main" id="{38BB6ADC-9DA6-8CC9-3735-7DDC7C83765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14" name="Shape 40">
            <a:extLst>
              <a:ext uri="{FF2B5EF4-FFF2-40B4-BE49-F238E27FC236}">
                <a16:creationId xmlns:a16="http://schemas.microsoft.com/office/drawing/2014/main" id="{79C86CC7-40AE-780C-124F-E352F003962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15" name="Shape 41">
            <a:extLst>
              <a:ext uri="{FF2B5EF4-FFF2-40B4-BE49-F238E27FC236}">
                <a16:creationId xmlns:a16="http://schemas.microsoft.com/office/drawing/2014/main" id="{DDF3A276-6480-1B86-F96B-757CFADEE3C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16" name="Shape 42">
            <a:extLst>
              <a:ext uri="{FF2B5EF4-FFF2-40B4-BE49-F238E27FC236}">
                <a16:creationId xmlns:a16="http://schemas.microsoft.com/office/drawing/2014/main" id="{7C650958-7DC4-A359-53F7-A9CB27EDDF8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17" name="Shape 43">
            <a:extLst>
              <a:ext uri="{FF2B5EF4-FFF2-40B4-BE49-F238E27FC236}">
                <a16:creationId xmlns:a16="http://schemas.microsoft.com/office/drawing/2014/main" id="{15C265E1-7F13-542C-A04F-9476E620ACD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18" name="Shape 44">
            <a:extLst>
              <a:ext uri="{FF2B5EF4-FFF2-40B4-BE49-F238E27FC236}">
                <a16:creationId xmlns:a16="http://schemas.microsoft.com/office/drawing/2014/main" id="{80ED3493-E2AC-B8FB-8245-D9706194EC7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19" name="Shape 45">
            <a:extLst>
              <a:ext uri="{FF2B5EF4-FFF2-40B4-BE49-F238E27FC236}">
                <a16:creationId xmlns:a16="http://schemas.microsoft.com/office/drawing/2014/main" id="{D23E0847-C47C-3621-1181-D20C6862D8F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20" name="Shape 46">
            <a:extLst>
              <a:ext uri="{FF2B5EF4-FFF2-40B4-BE49-F238E27FC236}">
                <a16:creationId xmlns:a16="http://schemas.microsoft.com/office/drawing/2014/main" id="{A8117373-801E-7661-3CA6-6A9E8121D8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221" name="Group 47">
          <a:extLst>
            <a:ext uri="{FF2B5EF4-FFF2-40B4-BE49-F238E27FC236}">
              <a16:creationId xmlns:a16="http://schemas.microsoft.com/office/drawing/2014/main" id="{2EE1A759-6DAE-4992-B396-25E9B3807449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222" name="Shape 48">
            <a:extLst>
              <a:ext uri="{FF2B5EF4-FFF2-40B4-BE49-F238E27FC236}">
                <a16:creationId xmlns:a16="http://schemas.microsoft.com/office/drawing/2014/main" id="{C56FE4CE-CBB3-3BC6-6E64-D08AA39B355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23" name="Shape 49">
            <a:extLst>
              <a:ext uri="{FF2B5EF4-FFF2-40B4-BE49-F238E27FC236}">
                <a16:creationId xmlns:a16="http://schemas.microsoft.com/office/drawing/2014/main" id="{83C3CAA9-9EE6-A356-E2ED-34CD2406F8A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24" name="Shape 50">
            <a:extLst>
              <a:ext uri="{FF2B5EF4-FFF2-40B4-BE49-F238E27FC236}">
                <a16:creationId xmlns:a16="http://schemas.microsoft.com/office/drawing/2014/main" id="{478D002F-D78B-48EB-FFDF-08CC14032B9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25" name="Shape 51">
            <a:extLst>
              <a:ext uri="{FF2B5EF4-FFF2-40B4-BE49-F238E27FC236}">
                <a16:creationId xmlns:a16="http://schemas.microsoft.com/office/drawing/2014/main" id="{AD272C8B-E079-4AA0-971E-366AEFB1F3B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26" name="Shape 52">
            <a:extLst>
              <a:ext uri="{FF2B5EF4-FFF2-40B4-BE49-F238E27FC236}">
                <a16:creationId xmlns:a16="http://schemas.microsoft.com/office/drawing/2014/main" id="{4762E6F6-6061-404D-8E3F-95615E9A2D3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27" name="Shape 53">
            <a:extLst>
              <a:ext uri="{FF2B5EF4-FFF2-40B4-BE49-F238E27FC236}">
                <a16:creationId xmlns:a16="http://schemas.microsoft.com/office/drawing/2014/main" id="{07A01D88-6F97-F444-7EC6-FF33F00A563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28" name="Shape 54">
            <a:extLst>
              <a:ext uri="{FF2B5EF4-FFF2-40B4-BE49-F238E27FC236}">
                <a16:creationId xmlns:a16="http://schemas.microsoft.com/office/drawing/2014/main" id="{A31C0A15-0062-D4D0-89B9-8A85949261E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29" name="Shape 55">
            <a:extLst>
              <a:ext uri="{FF2B5EF4-FFF2-40B4-BE49-F238E27FC236}">
                <a16:creationId xmlns:a16="http://schemas.microsoft.com/office/drawing/2014/main" id="{E7FFA4AB-9231-5F1E-6158-D40CD9BC478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30" name="Shape 56">
            <a:extLst>
              <a:ext uri="{FF2B5EF4-FFF2-40B4-BE49-F238E27FC236}">
                <a16:creationId xmlns:a16="http://schemas.microsoft.com/office/drawing/2014/main" id="{2B8A4DA2-4A8B-1838-E001-9820FCE4818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31" name="Shape 57">
            <a:extLst>
              <a:ext uri="{FF2B5EF4-FFF2-40B4-BE49-F238E27FC236}">
                <a16:creationId xmlns:a16="http://schemas.microsoft.com/office/drawing/2014/main" id="{D5A11204-6B9F-4137-9CF5-D974B445BF8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32" name="Shape 58">
            <a:extLst>
              <a:ext uri="{FF2B5EF4-FFF2-40B4-BE49-F238E27FC236}">
                <a16:creationId xmlns:a16="http://schemas.microsoft.com/office/drawing/2014/main" id="{4AEA1091-6672-5BFF-E5BF-62D3F834B08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33" name="Shape 59">
            <a:extLst>
              <a:ext uri="{FF2B5EF4-FFF2-40B4-BE49-F238E27FC236}">
                <a16:creationId xmlns:a16="http://schemas.microsoft.com/office/drawing/2014/main" id="{2E444924-5841-07F3-233D-FA3EEF7E466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34" name="Shape 60">
            <a:extLst>
              <a:ext uri="{FF2B5EF4-FFF2-40B4-BE49-F238E27FC236}">
                <a16:creationId xmlns:a16="http://schemas.microsoft.com/office/drawing/2014/main" id="{9639209D-B1F5-3CD2-DCC5-07CAA788864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35" name="Shape 61">
            <a:extLst>
              <a:ext uri="{FF2B5EF4-FFF2-40B4-BE49-F238E27FC236}">
                <a16:creationId xmlns:a16="http://schemas.microsoft.com/office/drawing/2014/main" id="{BFE1B927-069B-BFE9-8C0B-D0E0462C821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236" name="Group 62">
          <a:extLst>
            <a:ext uri="{FF2B5EF4-FFF2-40B4-BE49-F238E27FC236}">
              <a16:creationId xmlns:a16="http://schemas.microsoft.com/office/drawing/2014/main" id="{EAC4D561-7B5E-403B-A37E-B29C822C438B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237" name="Shape 63">
            <a:extLst>
              <a:ext uri="{FF2B5EF4-FFF2-40B4-BE49-F238E27FC236}">
                <a16:creationId xmlns:a16="http://schemas.microsoft.com/office/drawing/2014/main" id="{B1A86ECC-7DBE-FF30-15E5-87A7FB736C9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38" name="Shape 64">
            <a:extLst>
              <a:ext uri="{FF2B5EF4-FFF2-40B4-BE49-F238E27FC236}">
                <a16:creationId xmlns:a16="http://schemas.microsoft.com/office/drawing/2014/main" id="{790931F8-5761-5B3C-67BC-A5C9235DC1C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239" name="Shape 65">
            <a:extLst>
              <a:ext uri="{FF2B5EF4-FFF2-40B4-BE49-F238E27FC236}">
                <a16:creationId xmlns:a16="http://schemas.microsoft.com/office/drawing/2014/main" id="{63031214-1A74-8944-5929-1F634A17552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40" name="Shape 66">
            <a:extLst>
              <a:ext uri="{FF2B5EF4-FFF2-40B4-BE49-F238E27FC236}">
                <a16:creationId xmlns:a16="http://schemas.microsoft.com/office/drawing/2014/main" id="{6C406729-FFCA-0E99-AD71-05A3467BF51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241" name="Shape 67">
            <a:extLst>
              <a:ext uri="{FF2B5EF4-FFF2-40B4-BE49-F238E27FC236}">
                <a16:creationId xmlns:a16="http://schemas.microsoft.com/office/drawing/2014/main" id="{39301DB3-A4ED-1726-330F-6324E730854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42" name="Shape 68">
            <a:extLst>
              <a:ext uri="{FF2B5EF4-FFF2-40B4-BE49-F238E27FC236}">
                <a16:creationId xmlns:a16="http://schemas.microsoft.com/office/drawing/2014/main" id="{82427128-E4A1-5787-EB94-1B74F690842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243" name="Shape 69">
            <a:extLst>
              <a:ext uri="{FF2B5EF4-FFF2-40B4-BE49-F238E27FC236}">
                <a16:creationId xmlns:a16="http://schemas.microsoft.com/office/drawing/2014/main" id="{C4516AB6-67E2-AE10-4266-128F8551F4E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44" name="Shape 70">
            <a:extLst>
              <a:ext uri="{FF2B5EF4-FFF2-40B4-BE49-F238E27FC236}">
                <a16:creationId xmlns:a16="http://schemas.microsoft.com/office/drawing/2014/main" id="{7625328D-53F1-43D6-4574-78DAD342CC1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245" name="Shape 71">
            <a:extLst>
              <a:ext uri="{FF2B5EF4-FFF2-40B4-BE49-F238E27FC236}">
                <a16:creationId xmlns:a16="http://schemas.microsoft.com/office/drawing/2014/main" id="{9A8705A2-55E7-E86A-98A4-CA235620529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46" name="Shape 72">
            <a:extLst>
              <a:ext uri="{FF2B5EF4-FFF2-40B4-BE49-F238E27FC236}">
                <a16:creationId xmlns:a16="http://schemas.microsoft.com/office/drawing/2014/main" id="{CDEF818F-4060-FBCB-83C8-83E276BEB14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247" name="Shape 73">
            <a:extLst>
              <a:ext uri="{FF2B5EF4-FFF2-40B4-BE49-F238E27FC236}">
                <a16:creationId xmlns:a16="http://schemas.microsoft.com/office/drawing/2014/main" id="{6F174965-E06F-00DB-B655-87D05315991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48" name="Shape 74">
            <a:extLst>
              <a:ext uri="{FF2B5EF4-FFF2-40B4-BE49-F238E27FC236}">
                <a16:creationId xmlns:a16="http://schemas.microsoft.com/office/drawing/2014/main" id="{4B6E7173-3EE8-2FB9-4086-93462D6E6DD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249" name="Shape 75">
            <a:extLst>
              <a:ext uri="{FF2B5EF4-FFF2-40B4-BE49-F238E27FC236}">
                <a16:creationId xmlns:a16="http://schemas.microsoft.com/office/drawing/2014/main" id="{88223D65-9B29-1E4F-18C9-8C4E80A0825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250" name="Shape 76">
            <a:extLst>
              <a:ext uri="{FF2B5EF4-FFF2-40B4-BE49-F238E27FC236}">
                <a16:creationId xmlns:a16="http://schemas.microsoft.com/office/drawing/2014/main" id="{6BF67375-43B5-577C-FFF7-495FE760FBD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251" name="Group 2">
          <a:extLst>
            <a:ext uri="{FF2B5EF4-FFF2-40B4-BE49-F238E27FC236}">
              <a16:creationId xmlns:a16="http://schemas.microsoft.com/office/drawing/2014/main" id="{577853A9-4F80-4DCB-AA8C-296F30E67E5B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252" name="Shape 3">
            <a:extLst>
              <a:ext uri="{FF2B5EF4-FFF2-40B4-BE49-F238E27FC236}">
                <a16:creationId xmlns:a16="http://schemas.microsoft.com/office/drawing/2014/main" id="{A98BBB16-57C7-5270-9BC9-A4801601B5B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53" name="Shape 4">
            <a:extLst>
              <a:ext uri="{FF2B5EF4-FFF2-40B4-BE49-F238E27FC236}">
                <a16:creationId xmlns:a16="http://schemas.microsoft.com/office/drawing/2014/main" id="{EF3648C8-AAD6-BBB8-A13C-A2F13320A16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54" name="Shape 5">
            <a:extLst>
              <a:ext uri="{FF2B5EF4-FFF2-40B4-BE49-F238E27FC236}">
                <a16:creationId xmlns:a16="http://schemas.microsoft.com/office/drawing/2014/main" id="{7758006F-3DA4-6BB2-5329-C7F632FFF2C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55" name="Shape 6">
            <a:extLst>
              <a:ext uri="{FF2B5EF4-FFF2-40B4-BE49-F238E27FC236}">
                <a16:creationId xmlns:a16="http://schemas.microsoft.com/office/drawing/2014/main" id="{F676EDA4-6555-3EAF-352E-C6D8AECA900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56" name="Shape 7">
            <a:extLst>
              <a:ext uri="{FF2B5EF4-FFF2-40B4-BE49-F238E27FC236}">
                <a16:creationId xmlns:a16="http://schemas.microsoft.com/office/drawing/2014/main" id="{7BE20D54-194F-84AD-56F8-5B3EF6F72C1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57" name="Shape 8">
            <a:extLst>
              <a:ext uri="{FF2B5EF4-FFF2-40B4-BE49-F238E27FC236}">
                <a16:creationId xmlns:a16="http://schemas.microsoft.com/office/drawing/2014/main" id="{136734F7-CE81-477F-E16F-5F0C244C0AB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58" name="Shape 9">
            <a:extLst>
              <a:ext uri="{FF2B5EF4-FFF2-40B4-BE49-F238E27FC236}">
                <a16:creationId xmlns:a16="http://schemas.microsoft.com/office/drawing/2014/main" id="{F7CC2216-C67A-2050-E918-8E4422FF756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59" name="Shape 10">
            <a:extLst>
              <a:ext uri="{FF2B5EF4-FFF2-40B4-BE49-F238E27FC236}">
                <a16:creationId xmlns:a16="http://schemas.microsoft.com/office/drawing/2014/main" id="{E268E706-2E3C-F00B-B6CF-10E9FC6E5CF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60" name="Shape 11">
            <a:extLst>
              <a:ext uri="{FF2B5EF4-FFF2-40B4-BE49-F238E27FC236}">
                <a16:creationId xmlns:a16="http://schemas.microsoft.com/office/drawing/2014/main" id="{D582197E-1F1A-3E92-D64E-E11E87BC5DC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61" name="Shape 12">
            <a:extLst>
              <a:ext uri="{FF2B5EF4-FFF2-40B4-BE49-F238E27FC236}">
                <a16:creationId xmlns:a16="http://schemas.microsoft.com/office/drawing/2014/main" id="{6B5D82EA-83B4-12BA-47CD-4B295E8D752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62" name="Shape 13">
            <a:extLst>
              <a:ext uri="{FF2B5EF4-FFF2-40B4-BE49-F238E27FC236}">
                <a16:creationId xmlns:a16="http://schemas.microsoft.com/office/drawing/2014/main" id="{728CF3B6-593E-74E9-14EC-7B6039EEBCB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63" name="Shape 14">
            <a:extLst>
              <a:ext uri="{FF2B5EF4-FFF2-40B4-BE49-F238E27FC236}">
                <a16:creationId xmlns:a16="http://schemas.microsoft.com/office/drawing/2014/main" id="{48D63A5D-4CE1-472F-B22B-8A1033A628D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64" name="Shape 15">
            <a:extLst>
              <a:ext uri="{FF2B5EF4-FFF2-40B4-BE49-F238E27FC236}">
                <a16:creationId xmlns:a16="http://schemas.microsoft.com/office/drawing/2014/main" id="{EEEA8F12-821C-3539-4599-64EA7FFB4E0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65" name="Shape 16">
            <a:extLst>
              <a:ext uri="{FF2B5EF4-FFF2-40B4-BE49-F238E27FC236}">
                <a16:creationId xmlns:a16="http://schemas.microsoft.com/office/drawing/2014/main" id="{51178478-28B9-B3A8-A505-013CADEB182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266" name="Group 17">
          <a:extLst>
            <a:ext uri="{FF2B5EF4-FFF2-40B4-BE49-F238E27FC236}">
              <a16:creationId xmlns:a16="http://schemas.microsoft.com/office/drawing/2014/main" id="{21DC66A4-AF4A-47D0-AE93-1996B6764682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267" name="Shape 18">
            <a:extLst>
              <a:ext uri="{FF2B5EF4-FFF2-40B4-BE49-F238E27FC236}">
                <a16:creationId xmlns:a16="http://schemas.microsoft.com/office/drawing/2014/main" id="{EF6C1E56-74D2-6D24-D9BC-5512F3B4BED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68" name="Shape 19">
            <a:extLst>
              <a:ext uri="{FF2B5EF4-FFF2-40B4-BE49-F238E27FC236}">
                <a16:creationId xmlns:a16="http://schemas.microsoft.com/office/drawing/2014/main" id="{A398EF25-8AF9-CEE1-FB86-75BF1144B68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69" name="Shape 20">
            <a:extLst>
              <a:ext uri="{FF2B5EF4-FFF2-40B4-BE49-F238E27FC236}">
                <a16:creationId xmlns:a16="http://schemas.microsoft.com/office/drawing/2014/main" id="{453CB706-C3D7-6235-F088-A14DFBC71A1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70" name="Shape 21">
            <a:extLst>
              <a:ext uri="{FF2B5EF4-FFF2-40B4-BE49-F238E27FC236}">
                <a16:creationId xmlns:a16="http://schemas.microsoft.com/office/drawing/2014/main" id="{598322AC-4132-AC36-B847-9593336F5D3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71" name="Shape 22">
            <a:extLst>
              <a:ext uri="{FF2B5EF4-FFF2-40B4-BE49-F238E27FC236}">
                <a16:creationId xmlns:a16="http://schemas.microsoft.com/office/drawing/2014/main" id="{651D4244-8005-133C-8865-3FCAC6AB14B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72" name="Shape 23">
            <a:extLst>
              <a:ext uri="{FF2B5EF4-FFF2-40B4-BE49-F238E27FC236}">
                <a16:creationId xmlns:a16="http://schemas.microsoft.com/office/drawing/2014/main" id="{1AF46B1C-E498-D2C9-D8BC-DB342243727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73" name="Shape 24">
            <a:extLst>
              <a:ext uri="{FF2B5EF4-FFF2-40B4-BE49-F238E27FC236}">
                <a16:creationId xmlns:a16="http://schemas.microsoft.com/office/drawing/2014/main" id="{843F6089-FD64-EE6D-BCA2-5FFC6270CF9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74" name="Shape 25">
            <a:extLst>
              <a:ext uri="{FF2B5EF4-FFF2-40B4-BE49-F238E27FC236}">
                <a16:creationId xmlns:a16="http://schemas.microsoft.com/office/drawing/2014/main" id="{55914847-B1FA-42E2-9EF7-E08BD830776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75" name="Shape 26">
            <a:extLst>
              <a:ext uri="{FF2B5EF4-FFF2-40B4-BE49-F238E27FC236}">
                <a16:creationId xmlns:a16="http://schemas.microsoft.com/office/drawing/2014/main" id="{4D33358C-165E-D702-8712-6DC8313C44C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76" name="Shape 27">
            <a:extLst>
              <a:ext uri="{FF2B5EF4-FFF2-40B4-BE49-F238E27FC236}">
                <a16:creationId xmlns:a16="http://schemas.microsoft.com/office/drawing/2014/main" id="{AA840719-5234-F096-3BB3-8910181683B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77" name="Shape 28">
            <a:extLst>
              <a:ext uri="{FF2B5EF4-FFF2-40B4-BE49-F238E27FC236}">
                <a16:creationId xmlns:a16="http://schemas.microsoft.com/office/drawing/2014/main" id="{AF7E5595-8CDB-6746-8869-8E24848995C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78" name="Shape 29">
            <a:extLst>
              <a:ext uri="{FF2B5EF4-FFF2-40B4-BE49-F238E27FC236}">
                <a16:creationId xmlns:a16="http://schemas.microsoft.com/office/drawing/2014/main" id="{2B66ECB5-687B-E895-45B8-B9DBA3106E2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79" name="Shape 30">
            <a:extLst>
              <a:ext uri="{FF2B5EF4-FFF2-40B4-BE49-F238E27FC236}">
                <a16:creationId xmlns:a16="http://schemas.microsoft.com/office/drawing/2014/main" id="{54F73B66-64DD-839B-66B9-6251EF52081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80" name="Shape 31">
            <a:extLst>
              <a:ext uri="{FF2B5EF4-FFF2-40B4-BE49-F238E27FC236}">
                <a16:creationId xmlns:a16="http://schemas.microsoft.com/office/drawing/2014/main" id="{574E4215-E610-82A8-32F8-9412A1BD83C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281" name="Group 32">
          <a:extLst>
            <a:ext uri="{FF2B5EF4-FFF2-40B4-BE49-F238E27FC236}">
              <a16:creationId xmlns:a16="http://schemas.microsoft.com/office/drawing/2014/main" id="{D37DE71E-8554-4A1D-AC0A-879757FD1B3B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282" name="Shape 33">
            <a:extLst>
              <a:ext uri="{FF2B5EF4-FFF2-40B4-BE49-F238E27FC236}">
                <a16:creationId xmlns:a16="http://schemas.microsoft.com/office/drawing/2014/main" id="{6F486CD1-C12D-BFC3-1F54-AAF07EAAE53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83" name="Shape 34">
            <a:extLst>
              <a:ext uri="{FF2B5EF4-FFF2-40B4-BE49-F238E27FC236}">
                <a16:creationId xmlns:a16="http://schemas.microsoft.com/office/drawing/2014/main" id="{8DA11896-85AF-2D74-0B50-199132A587E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84" name="Shape 35">
            <a:extLst>
              <a:ext uri="{FF2B5EF4-FFF2-40B4-BE49-F238E27FC236}">
                <a16:creationId xmlns:a16="http://schemas.microsoft.com/office/drawing/2014/main" id="{40DE054F-1215-67EC-69CB-8D21D8A850F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85" name="Shape 36">
            <a:extLst>
              <a:ext uri="{FF2B5EF4-FFF2-40B4-BE49-F238E27FC236}">
                <a16:creationId xmlns:a16="http://schemas.microsoft.com/office/drawing/2014/main" id="{48B93C26-6F63-2F68-7F8F-8028E1B8EF1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86" name="Shape 37">
            <a:extLst>
              <a:ext uri="{FF2B5EF4-FFF2-40B4-BE49-F238E27FC236}">
                <a16:creationId xmlns:a16="http://schemas.microsoft.com/office/drawing/2014/main" id="{F2B510DE-2F86-2E91-55C5-D3D6759818F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87" name="Shape 38">
            <a:extLst>
              <a:ext uri="{FF2B5EF4-FFF2-40B4-BE49-F238E27FC236}">
                <a16:creationId xmlns:a16="http://schemas.microsoft.com/office/drawing/2014/main" id="{7BC76D74-A237-94A7-1383-FACF44B8736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88" name="Shape 39">
            <a:extLst>
              <a:ext uri="{FF2B5EF4-FFF2-40B4-BE49-F238E27FC236}">
                <a16:creationId xmlns:a16="http://schemas.microsoft.com/office/drawing/2014/main" id="{29C9A1DB-3623-072A-D0E5-5E9D788973E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89" name="Shape 40">
            <a:extLst>
              <a:ext uri="{FF2B5EF4-FFF2-40B4-BE49-F238E27FC236}">
                <a16:creationId xmlns:a16="http://schemas.microsoft.com/office/drawing/2014/main" id="{7AA77A0F-1849-7FF1-7C10-4C43C17B69C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90" name="Shape 41">
            <a:extLst>
              <a:ext uri="{FF2B5EF4-FFF2-40B4-BE49-F238E27FC236}">
                <a16:creationId xmlns:a16="http://schemas.microsoft.com/office/drawing/2014/main" id="{7BF8A0BB-4404-EBCB-3CA8-8AAC36BE164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91" name="Shape 42">
            <a:extLst>
              <a:ext uri="{FF2B5EF4-FFF2-40B4-BE49-F238E27FC236}">
                <a16:creationId xmlns:a16="http://schemas.microsoft.com/office/drawing/2014/main" id="{C08B5B7E-D8DA-8680-BF58-CCCD5BBA3D3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92" name="Shape 43">
            <a:extLst>
              <a:ext uri="{FF2B5EF4-FFF2-40B4-BE49-F238E27FC236}">
                <a16:creationId xmlns:a16="http://schemas.microsoft.com/office/drawing/2014/main" id="{F29F9365-741E-43FD-23DF-6610B7089A4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93" name="Shape 44">
            <a:extLst>
              <a:ext uri="{FF2B5EF4-FFF2-40B4-BE49-F238E27FC236}">
                <a16:creationId xmlns:a16="http://schemas.microsoft.com/office/drawing/2014/main" id="{B417A304-C082-356E-A9E4-A7B37330F84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94" name="Shape 45">
            <a:extLst>
              <a:ext uri="{FF2B5EF4-FFF2-40B4-BE49-F238E27FC236}">
                <a16:creationId xmlns:a16="http://schemas.microsoft.com/office/drawing/2014/main" id="{C3CC35EA-96F6-D216-63CD-0F01D58350E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95" name="Shape 46">
            <a:extLst>
              <a:ext uri="{FF2B5EF4-FFF2-40B4-BE49-F238E27FC236}">
                <a16:creationId xmlns:a16="http://schemas.microsoft.com/office/drawing/2014/main" id="{912632B8-3F11-11F9-A588-C82AF72C058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296" name="Group 47">
          <a:extLst>
            <a:ext uri="{FF2B5EF4-FFF2-40B4-BE49-F238E27FC236}">
              <a16:creationId xmlns:a16="http://schemas.microsoft.com/office/drawing/2014/main" id="{C40D7E4F-DF1A-4980-A163-F7D82C49860A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297" name="Shape 48">
            <a:extLst>
              <a:ext uri="{FF2B5EF4-FFF2-40B4-BE49-F238E27FC236}">
                <a16:creationId xmlns:a16="http://schemas.microsoft.com/office/drawing/2014/main" id="{AECDC022-FFC3-097E-8656-5899783397A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298" name="Shape 49">
            <a:extLst>
              <a:ext uri="{FF2B5EF4-FFF2-40B4-BE49-F238E27FC236}">
                <a16:creationId xmlns:a16="http://schemas.microsoft.com/office/drawing/2014/main" id="{40244FBD-8C3D-C439-1CBC-C8E6F9E4F19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299" name="Shape 50">
            <a:extLst>
              <a:ext uri="{FF2B5EF4-FFF2-40B4-BE49-F238E27FC236}">
                <a16:creationId xmlns:a16="http://schemas.microsoft.com/office/drawing/2014/main" id="{9E890FF2-800D-BBAF-5CF9-B9487468ED5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00" name="Shape 51">
            <a:extLst>
              <a:ext uri="{FF2B5EF4-FFF2-40B4-BE49-F238E27FC236}">
                <a16:creationId xmlns:a16="http://schemas.microsoft.com/office/drawing/2014/main" id="{88AFE0AC-8FA4-D915-E58A-D82F37F157B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01" name="Shape 52">
            <a:extLst>
              <a:ext uri="{FF2B5EF4-FFF2-40B4-BE49-F238E27FC236}">
                <a16:creationId xmlns:a16="http://schemas.microsoft.com/office/drawing/2014/main" id="{E2369628-1E38-DEE9-EB28-89D24BCA3A4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02" name="Shape 53">
            <a:extLst>
              <a:ext uri="{FF2B5EF4-FFF2-40B4-BE49-F238E27FC236}">
                <a16:creationId xmlns:a16="http://schemas.microsoft.com/office/drawing/2014/main" id="{4921E21D-7CA9-1242-0382-C6EF2FDE3D2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03" name="Shape 54">
            <a:extLst>
              <a:ext uri="{FF2B5EF4-FFF2-40B4-BE49-F238E27FC236}">
                <a16:creationId xmlns:a16="http://schemas.microsoft.com/office/drawing/2014/main" id="{B9DC1900-2E4D-FBFF-B67E-44AB7633515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04" name="Shape 55">
            <a:extLst>
              <a:ext uri="{FF2B5EF4-FFF2-40B4-BE49-F238E27FC236}">
                <a16:creationId xmlns:a16="http://schemas.microsoft.com/office/drawing/2014/main" id="{7D0FD189-061E-D26E-3AA9-4A6728589C2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05" name="Shape 56">
            <a:extLst>
              <a:ext uri="{FF2B5EF4-FFF2-40B4-BE49-F238E27FC236}">
                <a16:creationId xmlns:a16="http://schemas.microsoft.com/office/drawing/2014/main" id="{F9EEED3D-766F-984F-9044-FB11C00FDE8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06" name="Shape 57">
            <a:extLst>
              <a:ext uri="{FF2B5EF4-FFF2-40B4-BE49-F238E27FC236}">
                <a16:creationId xmlns:a16="http://schemas.microsoft.com/office/drawing/2014/main" id="{7FF2C1D3-4CFB-71F4-E6C9-5361FB273E3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07" name="Shape 58">
            <a:extLst>
              <a:ext uri="{FF2B5EF4-FFF2-40B4-BE49-F238E27FC236}">
                <a16:creationId xmlns:a16="http://schemas.microsoft.com/office/drawing/2014/main" id="{76251E1A-1A6E-CBBD-30EA-B25F33E36C7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08" name="Shape 59">
            <a:extLst>
              <a:ext uri="{FF2B5EF4-FFF2-40B4-BE49-F238E27FC236}">
                <a16:creationId xmlns:a16="http://schemas.microsoft.com/office/drawing/2014/main" id="{CD51F26C-94AE-2093-BAFA-10B597C8696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09" name="Shape 60">
            <a:extLst>
              <a:ext uri="{FF2B5EF4-FFF2-40B4-BE49-F238E27FC236}">
                <a16:creationId xmlns:a16="http://schemas.microsoft.com/office/drawing/2014/main" id="{707E621F-0AAC-30EC-8D07-4644A0CB310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10" name="Shape 61">
            <a:extLst>
              <a:ext uri="{FF2B5EF4-FFF2-40B4-BE49-F238E27FC236}">
                <a16:creationId xmlns:a16="http://schemas.microsoft.com/office/drawing/2014/main" id="{3C36E0E0-37FA-3E15-F36C-A92F4DF9EC3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311" name="Group 62">
          <a:extLst>
            <a:ext uri="{FF2B5EF4-FFF2-40B4-BE49-F238E27FC236}">
              <a16:creationId xmlns:a16="http://schemas.microsoft.com/office/drawing/2014/main" id="{32A523C3-EADC-43A4-8E9E-8F27631BB9A5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312" name="Shape 63">
            <a:extLst>
              <a:ext uri="{FF2B5EF4-FFF2-40B4-BE49-F238E27FC236}">
                <a16:creationId xmlns:a16="http://schemas.microsoft.com/office/drawing/2014/main" id="{E34FCB7F-6E3A-B588-15A5-5410FA3FC1F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13" name="Shape 64">
            <a:extLst>
              <a:ext uri="{FF2B5EF4-FFF2-40B4-BE49-F238E27FC236}">
                <a16:creationId xmlns:a16="http://schemas.microsoft.com/office/drawing/2014/main" id="{CCB0F70D-B651-A210-7701-13ADAD50736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14" name="Shape 65">
            <a:extLst>
              <a:ext uri="{FF2B5EF4-FFF2-40B4-BE49-F238E27FC236}">
                <a16:creationId xmlns:a16="http://schemas.microsoft.com/office/drawing/2014/main" id="{C85814B6-E295-2063-A6ED-C14E6CEB973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15" name="Shape 66">
            <a:extLst>
              <a:ext uri="{FF2B5EF4-FFF2-40B4-BE49-F238E27FC236}">
                <a16:creationId xmlns:a16="http://schemas.microsoft.com/office/drawing/2014/main" id="{87779B66-131E-DB26-29DB-E84299B6ACF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16" name="Shape 67">
            <a:extLst>
              <a:ext uri="{FF2B5EF4-FFF2-40B4-BE49-F238E27FC236}">
                <a16:creationId xmlns:a16="http://schemas.microsoft.com/office/drawing/2014/main" id="{17ACDBEA-FA86-7F12-2227-6AC8A4487D8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17" name="Shape 68">
            <a:extLst>
              <a:ext uri="{FF2B5EF4-FFF2-40B4-BE49-F238E27FC236}">
                <a16:creationId xmlns:a16="http://schemas.microsoft.com/office/drawing/2014/main" id="{52FB9389-C515-F41E-AE3E-ADF368EE33B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18" name="Shape 69">
            <a:extLst>
              <a:ext uri="{FF2B5EF4-FFF2-40B4-BE49-F238E27FC236}">
                <a16:creationId xmlns:a16="http://schemas.microsoft.com/office/drawing/2014/main" id="{4BE29032-46A8-80D4-2C11-FDAECCBAFA7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19" name="Shape 70">
            <a:extLst>
              <a:ext uri="{FF2B5EF4-FFF2-40B4-BE49-F238E27FC236}">
                <a16:creationId xmlns:a16="http://schemas.microsoft.com/office/drawing/2014/main" id="{9FB688A0-6461-6A7A-EAE9-8826C262B6E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20" name="Shape 71">
            <a:extLst>
              <a:ext uri="{FF2B5EF4-FFF2-40B4-BE49-F238E27FC236}">
                <a16:creationId xmlns:a16="http://schemas.microsoft.com/office/drawing/2014/main" id="{C8CE4ECD-9B1D-8079-AE71-61C5EC36A2E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21" name="Shape 72">
            <a:extLst>
              <a:ext uri="{FF2B5EF4-FFF2-40B4-BE49-F238E27FC236}">
                <a16:creationId xmlns:a16="http://schemas.microsoft.com/office/drawing/2014/main" id="{E1EB1417-E11F-2FF9-884D-8397919715C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22" name="Shape 73">
            <a:extLst>
              <a:ext uri="{FF2B5EF4-FFF2-40B4-BE49-F238E27FC236}">
                <a16:creationId xmlns:a16="http://schemas.microsoft.com/office/drawing/2014/main" id="{E6000F20-DCE6-B10E-0F34-7E4AF505AC6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23" name="Shape 74">
            <a:extLst>
              <a:ext uri="{FF2B5EF4-FFF2-40B4-BE49-F238E27FC236}">
                <a16:creationId xmlns:a16="http://schemas.microsoft.com/office/drawing/2014/main" id="{B7B0FE78-BCAB-100E-6773-0F6A77578DE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24" name="Shape 75">
            <a:extLst>
              <a:ext uri="{FF2B5EF4-FFF2-40B4-BE49-F238E27FC236}">
                <a16:creationId xmlns:a16="http://schemas.microsoft.com/office/drawing/2014/main" id="{6F265783-E7EC-92EE-0EA4-6C89CBBC1A5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25" name="Shape 76">
            <a:extLst>
              <a:ext uri="{FF2B5EF4-FFF2-40B4-BE49-F238E27FC236}">
                <a16:creationId xmlns:a16="http://schemas.microsoft.com/office/drawing/2014/main" id="{B2D8E331-40A1-603E-8F11-8E1503443D9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326" name="Group 2">
          <a:extLst>
            <a:ext uri="{FF2B5EF4-FFF2-40B4-BE49-F238E27FC236}">
              <a16:creationId xmlns:a16="http://schemas.microsoft.com/office/drawing/2014/main" id="{96D38BDA-EF1B-46FE-AA6A-28FAA91847FE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327" name="Shape 3">
            <a:extLst>
              <a:ext uri="{FF2B5EF4-FFF2-40B4-BE49-F238E27FC236}">
                <a16:creationId xmlns:a16="http://schemas.microsoft.com/office/drawing/2014/main" id="{8CE95FAD-B90F-45CE-6D40-9B99EF0223B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28" name="Shape 4">
            <a:extLst>
              <a:ext uri="{FF2B5EF4-FFF2-40B4-BE49-F238E27FC236}">
                <a16:creationId xmlns:a16="http://schemas.microsoft.com/office/drawing/2014/main" id="{34DB7DE3-79BB-48DB-40A4-090E83EC955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29" name="Shape 5">
            <a:extLst>
              <a:ext uri="{FF2B5EF4-FFF2-40B4-BE49-F238E27FC236}">
                <a16:creationId xmlns:a16="http://schemas.microsoft.com/office/drawing/2014/main" id="{C5D9BFA1-140E-B992-EFC4-F12F5C90D0C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30" name="Shape 6">
            <a:extLst>
              <a:ext uri="{FF2B5EF4-FFF2-40B4-BE49-F238E27FC236}">
                <a16:creationId xmlns:a16="http://schemas.microsoft.com/office/drawing/2014/main" id="{F7075BEF-77CB-C0B9-7BBB-0C3117EFF06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31" name="Shape 7">
            <a:extLst>
              <a:ext uri="{FF2B5EF4-FFF2-40B4-BE49-F238E27FC236}">
                <a16:creationId xmlns:a16="http://schemas.microsoft.com/office/drawing/2014/main" id="{8CA6EE03-A06F-0D16-71C5-78D872F9C6E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32" name="Shape 8">
            <a:extLst>
              <a:ext uri="{FF2B5EF4-FFF2-40B4-BE49-F238E27FC236}">
                <a16:creationId xmlns:a16="http://schemas.microsoft.com/office/drawing/2014/main" id="{63947409-DF43-86E2-FCEC-352D7C50B16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33" name="Shape 9">
            <a:extLst>
              <a:ext uri="{FF2B5EF4-FFF2-40B4-BE49-F238E27FC236}">
                <a16:creationId xmlns:a16="http://schemas.microsoft.com/office/drawing/2014/main" id="{909D4B02-C6E8-4DFF-91CB-54107182497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34" name="Shape 10">
            <a:extLst>
              <a:ext uri="{FF2B5EF4-FFF2-40B4-BE49-F238E27FC236}">
                <a16:creationId xmlns:a16="http://schemas.microsoft.com/office/drawing/2014/main" id="{D7CF041C-6ED5-B45E-AB8D-E2283149C8D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35" name="Shape 11">
            <a:extLst>
              <a:ext uri="{FF2B5EF4-FFF2-40B4-BE49-F238E27FC236}">
                <a16:creationId xmlns:a16="http://schemas.microsoft.com/office/drawing/2014/main" id="{EBBB0A07-8AD5-5D68-CC9B-13D05ED82F5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36" name="Shape 12">
            <a:extLst>
              <a:ext uri="{FF2B5EF4-FFF2-40B4-BE49-F238E27FC236}">
                <a16:creationId xmlns:a16="http://schemas.microsoft.com/office/drawing/2014/main" id="{20B4A10A-B124-CE6D-9E56-8C030049F3C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37" name="Shape 13">
            <a:extLst>
              <a:ext uri="{FF2B5EF4-FFF2-40B4-BE49-F238E27FC236}">
                <a16:creationId xmlns:a16="http://schemas.microsoft.com/office/drawing/2014/main" id="{C8AFF0D0-FC5A-13EF-173F-B937660B300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38" name="Shape 14">
            <a:extLst>
              <a:ext uri="{FF2B5EF4-FFF2-40B4-BE49-F238E27FC236}">
                <a16:creationId xmlns:a16="http://schemas.microsoft.com/office/drawing/2014/main" id="{ED6F5ABB-F7C7-DBDE-7423-A99188E6303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39" name="Shape 15">
            <a:extLst>
              <a:ext uri="{FF2B5EF4-FFF2-40B4-BE49-F238E27FC236}">
                <a16:creationId xmlns:a16="http://schemas.microsoft.com/office/drawing/2014/main" id="{4ED91489-D4D9-6289-780D-26B3C43C5C2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40" name="Shape 16">
            <a:extLst>
              <a:ext uri="{FF2B5EF4-FFF2-40B4-BE49-F238E27FC236}">
                <a16:creationId xmlns:a16="http://schemas.microsoft.com/office/drawing/2014/main" id="{76643E37-74D1-6427-3E96-F41F09A938C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341" name="Group 17">
          <a:extLst>
            <a:ext uri="{FF2B5EF4-FFF2-40B4-BE49-F238E27FC236}">
              <a16:creationId xmlns:a16="http://schemas.microsoft.com/office/drawing/2014/main" id="{0FF77B97-A2B9-4675-8247-78A32A459089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342" name="Shape 18">
            <a:extLst>
              <a:ext uri="{FF2B5EF4-FFF2-40B4-BE49-F238E27FC236}">
                <a16:creationId xmlns:a16="http://schemas.microsoft.com/office/drawing/2014/main" id="{B6F65B6C-1387-152A-F0C4-0391C994915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43" name="Shape 19">
            <a:extLst>
              <a:ext uri="{FF2B5EF4-FFF2-40B4-BE49-F238E27FC236}">
                <a16:creationId xmlns:a16="http://schemas.microsoft.com/office/drawing/2014/main" id="{210958CE-B1D7-C02D-4113-98F94217DF6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44" name="Shape 20">
            <a:extLst>
              <a:ext uri="{FF2B5EF4-FFF2-40B4-BE49-F238E27FC236}">
                <a16:creationId xmlns:a16="http://schemas.microsoft.com/office/drawing/2014/main" id="{42D4A16B-A0DE-4237-C58A-CCDE7F0C0A1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45" name="Shape 21">
            <a:extLst>
              <a:ext uri="{FF2B5EF4-FFF2-40B4-BE49-F238E27FC236}">
                <a16:creationId xmlns:a16="http://schemas.microsoft.com/office/drawing/2014/main" id="{30CDC434-B5D8-91EF-A88F-76192A46271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46" name="Shape 22">
            <a:extLst>
              <a:ext uri="{FF2B5EF4-FFF2-40B4-BE49-F238E27FC236}">
                <a16:creationId xmlns:a16="http://schemas.microsoft.com/office/drawing/2014/main" id="{CAE62A48-F58D-3255-DE88-A89D64B6F0E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47" name="Shape 23">
            <a:extLst>
              <a:ext uri="{FF2B5EF4-FFF2-40B4-BE49-F238E27FC236}">
                <a16:creationId xmlns:a16="http://schemas.microsoft.com/office/drawing/2014/main" id="{F8602818-D603-2F79-5136-B95986EB989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48" name="Shape 24">
            <a:extLst>
              <a:ext uri="{FF2B5EF4-FFF2-40B4-BE49-F238E27FC236}">
                <a16:creationId xmlns:a16="http://schemas.microsoft.com/office/drawing/2014/main" id="{78C22F09-F36B-6DBC-4CD4-7E1CD907842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49" name="Shape 25">
            <a:extLst>
              <a:ext uri="{FF2B5EF4-FFF2-40B4-BE49-F238E27FC236}">
                <a16:creationId xmlns:a16="http://schemas.microsoft.com/office/drawing/2014/main" id="{484592A5-1856-047E-9E62-E18E234D225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50" name="Shape 26">
            <a:extLst>
              <a:ext uri="{FF2B5EF4-FFF2-40B4-BE49-F238E27FC236}">
                <a16:creationId xmlns:a16="http://schemas.microsoft.com/office/drawing/2014/main" id="{4A6CB944-03E6-D51B-77D8-D2B2D142ACF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51" name="Shape 27">
            <a:extLst>
              <a:ext uri="{FF2B5EF4-FFF2-40B4-BE49-F238E27FC236}">
                <a16:creationId xmlns:a16="http://schemas.microsoft.com/office/drawing/2014/main" id="{A64AA7E7-990D-269B-2D27-444BFEC56FA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52" name="Shape 28">
            <a:extLst>
              <a:ext uri="{FF2B5EF4-FFF2-40B4-BE49-F238E27FC236}">
                <a16:creationId xmlns:a16="http://schemas.microsoft.com/office/drawing/2014/main" id="{8D4DAD13-1E62-D39A-8294-897E59814E9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53" name="Shape 29">
            <a:extLst>
              <a:ext uri="{FF2B5EF4-FFF2-40B4-BE49-F238E27FC236}">
                <a16:creationId xmlns:a16="http://schemas.microsoft.com/office/drawing/2014/main" id="{8E61D174-68DE-A288-DC4A-AB3E62306BC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54" name="Shape 30">
            <a:extLst>
              <a:ext uri="{FF2B5EF4-FFF2-40B4-BE49-F238E27FC236}">
                <a16:creationId xmlns:a16="http://schemas.microsoft.com/office/drawing/2014/main" id="{8A0CEC5A-C13E-FD5E-AF00-7BB79165F1A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55" name="Shape 31">
            <a:extLst>
              <a:ext uri="{FF2B5EF4-FFF2-40B4-BE49-F238E27FC236}">
                <a16:creationId xmlns:a16="http://schemas.microsoft.com/office/drawing/2014/main" id="{403BBE06-395F-CCFC-6EA2-87B0D6A3D3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356" name="Group 32">
          <a:extLst>
            <a:ext uri="{FF2B5EF4-FFF2-40B4-BE49-F238E27FC236}">
              <a16:creationId xmlns:a16="http://schemas.microsoft.com/office/drawing/2014/main" id="{14CB8EAE-FDE9-418A-A172-31B13BFE3C42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357" name="Shape 33">
            <a:extLst>
              <a:ext uri="{FF2B5EF4-FFF2-40B4-BE49-F238E27FC236}">
                <a16:creationId xmlns:a16="http://schemas.microsoft.com/office/drawing/2014/main" id="{2C47D141-ED2E-FCB7-33E8-64E8CC5339E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58" name="Shape 34">
            <a:extLst>
              <a:ext uri="{FF2B5EF4-FFF2-40B4-BE49-F238E27FC236}">
                <a16:creationId xmlns:a16="http://schemas.microsoft.com/office/drawing/2014/main" id="{BDA58634-C215-DD2A-3985-6CD4243884A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59" name="Shape 35">
            <a:extLst>
              <a:ext uri="{FF2B5EF4-FFF2-40B4-BE49-F238E27FC236}">
                <a16:creationId xmlns:a16="http://schemas.microsoft.com/office/drawing/2014/main" id="{0C3F642F-1C98-67B0-07FC-E6E35E54BA9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60" name="Shape 36">
            <a:extLst>
              <a:ext uri="{FF2B5EF4-FFF2-40B4-BE49-F238E27FC236}">
                <a16:creationId xmlns:a16="http://schemas.microsoft.com/office/drawing/2014/main" id="{EC138D5E-6E0E-823C-187A-9647F7E6A51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61" name="Shape 37">
            <a:extLst>
              <a:ext uri="{FF2B5EF4-FFF2-40B4-BE49-F238E27FC236}">
                <a16:creationId xmlns:a16="http://schemas.microsoft.com/office/drawing/2014/main" id="{AA365DA8-8E19-0BE7-C246-4AABE915278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62" name="Shape 38">
            <a:extLst>
              <a:ext uri="{FF2B5EF4-FFF2-40B4-BE49-F238E27FC236}">
                <a16:creationId xmlns:a16="http://schemas.microsoft.com/office/drawing/2014/main" id="{09BC1268-6C41-71AE-7291-D0CAC07BF24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63" name="Shape 39">
            <a:extLst>
              <a:ext uri="{FF2B5EF4-FFF2-40B4-BE49-F238E27FC236}">
                <a16:creationId xmlns:a16="http://schemas.microsoft.com/office/drawing/2014/main" id="{FF63F139-E3DF-8AD3-A7EF-9697DCEA331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64" name="Shape 40">
            <a:extLst>
              <a:ext uri="{FF2B5EF4-FFF2-40B4-BE49-F238E27FC236}">
                <a16:creationId xmlns:a16="http://schemas.microsoft.com/office/drawing/2014/main" id="{2A6DDE49-07CA-196D-DAFB-570CB76616C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65" name="Shape 41">
            <a:extLst>
              <a:ext uri="{FF2B5EF4-FFF2-40B4-BE49-F238E27FC236}">
                <a16:creationId xmlns:a16="http://schemas.microsoft.com/office/drawing/2014/main" id="{E17AE05A-0003-8E64-A09A-B990D47560F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66" name="Shape 42">
            <a:extLst>
              <a:ext uri="{FF2B5EF4-FFF2-40B4-BE49-F238E27FC236}">
                <a16:creationId xmlns:a16="http://schemas.microsoft.com/office/drawing/2014/main" id="{02CFEC4C-F5C2-02B5-C171-FA95088CE86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67" name="Shape 43">
            <a:extLst>
              <a:ext uri="{FF2B5EF4-FFF2-40B4-BE49-F238E27FC236}">
                <a16:creationId xmlns:a16="http://schemas.microsoft.com/office/drawing/2014/main" id="{D53EA3C2-83E5-006C-0BC7-C4D74B8ED5E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68" name="Shape 44">
            <a:extLst>
              <a:ext uri="{FF2B5EF4-FFF2-40B4-BE49-F238E27FC236}">
                <a16:creationId xmlns:a16="http://schemas.microsoft.com/office/drawing/2014/main" id="{9649667A-4888-DE18-D556-0930344B361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69" name="Shape 45">
            <a:extLst>
              <a:ext uri="{FF2B5EF4-FFF2-40B4-BE49-F238E27FC236}">
                <a16:creationId xmlns:a16="http://schemas.microsoft.com/office/drawing/2014/main" id="{8F5F9E47-48DB-F687-D635-8611DB4D9BF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70" name="Shape 46">
            <a:extLst>
              <a:ext uri="{FF2B5EF4-FFF2-40B4-BE49-F238E27FC236}">
                <a16:creationId xmlns:a16="http://schemas.microsoft.com/office/drawing/2014/main" id="{58799D3E-5DEE-72FB-F409-8D42D0AF722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371" name="Group 47">
          <a:extLst>
            <a:ext uri="{FF2B5EF4-FFF2-40B4-BE49-F238E27FC236}">
              <a16:creationId xmlns:a16="http://schemas.microsoft.com/office/drawing/2014/main" id="{C13C412A-6F11-4A86-B9C8-46D7C9E17889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372" name="Shape 48">
            <a:extLst>
              <a:ext uri="{FF2B5EF4-FFF2-40B4-BE49-F238E27FC236}">
                <a16:creationId xmlns:a16="http://schemas.microsoft.com/office/drawing/2014/main" id="{78178584-A4BA-5CBF-4A8C-31F6CB6E4C1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73" name="Shape 49">
            <a:extLst>
              <a:ext uri="{FF2B5EF4-FFF2-40B4-BE49-F238E27FC236}">
                <a16:creationId xmlns:a16="http://schemas.microsoft.com/office/drawing/2014/main" id="{D875782F-01BC-B38B-F4EA-EF3FD53940A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74" name="Shape 50">
            <a:extLst>
              <a:ext uri="{FF2B5EF4-FFF2-40B4-BE49-F238E27FC236}">
                <a16:creationId xmlns:a16="http://schemas.microsoft.com/office/drawing/2014/main" id="{D737D06C-8FEF-D7A7-9025-DF52691E9B1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75" name="Shape 51">
            <a:extLst>
              <a:ext uri="{FF2B5EF4-FFF2-40B4-BE49-F238E27FC236}">
                <a16:creationId xmlns:a16="http://schemas.microsoft.com/office/drawing/2014/main" id="{1C3A4B04-6B89-E4F6-9856-E94A6637849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76" name="Shape 52">
            <a:extLst>
              <a:ext uri="{FF2B5EF4-FFF2-40B4-BE49-F238E27FC236}">
                <a16:creationId xmlns:a16="http://schemas.microsoft.com/office/drawing/2014/main" id="{2874804A-7A3A-70EF-7667-AD4E3621147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77" name="Shape 53">
            <a:extLst>
              <a:ext uri="{FF2B5EF4-FFF2-40B4-BE49-F238E27FC236}">
                <a16:creationId xmlns:a16="http://schemas.microsoft.com/office/drawing/2014/main" id="{D70E6A59-DC54-21DD-46FD-47A7B7FF839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78" name="Shape 54">
            <a:extLst>
              <a:ext uri="{FF2B5EF4-FFF2-40B4-BE49-F238E27FC236}">
                <a16:creationId xmlns:a16="http://schemas.microsoft.com/office/drawing/2014/main" id="{DD72BD19-0BD3-CFEC-A455-B04207A7542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79" name="Shape 55">
            <a:extLst>
              <a:ext uri="{FF2B5EF4-FFF2-40B4-BE49-F238E27FC236}">
                <a16:creationId xmlns:a16="http://schemas.microsoft.com/office/drawing/2014/main" id="{37E7A04C-1E08-795C-4C05-9572971A3AC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80" name="Shape 56">
            <a:extLst>
              <a:ext uri="{FF2B5EF4-FFF2-40B4-BE49-F238E27FC236}">
                <a16:creationId xmlns:a16="http://schemas.microsoft.com/office/drawing/2014/main" id="{345AA321-E017-0572-5894-8323F6A6E49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81" name="Shape 57">
            <a:extLst>
              <a:ext uri="{FF2B5EF4-FFF2-40B4-BE49-F238E27FC236}">
                <a16:creationId xmlns:a16="http://schemas.microsoft.com/office/drawing/2014/main" id="{ECDE7000-767F-8DC2-1852-6F8F901C0EC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82" name="Shape 58">
            <a:extLst>
              <a:ext uri="{FF2B5EF4-FFF2-40B4-BE49-F238E27FC236}">
                <a16:creationId xmlns:a16="http://schemas.microsoft.com/office/drawing/2014/main" id="{E6FD2070-803D-4D2F-1662-9AE4E623D8F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83" name="Shape 59">
            <a:extLst>
              <a:ext uri="{FF2B5EF4-FFF2-40B4-BE49-F238E27FC236}">
                <a16:creationId xmlns:a16="http://schemas.microsoft.com/office/drawing/2014/main" id="{10208B94-8BB4-912C-4B94-59F191C550E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84" name="Shape 60">
            <a:extLst>
              <a:ext uri="{FF2B5EF4-FFF2-40B4-BE49-F238E27FC236}">
                <a16:creationId xmlns:a16="http://schemas.microsoft.com/office/drawing/2014/main" id="{D8A0D701-04BE-37F9-9B30-4419B4A15CB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385" name="Shape 61">
            <a:extLst>
              <a:ext uri="{FF2B5EF4-FFF2-40B4-BE49-F238E27FC236}">
                <a16:creationId xmlns:a16="http://schemas.microsoft.com/office/drawing/2014/main" id="{9CF73EFB-1FFD-6D97-32CD-83B52586413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386" name="Group 62">
          <a:extLst>
            <a:ext uri="{FF2B5EF4-FFF2-40B4-BE49-F238E27FC236}">
              <a16:creationId xmlns:a16="http://schemas.microsoft.com/office/drawing/2014/main" id="{62934A1F-7C79-4A6F-A5E1-5CEECB41493B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387" name="Shape 63">
            <a:extLst>
              <a:ext uri="{FF2B5EF4-FFF2-40B4-BE49-F238E27FC236}">
                <a16:creationId xmlns:a16="http://schemas.microsoft.com/office/drawing/2014/main" id="{4D5E62E8-6C8A-8650-F661-F7C36EFB858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88" name="Shape 64">
            <a:extLst>
              <a:ext uri="{FF2B5EF4-FFF2-40B4-BE49-F238E27FC236}">
                <a16:creationId xmlns:a16="http://schemas.microsoft.com/office/drawing/2014/main" id="{EEFB8025-F618-85E1-37DE-AC9E1E4BFF5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89" name="Shape 65">
            <a:extLst>
              <a:ext uri="{FF2B5EF4-FFF2-40B4-BE49-F238E27FC236}">
                <a16:creationId xmlns:a16="http://schemas.microsoft.com/office/drawing/2014/main" id="{0F558ABA-35C0-E205-DFF0-31377D35967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90" name="Shape 66">
            <a:extLst>
              <a:ext uri="{FF2B5EF4-FFF2-40B4-BE49-F238E27FC236}">
                <a16:creationId xmlns:a16="http://schemas.microsoft.com/office/drawing/2014/main" id="{6AF2E4F5-6AA4-1CF4-6D5A-59139C63BF3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91" name="Shape 67">
            <a:extLst>
              <a:ext uri="{FF2B5EF4-FFF2-40B4-BE49-F238E27FC236}">
                <a16:creationId xmlns:a16="http://schemas.microsoft.com/office/drawing/2014/main" id="{53C089CA-A14C-C866-69BA-21D20891E5C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92" name="Shape 68">
            <a:extLst>
              <a:ext uri="{FF2B5EF4-FFF2-40B4-BE49-F238E27FC236}">
                <a16:creationId xmlns:a16="http://schemas.microsoft.com/office/drawing/2014/main" id="{DF8EB5BC-0C79-1A75-ED07-E910018D0AA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93" name="Shape 69">
            <a:extLst>
              <a:ext uri="{FF2B5EF4-FFF2-40B4-BE49-F238E27FC236}">
                <a16:creationId xmlns:a16="http://schemas.microsoft.com/office/drawing/2014/main" id="{0FD3F5E4-27EF-9787-54D0-C8B8A5867D2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94" name="Shape 70">
            <a:extLst>
              <a:ext uri="{FF2B5EF4-FFF2-40B4-BE49-F238E27FC236}">
                <a16:creationId xmlns:a16="http://schemas.microsoft.com/office/drawing/2014/main" id="{AF8113AA-C01F-CEB8-93E3-9C8F27E7A6B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95" name="Shape 71">
            <a:extLst>
              <a:ext uri="{FF2B5EF4-FFF2-40B4-BE49-F238E27FC236}">
                <a16:creationId xmlns:a16="http://schemas.microsoft.com/office/drawing/2014/main" id="{C010F40E-1BF7-0641-83E9-ED4F22F91CD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96" name="Shape 72">
            <a:extLst>
              <a:ext uri="{FF2B5EF4-FFF2-40B4-BE49-F238E27FC236}">
                <a16:creationId xmlns:a16="http://schemas.microsoft.com/office/drawing/2014/main" id="{BDE5B849-3A8E-3CE6-0262-26A5D6F7815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97" name="Shape 73">
            <a:extLst>
              <a:ext uri="{FF2B5EF4-FFF2-40B4-BE49-F238E27FC236}">
                <a16:creationId xmlns:a16="http://schemas.microsoft.com/office/drawing/2014/main" id="{128B1069-C142-0C7F-560C-CDB36F74160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398" name="Shape 74">
            <a:extLst>
              <a:ext uri="{FF2B5EF4-FFF2-40B4-BE49-F238E27FC236}">
                <a16:creationId xmlns:a16="http://schemas.microsoft.com/office/drawing/2014/main" id="{CDFD4B59-AAA5-76E3-4FD7-68187507BE3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399" name="Shape 75">
            <a:extLst>
              <a:ext uri="{FF2B5EF4-FFF2-40B4-BE49-F238E27FC236}">
                <a16:creationId xmlns:a16="http://schemas.microsoft.com/office/drawing/2014/main" id="{0D05BFFD-4A45-E89B-8E8E-A7B840A401D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400" name="Shape 76">
            <a:extLst>
              <a:ext uri="{FF2B5EF4-FFF2-40B4-BE49-F238E27FC236}">
                <a16:creationId xmlns:a16="http://schemas.microsoft.com/office/drawing/2014/main" id="{9BDD0DB3-B466-78D2-E1E0-B1331825C37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401" name="Group 2">
          <a:extLst>
            <a:ext uri="{FF2B5EF4-FFF2-40B4-BE49-F238E27FC236}">
              <a16:creationId xmlns:a16="http://schemas.microsoft.com/office/drawing/2014/main" id="{3ECCE22F-0480-48BF-9597-0A266C732FC8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402" name="Shape 3">
            <a:extLst>
              <a:ext uri="{FF2B5EF4-FFF2-40B4-BE49-F238E27FC236}">
                <a16:creationId xmlns:a16="http://schemas.microsoft.com/office/drawing/2014/main" id="{F4F9F7AA-B489-2269-195D-AAA2BEBEBDA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03" name="Shape 4">
            <a:extLst>
              <a:ext uri="{FF2B5EF4-FFF2-40B4-BE49-F238E27FC236}">
                <a16:creationId xmlns:a16="http://schemas.microsoft.com/office/drawing/2014/main" id="{6BABAF96-CF78-43F0-298B-811E919DEE3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04" name="Shape 5">
            <a:extLst>
              <a:ext uri="{FF2B5EF4-FFF2-40B4-BE49-F238E27FC236}">
                <a16:creationId xmlns:a16="http://schemas.microsoft.com/office/drawing/2014/main" id="{159E80AC-CE83-6AAC-F5EF-197D96AD4DE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05" name="Shape 6">
            <a:extLst>
              <a:ext uri="{FF2B5EF4-FFF2-40B4-BE49-F238E27FC236}">
                <a16:creationId xmlns:a16="http://schemas.microsoft.com/office/drawing/2014/main" id="{BC5E9269-5663-57C0-93A7-8F2E17810E2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06" name="Shape 7">
            <a:extLst>
              <a:ext uri="{FF2B5EF4-FFF2-40B4-BE49-F238E27FC236}">
                <a16:creationId xmlns:a16="http://schemas.microsoft.com/office/drawing/2014/main" id="{825DFD2D-B06B-AA04-03B6-A122DBF733E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07" name="Shape 8">
            <a:extLst>
              <a:ext uri="{FF2B5EF4-FFF2-40B4-BE49-F238E27FC236}">
                <a16:creationId xmlns:a16="http://schemas.microsoft.com/office/drawing/2014/main" id="{7804FEA0-F999-B9B9-D52C-3BFC9F89B58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08" name="Shape 9">
            <a:extLst>
              <a:ext uri="{FF2B5EF4-FFF2-40B4-BE49-F238E27FC236}">
                <a16:creationId xmlns:a16="http://schemas.microsoft.com/office/drawing/2014/main" id="{B1D08482-611F-3AD7-A0B8-B4E7BB39F93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09" name="Shape 10">
            <a:extLst>
              <a:ext uri="{FF2B5EF4-FFF2-40B4-BE49-F238E27FC236}">
                <a16:creationId xmlns:a16="http://schemas.microsoft.com/office/drawing/2014/main" id="{EE0C886E-5DCB-0AC6-3A46-9DC42265C0F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10" name="Shape 11">
            <a:extLst>
              <a:ext uri="{FF2B5EF4-FFF2-40B4-BE49-F238E27FC236}">
                <a16:creationId xmlns:a16="http://schemas.microsoft.com/office/drawing/2014/main" id="{76AA4026-FAAE-39D4-C16E-D8DBB0067CD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11" name="Shape 12">
            <a:extLst>
              <a:ext uri="{FF2B5EF4-FFF2-40B4-BE49-F238E27FC236}">
                <a16:creationId xmlns:a16="http://schemas.microsoft.com/office/drawing/2014/main" id="{41D2E1E5-D669-5FA6-20D2-6FA2BBFA98A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12" name="Shape 13">
            <a:extLst>
              <a:ext uri="{FF2B5EF4-FFF2-40B4-BE49-F238E27FC236}">
                <a16:creationId xmlns:a16="http://schemas.microsoft.com/office/drawing/2014/main" id="{59FF3AF6-8DF9-5027-AA70-DF9F63A6C9E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13" name="Shape 14">
            <a:extLst>
              <a:ext uri="{FF2B5EF4-FFF2-40B4-BE49-F238E27FC236}">
                <a16:creationId xmlns:a16="http://schemas.microsoft.com/office/drawing/2014/main" id="{FC9D2CCD-864A-407C-CF3C-875BF358C28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14" name="Shape 15">
            <a:extLst>
              <a:ext uri="{FF2B5EF4-FFF2-40B4-BE49-F238E27FC236}">
                <a16:creationId xmlns:a16="http://schemas.microsoft.com/office/drawing/2014/main" id="{A48B5CF8-20F5-CDC8-EAA5-DD8DF3D3BE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15" name="Shape 16">
            <a:extLst>
              <a:ext uri="{FF2B5EF4-FFF2-40B4-BE49-F238E27FC236}">
                <a16:creationId xmlns:a16="http://schemas.microsoft.com/office/drawing/2014/main" id="{4FBEFD3D-1684-CDB5-733B-817D3B9CCD3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416" name="Group 17">
          <a:extLst>
            <a:ext uri="{FF2B5EF4-FFF2-40B4-BE49-F238E27FC236}">
              <a16:creationId xmlns:a16="http://schemas.microsoft.com/office/drawing/2014/main" id="{D8884BAE-A067-4A7E-8481-3E1C17A54B9D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417" name="Shape 18">
            <a:extLst>
              <a:ext uri="{FF2B5EF4-FFF2-40B4-BE49-F238E27FC236}">
                <a16:creationId xmlns:a16="http://schemas.microsoft.com/office/drawing/2014/main" id="{0E145B88-D9BC-CB04-257C-8406D7FDF75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18" name="Shape 19">
            <a:extLst>
              <a:ext uri="{FF2B5EF4-FFF2-40B4-BE49-F238E27FC236}">
                <a16:creationId xmlns:a16="http://schemas.microsoft.com/office/drawing/2014/main" id="{51B5ECC8-895C-CB4D-0806-D835DA5F6F1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19" name="Shape 20">
            <a:extLst>
              <a:ext uri="{FF2B5EF4-FFF2-40B4-BE49-F238E27FC236}">
                <a16:creationId xmlns:a16="http://schemas.microsoft.com/office/drawing/2014/main" id="{8FD163F0-48D0-525D-28AE-07A42FB77CE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20" name="Shape 21">
            <a:extLst>
              <a:ext uri="{FF2B5EF4-FFF2-40B4-BE49-F238E27FC236}">
                <a16:creationId xmlns:a16="http://schemas.microsoft.com/office/drawing/2014/main" id="{B79E3F5B-0A8B-3C1B-C8EB-1E2B7566EC8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21" name="Shape 22">
            <a:extLst>
              <a:ext uri="{FF2B5EF4-FFF2-40B4-BE49-F238E27FC236}">
                <a16:creationId xmlns:a16="http://schemas.microsoft.com/office/drawing/2014/main" id="{B7522DAE-393A-8759-3448-09A942E94B9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22" name="Shape 23">
            <a:extLst>
              <a:ext uri="{FF2B5EF4-FFF2-40B4-BE49-F238E27FC236}">
                <a16:creationId xmlns:a16="http://schemas.microsoft.com/office/drawing/2014/main" id="{DBDF84AF-4BD8-CA6E-8E7C-C016020E68D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23" name="Shape 24">
            <a:extLst>
              <a:ext uri="{FF2B5EF4-FFF2-40B4-BE49-F238E27FC236}">
                <a16:creationId xmlns:a16="http://schemas.microsoft.com/office/drawing/2014/main" id="{60D449E9-2732-15FF-3B35-3C99D6C0321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24" name="Shape 25">
            <a:extLst>
              <a:ext uri="{FF2B5EF4-FFF2-40B4-BE49-F238E27FC236}">
                <a16:creationId xmlns:a16="http://schemas.microsoft.com/office/drawing/2014/main" id="{091241E9-0822-B0EE-CEDF-D4EECEDFCF4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25" name="Shape 26">
            <a:extLst>
              <a:ext uri="{FF2B5EF4-FFF2-40B4-BE49-F238E27FC236}">
                <a16:creationId xmlns:a16="http://schemas.microsoft.com/office/drawing/2014/main" id="{FDAD8CC2-B7D7-E06F-4CB3-0AC8AF35B6C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26" name="Shape 27">
            <a:extLst>
              <a:ext uri="{FF2B5EF4-FFF2-40B4-BE49-F238E27FC236}">
                <a16:creationId xmlns:a16="http://schemas.microsoft.com/office/drawing/2014/main" id="{D5B9651E-F2C5-E005-1A36-ED88EAE95D5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27" name="Shape 28">
            <a:extLst>
              <a:ext uri="{FF2B5EF4-FFF2-40B4-BE49-F238E27FC236}">
                <a16:creationId xmlns:a16="http://schemas.microsoft.com/office/drawing/2014/main" id="{95A79CF5-3634-66E4-9AAD-4778EDC2FC0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28" name="Shape 29">
            <a:extLst>
              <a:ext uri="{FF2B5EF4-FFF2-40B4-BE49-F238E27FC236}">
                <a16:creationId xmlns:a16="http://schemas.microsoft.com/office/drawing/2014/main" id="{ADE0F7C7-D93D-A54D-A478-5B1377756A3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29" name="Shape 30">
            <a:extLst>
              <a:ext uri="{FF2B5EF4-FFF2-40B4-BE49-F238E27FC236}">
                <a16:creationId xmlns:a16="http://schemas.microsoft.com/office/drawing/2014/main" id="{73583CAE-D7AC-317E-029A-DC56BAA62F2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30" name="Shape 31">
            <a:extLst>
              <a:ext uri="{FF2B5EF4-FFF2-40B4-BE49-F238E27FC236}">
                <a16:creationId xmlns:a16="http://schemas.microsoft.com/office/drawing/2014/main" id="{0E0B8775-A652-D53F-83E8-68B2A69CFEA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431" name="Group 32">
          <a:extLst>
            <a:ext uri="{FF2B5EF4-FFF2-40B4-BE49-F238E27FC236}">
              <a16:creationId xmlns:a16="http://schemas.microsoft.com/office/drawing/2014/main" id="{AFB6B133-938B-46C5-861C-1D4524AD468F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432" name="Shape 33">
            <a:extLst>
              <a:ext uri="{FF2B5EF4-FFF2-40B4-BE49-F238E27FC236}">
                <a16:creationId xmlns:a16="http://schemas.microsoft.com/office/drawing/2014/main" id="{744AE351-C426-5A6B-FC9D-9707FEC3682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33" name="Shape 34">
            <a:extLst>
              <a:ext uri="{FF2B5EF4-FFF2-40B4-BE49-F238E27FC236}">
                <a16:creationId xmlns:a16="http://schemas.microsoft.com/office/drawing/2014/main" id="{429DC90B-2BE5-9D57-7F4D-2D0CA8006FD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34" name="Shape 35">
            <a:extLst>
              <a:ext uri="{FF2B5EF4-FFF2-40B4-BE49-F238E27FC236}">
                <a16:creationId xmlns:a16="http://schemas.microsoft.com/office/drawing/2014/main" id="{F1AE3CD9-AC7C-C7C5-F5EC-373CD5606AE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35" name="Shape 36">
            <a:extLst>
              <a:ext uri="{FF2B5EF4-FFF2-40B4-BE49-F238E27FC236}">
                <a16:creationId xmlns:a16="http://schemas.microsoft.com/office/drawing/2014/main" id="{9FE8A9C3-1758-CD0B-76AC-0FDC290D7CF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36" name="Shape 37">
            <a:extLst>
              <a:ext uri="{FF2B5EF4-FFF2-40B4-BE49-F238E27FC236}">
                <a16:creationId xmlns:a16="http://schemas.microsoft.com/office/drawing/2014/main" id="{E4B08D9F-6DE5-0EC7-DFAC-6BDEC88788A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37" name="Shape 38">
            <a:extLst>
              <a:ext uri="{FF2B5EF4-FFF2-40B4-BE49-F238E27FC236}">
                <a16:creationId xmlns:a16="http://schemas.microsoft.com/office/drawing/2014/main" id="{C84CB751-0B2F-2D1C-9B0F-6491FA5DB90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38" name="Shape 39">
            <a:extLst>
              <a:ext uri="{FF2B5EF4-FFF2-40B4-BE49-F238E27FC236}">
                <a16:creationId xmlns:a16="http://schemas.microsoft.com/office/drawing/2014/main" id="{8F1EFB58-E35B-B035-A5F8-C742764E66D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39" name="Shape 40">
            <a:extLst>
              <a:ext uri="{FF2B5EF4-FFF2-40B4-BE49-F238E27FC236}">
                <a16:creationId xmlns:a16="http://schemas.microsoft.com/office/drawing/2014/main" id="{B94280A3-8D41-EC9E-9BFA-B4196023645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40" name="Shape 41">
            <a:extLst>
              <a:ext uri="{FF2B5EF4-FFF2-40B4-BE49-F238E27FC236}">
                <a16:creationId xmlns:a16="http://schemas.microsoft.com/office/drawing/2014/main" id="{5A25BCE4-5CFE-74E5-3C97-13C7263C377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41" name="Shape 42">
            <a:extLst>
              <a:ext uri="{FF2B5EF4-FFF2-40B4-BE49-F238E27FC236}">
                <a16:creationId xmlns:a16="http://schemas.microsoft.com/office/drawing/2014/main" id="{ACF0C7F5-20B6-2B0A-9068-43E2C02FE43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42" name="Shape 43">
            <a:extLst>
              <a:ext uri="{FF2B5EF4-FFF2-40B4-BE49-F238E27FC236}">
                <a16:creationId xmlns:a16="http://schemas.microsoft.com/office/drawing/2014/main" id="{86B43C56-2DA2-34B0-D475-BD3FE933D5A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43" name="Shape 44">
            <a:extLst>
              <a:ext uri="{FF2B5EF4-FFF2-40B4-BE49-F238E27FC236}">
                <a16:creationId xmlns:a16="http://schemas.microsoft.com/office/drawing/2014/main" id="{7D721309-8A67-3E35-EC95-C2E65856F8F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44" name="Shape 45">
            <a:extLst>
              <a:ext uri="{FF2B5EF4-FFF2-40B4-BE49-F238E27FC236}">
                <a16:creationId xmlns:a16="http://schemas.microsoft.com/office/drawing/2014/main" id="{BAC4745E-88C3-90AD-36AA-811BEE2464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45" name="Shape 46">
            <a:extLst>
              <a:ext uri="{FF2B5EF4-FFF2-40B4-BE49-F238E27FC236}">
                <a16:creationId xmlns:a16="http://schemas.microsoft.com/office/drawing/2014/main" id="{41807252-A3AD-C444-A840-4C37727CCA3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446" name="Group 47">
          <a:extLst>
            <a:ext uri="{FF2B5EF4-FFF2-40B4-BE49-F238E27FC236}">
              <a16:creationId xmlns:a16="http://schemas.microsoft.com/office/drawing/2014/main" id="{147C4E00-309D-44A2-9E01-6F0540B16D4F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447" name="Shape 48">
            <a:extLst>
              <a:ext uri="{FF2B5EF4-FFF2-40B4-BE49-F238E27FC236}">
                <a16:creationId xmlns:a16="http://schemas.microsoft.com/office/drawing/2014/main" id="{F8091FBE-928F-9955-8DD9-365C4F3BDCC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48" name="Shape 49">
            <a:extLst>
              <a:ext uri="{FF2B5EF4-FFF2-40B4-BE49-F238E27FC236}">
                <a16:creationId xmlns:a16="http://schemas.microsoft.com/office/drawing/2014/main" id="{454299BB-EA47-28CE-BFB0-93C7E709596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49" name="Shape 50">
            <a:extLst>
              <a:ext uri="{FF2B5EF4-FFF2-40B4-BE49-F238E27FC236}">
                <a16:creationId xmlns:a16="http://schemas.microsoft.com/office/drawing/2014/main" id="{69956806-779E-FDE1-D2C2-939969B07B2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50" name="Shape 51">
            <a:extLst>
              <a:ext uri="{FF2B5EF4-FFF2-40B4-BE49-F238E27FC236}">
                <a16:creationId xmlns:a16="http://schemas.microsoft.com/office/drawing/2014/main" id="{A1F0D2D6-A0D3-92A2-9970-BD7A7E08CB1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51" name="Shape 52">
            <a:extLst>
              <a:ext uri="{FF2B5EF4-FFF2-40B4-BE49-F238E27FC236}">
                <a16:creationId xmlns:a16="http://schemas.microsoft.com/office/drawing/2014/main" id="{39A76382-AC36-E83B-12A4-3FA704F5073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52" name="Shape 53">
            <a:extLst>
              <a:ext uri="{FF2B5EF4-FFF2-40B4-BE49-F238E27FC236}">
                <a16:creationId xmlns:a16="http://schemas.microsoft.com/office/drawing/2014/main" id="{B15028E7-EE56-3A2F-F262-C8E0AED7C1C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53" name="Shape 54">
            <a:extLst>
              <a:ext uri="{FF2B5EF4-FFF2-40B4-BE49-F238E27FC236}">
                <a16:creationId xmlns:a16="http://schemas.microsoft.com/office/drawing/2014/main" id="{92CD89BF-F156-AFCB-6ADC-62C938115DD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54" name="Shape 55">
            <a:extLst>
              <a:ext uri="{FF2B5EF4-FFF2-40B4-BE49-F238E27FC236}">
                <a16:creationId xmlns:a16="http://schemas.microsoft.com/office/drawing/2014/main" id="{BC5897D0-2E9E-CF52-509F-D4D4DEDAD03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55" name="Shape 56">
            <a:extLst>
              <a:ext uri="{FF2B5EF4-FFF2-40B4-BE49-F238E27FC236}">
                <a16:creationId xmlns:a16="http://schemas.microsoft.com/office/drawing/2014/main" id="{738D708A-2282-4B1A-DCB0-EE8F184823E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56" name="Shape 57">
            <a:extLst>
              <a:ext uri="{FF2B5EF4-FFF2-40B4-BE49-F238E27FC236}">
                <a16:creationId xmlns:a16="http://schemas.microsoft.com/office/drawing/2014/main" id="{59A840C5-B2EA-D0A6-2667-C601605B838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57" name="Shape 58">
            <a:extLst>
              <a:ext uri="{FF2B5EF4-FFF2-40B4-BE49-F238E27FC236}">
                <a16:creationId xmlns:a16="http://schemas.microsoft.com/office/drawing/2014/main" id="{FFE921C1-4EC1-BC77-8C83-0F00AFDB253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58" name="Shape 59">
            <a:extLst>
              <a:ext uri="{FF2B5EF4-FFF2-40B4-BE49-F238E27FC236}">
                <a16:creationId xmlns:a16="http://schemas.microsoft.com/office/drawing/2014/main" id="{4DB7B4A6-8CF3-CFFB-E1EA-BBB7585B774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59" name="Shape 60">
            <a:extLst>
              <a:ext uri="{FF2B5EF4-FFF2-40B4-BE49-F238E27FC236}">
                <a16:creationId xmlns:a16="http://schemas.microsoft.com/office/drawing/2014/main" id="{8BF55415-39BD-5F86-ECFF-85B7C706DB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60" name="Shape 61">
            <a:extLst>
              <a:ext uri="{FF2B5EF4-FFF2-40B4-BE49-F238E27FC236}">
                <a16:creationId xmlns:a16="http://schemas.microsoft.com/office/drawing/2014/main" id="{48A69AF2-2C1E-6B19-F8AE-1B93C6060E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461" name="Group 62">
          <a:extLst>
            <a:ext uri="{FF2B5EF4-FFF2-40B4-BE49-F238E27FC236}">
              <a16:creationId xmlns:a16="http://schemas.microsoft.com/office/drawing/2014/main" id="{CAC1296C-9DED-46EE-A7C3-AE584A2B7DAA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462" name="Shape 63">
            <a:extLst>
              <a:ext uri="{FF2B5EF4-FFF2-40B4-BE49-F238E27FC236}">
                <a16:creationId xmlns:a16="http://schemas.microsoft.com/office/drawing/2014/main" id="{87DC8249-5856-6DC6-C23D-9492380EDC4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63" name="Shape 64">
            <a:extLst>
              <a:ext uri="{FF2B5EF4-FFF2-40B4-BE49-F238E27FC236}">
                <a16:creationId xmlns:a16="http://schemas.microsoft.com/office/drawing/2014/main" id="{71548BC9-11FC-6E0A-E52F-74BD3254599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464" name="Shape 65">
            <a:extLst>
              <a:ext uri="{FF2B5EF4-FFF2-40B4-BE49-F238E27FC236}">
                <a16:creationId xmlns:a16="http://schemas.microsoft.com/office/drawing/2014/main" id="{585379D1-7EE1-0B4A-0FE7-132B0310CE5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65" name="Shape 66">
            <a:extLst>
              <a:ext uri="{FF2B5EF4-FFF2-40B4-BE49-F238E27FC236}">
                <a16:creationId xmlns:a16="http://schemas.microsoft.com/office/drawing/2014/main" id="{19D7F795-EFBB-8174-9EB1-C02001C574F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466" name="Shape 67">
            <a:extLst>
              <a:ext uri="{FF2B5EF4-FFF2-40B4-BE49-F238E27FC236}">
                <a16:creationId xmlns:a16="http://schemas.microsoft.com/office/drawing/2014/main" id="{143482DD-8707-0A6C-8F6A-3C2DB03DD1B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67" name="Shape 68">
            <a:extLst>
              <a:ext uri="{FF2B5EF4-FFF2-40B4-BE49-F238E27FC236}">
                <a16:creationId xmlns:a16="http://schemas.microsoft.com/office/drawing/2014/main" id="{75071B54-0504-EA29-E714-8E0FCD551EF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468" name="Shape 69">
            <a:extLst>
              <a:ext uri="{FF2B5EF4-FFF2-40B4-BE49-F238E27FC236}">
                <a16:creationId xmlns:a16="http://schemas.microsoft.com/office/drawing/2014/main" id="{6D9B86F5-2CF0-C77E-4BAE-2F8EFD5631B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69" name="Shape 70">
            <a:extLst>
              <a:ext uri="{FF2B5EF4-FFF2-40B4-BE49-F238E27FC236}">
                <a16:creationId xmlns:a16="http://schemas.microsoft.com/office/drawing/2014/main" id="{E06255E0-EF5D-429F-EC84-C752A9D4E57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470" name="Shape 71">
            <a:extLst>
              <a:ext uri="{FF2B5EF4-FFF2-40B4-BE49-F238E27FC236}">
                <a16:creationId xmlns:a16="http://schemas.microsoft.com/office/drawing/2014/main" id="{F9BCBF91-B34D-16D6-AB7A-B223415994C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71" name="Shape 72">
            <a:extLst>
              <a:ext uri="{FF2B5EF4-FFF2-40B4-BE49-F238E27FC236}">
                <a16:creationId xmlns:a16="http://schemas.microsoft.com/office/drawing/2014/main" id="{26A89EE1-8EC1-1833-470C-7E20C718BD4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472" name="Shape 73">
            <a:extLst>
              <a:ext uri="{FF2B5EF4-FFF2-40B4-BE49-F238E27FC236}">
                <a16:creationId xmlns:a16="http://schemas.microsoft.com/office/drawing/2014/main" id="{B3CDFB10-C31C-0924-300D-FD3709E998A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73" name="Shape 74">
            <a:extLst>
              <a:ext uri="{FF2B5EF4-FFF2-40B4-BE49-F238E27FC236}">
                <a16:creationId xmlns:a16="http://schemas.microsoft.com/office/drawing/2014/main" id="{7B2E5E51-82B5-9D2B-2E7B-E18DF69CA27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474" name="Shape 75">
            <a:extLst>
              <a:ext uri="{FF2B5EF4-FFF2-40B4-BE49-F238E27FC236}">
                <a16:creationId xmlns:a16="http://schemas.microsoft.com/office/drawing/2014/main" id="{2997B410-07FA-7858-DB35-1E84B274467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475" name="Shape 76">
            <a:extLst>
              <a:ext uri="{FF2B5EF4-FFF2-40B4-BE49-F238E27FC236}">
                <a16:creationId xmlns:a16="http://schemas.microsoft.com/office/drawing/2014/main" id="{D4D62E4E-D8BE-BFF4-D834-62F8E476947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476" name="Group 2">
          <a:extLst>
            <a:ext uri="{FF2B5EF4-FFF2-40B4-BE49-F238E27FC236}">
              <a16:creationId xmlns:a16="http://schemas.microsoft.com/office/drawing/2014/main" id="{6F603300-C077-4E8C-AAF0-8BF8E7B5AB4D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477" name="Shape 3">
            <a:extLst>
              <a:ext uri="{FF2B5EF4-FFF2-40B4-BE49-F238E27FC236}">
                <a16:creationId xmlns:a16="http://schemas.microsoft.com/office/drawing/2014/main" id="{DE8761F3-C4AD-D46C-BC95-C6C6FC89539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78" name="Shape 4">
            <a:extLst>
              <a:ext uri="{FF2B5EF4-FFF2-40B4-BE49-F238E27FC236}">
                <a16:creationId xmlns:a16="http://schemas.microsoft.com/office/drawing/2014/main" id="{D09B0A52-1DEF-17DF-A612-D2EF428BD8D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79" name="Shape 5">
            <a:extLst>
              <a:ext uri="{FF2B5EF4-FFF2-40B4-BE49-F238E27FC236}">
                <a16:creationId xmlns:a16="http://schemas.microsoft.com/office/drawing/2014/main" id="{1834B935-F345-E164-88D9-28449237C9E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80" name="Shape 6">
            <a:extLst>
              <a:ext uri="{FF2B5EF4-FFF2-40B4-BE49-F238E27FC236}">
                <a16:creationId xmlns:a16="http://schemas.microsoft.com/office/drawing/2014/main" id="{BEC7C6B4-04FB-5907-4C92-FF382A9EBD5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81" name="Shape 7">
            <a:extLst>
              <a:ext uri="{FF2B5EF4-FFF2-40B4-BE49-F238E27FC236}">
                <a16:creationId xmlns:a16="http://schemas.microsoft.com/office/drawing/2014/main" id="{48C15002-03F8-EB52-FF6E-17B7189D790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82" name="Shape 8">
            <a:extLst>
              <a:ext uri="{FF2B5EF4-FFF2-40B4-BE49-F238E27FC236}">
                <a16:creationId xmlns:a16="http://schemas.microsoft.com/office/drawing/2014/main" id="{9AC57E2E-D957-B351-B508-EE045F16A6F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83" name="Shape 9">
            <a:extLst>
              <a:ext uri="{FF2B5EF4-FFF2-40B4-BE49-F238E27FC236}">
                <a16:creationId xmlns:a16="http://schemas.microsoft.com/office/drawing/2014/main" id="{4355BAAF-14F9-8144-79C3-F64AECA2EE1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84" name="Shape 10">
            <a:extLst>
              <a:ext uri="{FF2B5EF4-FFF2-40B4-BE49-F238E27FC236}">
                <a16:creationId xmlns:a16="http://schemas.microsoft.com/office/drawing/2014/main" id="{08DC8668-7517-9655-972B-3C3B55A39CF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85" name="Shape 11">
            <a:extLst>
              <a:ext uri="{FF2B5EF4-FFF2-40B4-BE49-F238E27FC236}">
                <a16:creationId xmlns:a16="http://schemas.microsoft.com/office/drawing/2014/main" id="{6E247D86-401F-B88D-8FC6-40915DBA311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86" name="Shape 12">
            <a:extLst>
              <a:ext uri="{FF2B5EF4-FFF2-40B4-BE49-F238E27FC236}">
                <a16:creationId xmlns:a16="http://schemas.microsoft.com/office/drawing/2014/main" id="{125D4CD2-F30A-4382-78D9-6581E384C6B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87" name="Shape 13">
            <a:extLst>
              <a:ext uri="{FF2B5EF4-FFF2-40B4-BE49-F238E27FC236}">
                <a16:creationId xmlns:a16="http://schemas.microsoft.com/office/drawing/2014/main" id="{CAF82ECF-1A08-CDBB-05E4-94D94E24C25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88" name="Shape 14">
            <a:extLst>
              <a:ext uri="{FF2B5EF4-FFF2-40B4-BE49-F238E27FC236}">
                <a16:creationId xmlns:a16="http://schemas.microsoft.com/office/drawing/2014/main" id="{DDA7C852-D597-AAE8-66C9-EA5DCF65FFD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89" name="Shape 15">
            <a:extLst>
              <a:ext uri="{FF2B5EF4-FFF2-40B4-BE49-F238E27FC236}">
                <a16:creationId xmlns:a16="http://schemas.microsoft.com/office/drawing/2014/main" id="{56B12EDE-E1C7-DB40-94E1-9960AE0B11C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90" name="Shape 16">
            <a:extLst>
              <a:ext uri="{FF2B5EF4-FFF2-40B4-BE49-F238E27FC236}">
                <a16:creationId xmlns:a16="http://schemas.microsoft.com/office/drawing/2014/main" id="{5BB58167-2777-5EC2-7BA3-DFE13491EFB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491" name="Group 17">
          <a:extLst>
            <a:ext uri="{FF2B5EF4-FFF2-40B4-BE49-F238E27FC236}">
              <a16:creationId xmlns:a16="http://schemas.microsoft.com/office/drawing/2014/main" id="{F463E0EB-7DAC-4727-A4AE-64C0E13D5C66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492" name="Shape 18">
            <a:extLst>
              <a:ext uri="{FF2B5EF4-FFF2-40B4-BE49-F238E27FC236}">
                <a16:creationId xmlns:a16="http://schemas.microsoft.com/office/drawing/2014/main" id="{473FBB4E-4627-BBCD-193B-60F3840C475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93" name="Shape 19">
            <a:extLst>
              <a:ext uri="{FF2B5EF4-FFF2-40B4-BE49-F238E27FC236}">
                <a16:creationId xmlns:a16="http://schemas.microsoft.com/office/drawing/2014/main" id="{F657B518-9EB7-7244-E7CF-62AA14DDE61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94" name="Shape 20">
            <a:extLst>
              <a:ext uri="{FF2B5EF4-FFF2-40B4-BE49-F238E27FC236}">
                <a16:creationId xmlns:a16="http://schemas.microsoft.com/office/drawing/2014/main" id="{C64791E5-D955-04CF-E338-EADF225FA08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95" name="Shape 21">
            <a:extLst>
              <a:ext uri="{FF2B5EF4-FFF2-40B4-BE49-F238E27FC236}">
                <a16:creationId xmlns:a16="http://schemas.microsoft.com/office/drawing/2014/main" id="{EF587859-CA71-4732-4DC7-91D050EECDE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96" name="Shape 22">
            <a:extLst>
              <a:ext uri="{FF2B5EF4-FFF2-40B4-BE49-F238E27FC236}">
                <a16:creationId xmlns:a16="http://schemas.microsoft.com/office/drawing/2014/main" id="{47291206-D12E-DDCE-B256-0060D71A9E3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97" name="Shape 23">
            <a:extLst>
              <a:ext uri="{FF2B5EF4-FFF2-40B4-BE49-F238E27FC236}">
                <a16:creationId xmlns:a16="http://schemas.microsoft.com/office/drawing/2014/main" id="{5E2E84F5-3488-E1B1-8FC7-A323850CEC4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498" name="Shape 24">
            <a:extLst>
              <a:ext uri="{FF2B5EF4-FFF2-40B4-BE49-F238E27FC236}">
                <a16:creationId xmlns:a16="http://schemas.microsoft.com/office/drawing/2014/main" id="{3785919D-08C7-9BF0-58E2-F9D37207BB3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499" name="Shape 25">
            <a:extLst>
              <a:ext uri="{FF2B5EF4-FFF2-40B4-BE49-F238E27FC236}">
                <a16:creationId xmlns:a16="http://schemas.microsoft.com/office/drawing/2014/main" id="{380E7C1B-D275-BFC7-6487-32A65BF05B0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00" name="Shape 26">
            <a:extLst>
              <a:ext uri="{FF2B5EF4-FFF2-40B4-BE49-F238E27FC236}">
                <a16:creationId xmlns:a16="http://schemas.microsoft.com/office/drawing/2014/main" id="{B7300BBF-247A-ED5B-2A48-9F7C7043DEB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01" name="Shape 27">
            <a:extLst>
              <a:ext uri="{FF2B5EF4-FFF2-40B4-BE49-F238E27FC236}">
                <a16:creationId xmlns:a16="http://schemas.microsoft.com/office/drawing/2014/main" id="{14000756-6646-BC74-1CB0-551B5E573DE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02" name="Shape 28">
            <a:extLst>
              <a:ext uri="{FF2B5EF4-FFF2-40B4-BE49-F238E27FC236}">
                <a16:creationId xmlns:a16="http://schemas.microsoft.com/office/drawing/2014/main" id="{AEA94BF5-608A-EA88-06A2-4CF110C8C6A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03" name="Shape 29">
            <a:extLst>
              <a:ext uri="{FF2B5EF4-FFF2-40B4-BE49-F238E27FC236}">
                <a16:creationId xmlns:a16="http://schemas.microsoft.com/office/drawing/2014/main" id="{BB25C628-1C80-B4E0-A2EE-18449E8D2A9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04" name="Shape 30">
            <a:extLst>
              <a:ext uri="{FF2B5EF4-FFF2-40B4-BE49-F238E27FC236}">
                <a16:creationId xmlns:a16="http://schemas.microsoft.com/office/drawing/2014/main" id="{350FAD3A-7F1F-6805-89D4-D21083EDD86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05" name="Shape 31">
            <a:extLst>
              <a:ext uri="{FF2B5EF4-FFF2-40B4-BE49-F238E27FC236}">
                <a16:creationId xmlns:a16="http://schemas.microsoft.com/office/drawing/2014/main" id="{42487339-7612-B359-1390-5A1389A47B5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506" name="Group 32">
          <a:extLst>
            <a:ext uri="{FF2B5EF4-FFF2-40B4-BE49-F238E27FC236}">
              <a16:creationId xmlns:a16="http://schemas.microsoft.com/office/drawing/2014/main" id="{62F5A2A4-B70C-4178-9D2D-CDE741484B65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507" name="Shape 33">
            <a:extLst>
              <a:ext uri="{FF2B5EF4-FFF2-40B4-BE49-F238E27FC236}">
                <a16:creationId xmlns:a16="http://schemas.microsoft.com/office/drawing/2014/main" id="{6DED1BE8-571F-089B-7CD9-36300B733C4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08" name="Shape 34">
            <a:extLst>
              <a:ext uri="{FF2B5EF4-FFF2-40B4-BE49-F238E27FC236}">
                <a16:creationId xmlns:a16="http://schemas.microsoft.com/office/drawing/2014/main" id="{CAC1DC1D-4C21-60BF-A2DC-1D4D2BB1A87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09" name="Shape 35">
            <a:extLst>
              <a:ext uri="{FF2B5EF4-FFF2-40B4-BE49-F238E27FC236}">
                <a16:creationId xmlns:a16="http://schemas.microsoft.com/office/drawing/2014/main" id="{0BDA9DB0-088D-6EAA-DA7D-4C85FD92F60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10" name="Shape 36">
            <a:extLst>
              <a:ext uri="{FF2B5EF4-FFF2-40B4-BE49-F238E27FC236}">
                <a16:creationId xmlns:a16="http://schemas.microsoft.com/office/drawing/2014/main" id="{C60A98E1-A627-9E1B-7C6B-45B0F7A9055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11" name="Shape 37">
            <a:extLst>
              <a:ext uri="{FF2B5EF4-FFF2-40B4-BE49-F238E27FC236}">
                <a16:creationId xmlns:a16="http://schemas.microsoft.com/office/drawing/2014/main" id="{1D6C6B1B-2AFF-241C-2DFC-825E5B9022D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12" name="Shape 38">
            <a:extLst>
              <a:ext uri="{FF2B5EF4-FFF2-40B4-BE49-F238E27FC236}">
                <a16:creationId xmlns:a16="http://schemas.microsoft.com/office/drawing/2014/main" id="{08841F4B-F37A-DAC6-466C-7DD2A3E3FBD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13" name="Shape 39">
            <a:extLst>
              <a:ext uri="{FF2B5EF4-FFF2-40B4-BE49-F238E27FC236}">
                <a16:creationId xmlns:a16="http://schemas.microsoft.com/office/drawing/2014/main" id="{1B90880F-E1BF-FE45-031A-5CC13176A4C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14" name="Shape 40">
            <a:extLst>
              <a:ext uri="{FF2B5EF4-FFF2-40B4-BE49-F238E27FC236}">
                <a16:creationId xmlns:a16="http://schemas.microsoft.com/office/drawing/2014/main" id="{A3833937-9543-38B6-3B8C-37951B8C5A4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15" name="Shape 41">
            <a:extLst>
              <a:ext uri="{FF2B5EF4-FFF2-40B4-BE49-F238E27FC236}">
                <a16:creationId xmlns:a16="http://schemas.microsoft.com/office/drawing/2014/main" id="{B973E313-51EA-459B-B05C-5A22652AA89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16" name="Shape 42">
            <a:extLst>
              <a:ext uri="{FF2B5EF4-FFF2-40B4-BE49-F238E27FC236}">
                <a16:creationId xmlns:a16="http://schemas.microsoft.com/office/drawing/2014/main" id="{3BAE9F0A-0C36-A387-B778-7092FDFF8C0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17" name="Shape 43">
            <a:extLst>
              <a:ext uri="{FF2B5EF4-FFF2-40B4-BE49-F238E27FC236}">
                <a16:creationId xmlns:a16="http://schemas.microsoft.com/office/drawing/2014/main" id="{6E1C5C32-B1C8-EB25-4F55-B7BBCCD290A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18" name="Shape 44">
            <a:extLst>
              <a:ext uri="{FF2B5EF4-FFF2-40B4-BE49-F238E27FC236}">
                <a16:creationId xmlns:a16="http://schemas.microsoft.com/office/drawing/2014/main" id="{DACA6376-5F35-B5E8-B1B9-298950ADCEB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19" name="Shape 45">
            <a:extLst>
              <a:ext uri="{FF2B5EF4-FFF2-40B4-BE49-F238E27FC236}">
                <a16:creationId xmlns:a16="http://schemas.microsoft.com/office/drawing/2014/main" id="{6C6AE0B3-1DB0-99B3-2A8F-0BBD62D4AF5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20" name="Shape 46">
            <a:extLst>
              <a:ext uri="{FF2B5EF4-FFF2-40B4-BE49-F238E27FC236}">
                <a16:creationId xmlns:a16="http://schemas.microsoft.com/office/drawing/2014/main" id="{65677220-5ED3-6B62-A453-50360133E43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521" name="Group 47">
          <a:extLst>
            <a:ext uri="{FF2B5EF4-FFF2-40B4-BE49-F238E27FC236}">
              <a16:creationId xmlns:a16="http://schemas.microsoft.com/office/drawing/2014/main" id="{FED80235-205B-4175-B2FF-EA74313F40EC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522" name="Shape 48">
            <a:extLst>
              <a:ext uri="{FF2B5EF4-FFF2-40B4-BE49-F238E27FC236}">
                <a16:creationId xmlns:a16="http://schemas.microsoft.com/office/drawing/2014/main" id="{FE935C51-B702-3E6C-C8EB-54DB3EBC180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23" name="Shape 49">
            <a:extLst>
              <a:ext uri="{FF2B5EF4-FFF2-40B4-BE49-F238E27FC236}">
                <a16:creationId xmlns:a16="http://schemas.microsoft.com/office/drawing/2014/main" id="{E293F009-9AA2-234C-9125-B276B7BB4F6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24" name="Shape 50">
            <a:extLst>
              <a:ext uri="{FF2B5EF4-FFF2-40B4-BE49-F238E27FC236}">
                <a16:creationId xmlns:a16="http://schemas.microsoft.com/office/drawing/2014/main" id="{4D36453D-620A-62F5-9271-26AF681768A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25" name="Shape 51">
            <a:extLst>
              <a:ext uri="{FF2B5EF4-FFF2-40B4-BE49-F238E27FC236}">
                <a16:creationId xmlns:a16="http://schemas.microsoft.com/office/drawing/2014/main" id="{46DF09D3-1888-D429-200C-4E04A3FBA57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26" name="Shape 52">
            <a:extLst>
              <a:ext uri="{FF2B5EF4-FFF2-40B4-BE49-F238E27FC236}">
                <a16:creationId xmlns:a16="http://schemas.microsoft.com/office/drawing/2014/main" id="{1D667C9A-13C5-EE9F-D54E-95881B40E85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27" name="Shape 53">
            <a:extLst>
              <a:ext uri="{FF2B5EF4-FFF2-40B4-BE49-F238E27FC236}">
                <a16:creationId xmlns:a16="http://schemas.microsoft.com/office/drawing/2014/main" id="{70FEEF25-407B-A090-3040-816F59E961F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28" name="Shape 54">
            <a:extLst>
              <a:ext uri="{FF2B5EF4-FFF2-40B4-BE49-F238E27FC236}">
                <a16:creationId xmlns:a16="http://schemas.microsoft.com/office/drawing/2014/main" id="{3936690E-7F1C-2F0F-8D22-71A7B6A8B14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29" name="Shape 55">
            <a:extLst>
              <a:ext uri="{FF2B5EF4-FFF2-40B4-BE49-F238E27FC236}">
                <a16:creationId xmlns:a16="http://schemas.microsoft.com/office/drawing/2014/main" id="{25B0BF60-F1C5-8B23-D9CE-0BC6AA60278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30" name="Shape 56">
            <a:extLst>
              <a:ext uri="{FF2B5EF4-FFF2-40B4-BE49-F238E27FC236}">
                <a16:creationId xmlns:a16="http://schemas.microsoft.com/office/drawing/2014/main" id="{2ABADEEC-4CCF-5F6A-F60E-1E3D522F723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31" name="Shape 57">
            <a:extLst>
              <a:ext uri="{FF2B5EF4-FFF2-40B4-BE49-F238E27FC236}">
                <a16:creationId xmlns:a16="http://schemas.microsoft.com/office/drawing/2014/main" id="{DDEA19E7-04FD-7CC2-7A59-0ABF97B3F26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32" name="Shape 58">
            <a:extLst>
              <a:ext uri="{FF2B5EF4-FFF2-40B4-BE49-F238E27FC236}">
                <a16:creationId xmlns:a16="http://schemas.microsoft.com/office/drawing/2014/main" id="{22F41485-9FDC-1A8A-8335-E51F89DE67E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33" name="Shape 59">
            <a:extLst>
              <a:ext uri="{FF2B5EF4-FFF2-40B4-BE49-F238E27FC236}">
                <a16:creationId xmlns:a16="http://schemas.microsoft.com/office/drawing/2014/main" id="{3CF1A932-CB2A-61DB-BDDF-B992410B73C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34" name="Shape 60">
            <a:extLst>
              <a:ext uri="{FF2B5EF4-FFF2-40B4-BE49-F238E27FC236}">
                <a16:creationId xmlns:a16="http://schemas.microsoft.com/office/drawing/2014/main" id="{0F894469-2B86-8261-C9D2-F37F5DAA243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35" name="Shape 61">
            <a:extLst>
              <a:ext uri="{FF2B5EF4-FFF2-40B4-BE49-F238E27FC236}">
                <a16:creationId xmlns:a16="http://schemas.microsoft.com/office/drawing/2014/main" id="{BCF10EAD-91E6-1AC2-A65C-39B6A27B454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940</xdr:row>
      <xdr:rowOff>0</xdr:rowOff>
    </xdr:from>
    <xdr:ext cx="33655" cy="33655"/>
    <xdr:grpSp>
      <xdr:nvGrpSpPr>
        <xdr:cNvPr id="9536" name="Group 62">
          <a:extLst>
            <a:ext uri="{FF2B5EF4-FFF2-40B4-BE49-F238E27FC236}">
              <a16:creationId xmlns:a16="http://schemas.microsoft.com/office/drawing/2014/main" id="{9014C047-C4E2-432D-8658-C38661EF2AF7}"/>
            </a:ext>
          </a:extLst>
        </xdr:cNvPr>
        <xdr:cNvGrpSpPr/>
      </xdr:nvGrpSpPr>
      <xdr:grpSpPr>
        <a:xfrm>
          <a:off x="4603072" y="172443098"/>
          <a:ext cx="33655" cy="33655"/>
          <a:chOff x="0" y="0"/>
          <a:chExt cx="33655" cy="33655"/>
        </a:xfrm>
      </xdr:grpSpPr>
      <xdr:sp macro="" textlink="">
        <xdr:nvSpPr>
          <xdr:cNvPr id="9537" name="Shape 63">
            <a:extLst>
              <a:ext uri="{FF2B5EF4-FFF2-40B4-BE49-F238E27FC236}">
                <a16:creationId xmlns:a16="http://schemas.microsoft.com/office/drawing/2014/main" id="{8857238E-7B74-2A27-FE91-0495CEBD591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38" name="Shape 64">
            <a:extLst>
              <a:ext uri="{FF2B5EF4-FFF2-40B4-BE49-F238E27FC236}">
                <a16:creationId xmlns:a16="http://schemas.microsoft.com/office/drawing/2014/main" id="{58943E72-0C4A-4DCF-5B2E-E9928886F9E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539" name="Shape 65">
            <a:extLst>
              <a:ext uri="{FF2B5EF4-FFF2-40B4-BE49-F238E27FC236}">
                <a16:creationId xmlns:a16="http://schemas.microsoft.com/office/drawing/2014/main" id="{2A676964-86AA-45E8-9D4A-55D870BA4CA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40" name="Shape 66">
            <a:extLst>
              <a:ext uri="{FF2B5EF4-FFF2-40B4-BE49-F238E27FC236}">
                <a16:creationId xmlns:a16="http://schemas.microsoft.com/office/drawing/2014/main" id="{E5021C1B-FF06-958A-E1F3-5D892675BDD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541" name="Shape 67">
            <a:extLst>
              <a:ext uri="{FF2B5EF4-FFF2-40B4-BE49-F238E27FC236}">
                <a16:creationId xmlns:a16="http://schemas.microsoft.com/office/drawing/2014/main" id="{C621B599-D282-B26D-CC62-D9582116679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42" name="Shape 68">
            <a:extLst>
              <a:ext uri="{FF2B5EF4-FFF2-40B4-BE49-F238E27FC236}">
                <a16:creationId xmlns:a16="http://schemas.microsoft.com/office/drawing/2014/main" id="{83212919-6F7E-E259-BB9E-AD20E604CE5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543" name="Shape 69">
            <a:extLst>
              <a:ext uri="{FF2B5EF4-FFF2-40B4-BE49-F238E27FC236}">
                <a16:creationId xmlns:a16="http://schemas.microsoft.com/office/drawing/2014/main" id="{C0254213-BBD4-C073-1F8D-5D944AD86AD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44" name="Shape 70">
            <a:extLst>
              <a:ext uri="{FF2B5EF4-FFF2-40B4-BE49-F238E27FC236}">
                <a16:creationId xmlns:a16="http://schemas.microsoft.com/office/drawing/2014/main" id="{8C3A1659-2FBF-ECBA-F7D6-C1E9BACA03A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545" name="Shape 71">
            <a:extLst>
              <a:ext uri="{FF2B5EF4-FFF2-40B4-BE49-F238E27FC236}">
                <a16:creationId xmlns:a16="http://schemas.microsoft.com/office/drawing/2014/main" id="{D1DED92D-733C-07B7-9BEB-75BE8FDCB5A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46" name="Shape 72">
            <a:extLst>
              <a:ext uri="{FF2B5EF4-FFF2-40B4-BE49-F238E27FC236}">
                <a16:creationId xmlns:a16="http://schemas.microsoft.com/office/drawing/2014/main" id="{59481950-E395-91BC-9FB2-96E3190ED35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547" name="Shape 73">
            <a:extLst>
              <a:ext uri="{FF2B5EF4-FFF2-40B4-BE49-F238E27FC236}">
                <a16:creationId xmlns:a16="http://schemas.microsoft.com/office/drawing/2014/main" id="{24145B88-33EA-107F-B991-C6CA741BF34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48" name="Shape 74">
            <a:extLst>
              <a:ext uri="{FF2B5EF4-FFF2-40B4-BE49-F238E27FC236}">
                <a16:creationId xmlns:a16="http://schemas.microsoft.com/office/drawing/2014/main" id="{722FDD7B-D530-C4CC-FF35-F0CA7F02E77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549" name="Shape 75">
            <a:extLst>
              <a:ext uri="{FF2B5EF4-FFF2-40B4-BE49-F238E27FC236}">
                <a16:creationId xmlns:a16="http://schemas.microsoft.com/office/drawing/2014/main" id="{E822B8D0-DE06-1FB9-AF00-9412201BF91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550" name="Shape 76">
            <a:extLst>
              <a:ext uri="{FF2B5EF4-FFF2-40B4-BE49-F238E27FC236}">
                <a16:creationId xmlns:a16="http://schemas.microsoft.com/office/drawing/2014/main" id="{BA56B2CF-BAA7-D07F-ECBE-CD205D13910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599</xdr:row>
      <xdr:rowOff>2978</xdr:rowOff>
    </xdr:from>
    <xdr:ext cx="33655" cy="33655"/>
    <xdr:grpSp>
      <xdr:nvGrpSpPr>
        <xdr:cNvPr id="9551" name="Group 2">
          <a:extLst>
            <a:ext uri="{FF2B5EF4-FFF2-40B4-BE49-F238E27FC236}">
              <a16:creationId xmlns:a16="http://schemas.microsoft.com/office/drawing/2014/main" id="{822C39E5-E443-4599-AFFA-9357654F6A0C}"/>
            </a:ext>
          </a:extLst>
        </xdr:cNvPr>
        <xdr:cNvGrpSpPr/>
      </xdr:nvGrpSpPr>
      <xdr:grpSpPr>
        <a:xfrm>
          <a:off x="4603072" y="111623486"/>
          <a:ext cx="33655" cy="33655"/>
          <a:chOff x="0" y="0"/>
          <a:chExt cx="33655" cy="33655"/>
        </a:xfrm>
      </xdr:grpSpPr>
      <xdr:sp macro="" textlink="">
        <xdr:nvSpPr>
          <xdr:cNvPr id="9552" name="Shape 3">
            <a:extLst>
              <a:ext uri="{FF2B5EF4-FFF2-40B4-BE49-F238E27FC236}">
                <a16:creationId xmlns:a16="http://schemas.microsoft.com/office/drawing/2014/main" id="{6A7949F6-EC06-7F55-E35F-5DD938E6CE1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53" name="Shape 4">
            <a:extLst>
              <a:ext uri="{FF2B5EF4-FFF2-40B4-BE49-F238E27FC236}">
                <a16:creationId xmlns:a16="http://schemas.microsoft.com/office/drawing/2014/main" id="{FF63D065-D2A3-A6C7-7232-320CC44256D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54" name="Shape 5">
            <a:extLst>
              <a:ext uri="{FF2B5EF4-FFF2-40B4-BE49-F238E27FC236}">
                <a16:creationId xmlns:a16="http://schemas.microsoft.com/office/drawing/2014/main" id="{5D1786B0-81D3-03FD-64B5-1CB368DC8AF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55" name="Shape 6">
            <a:extLst>
              <a:ext uri="{FF2B5EF4-FFF2-40B4-BE49-F238E27FC236}">
                <a16:creationId xmlns:a16="http://schemas.microsoft.com/office/drawing/2014/main" id="{0396404A-8C83-8E15-E7AB-A5700609DE9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56" name="Shape 7">
            <a:extLst>
              <a:ext uri="{FF2B5EF4-FFF2-40B4-BE49-F238E27FC236}">
                <a16:creationId xmlns:a16="http://schemas.microsoft.com/office/drawing/2014/main" id="{EFE5FDF2-B0D7-51EA-3BBF-7365FE4C60A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57" name="Shape 8">
            <a:extLst>
              <a:ext uri="{FF2B5EF4-FFF2-40B4-BE49-F238E27FC236}">
                <a16:creationId xmlns:a16="http://schemas.microsoft.com/office/drawing/2014/main" id="{1355727F-C239-ABEC-CF26-0E8211720B0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58" name="Shape 9">
            <a:extLst>
              <a:ext uri="{FF2B5EF4-FFF2-40B4-BE49-F238E27FC236}">
                <a16:creationId xmlns:a16="http://schemas.microsoft.com/office/drawing/2014/main" id="{694A924A-9512-A46D-C642-90A67C76E6F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59" name="Shape 10">
            <a:extLst>
              <a:ext uri="{FF2B5EF4-FFF2-40B4-BE49-F238E27FC236}">
                <a16:creationId xmlns:a16="http://schemas.microsoft.com/office/drawing/2014/main" id="{E4ADE93A-7700-4D49-41DF-194FDF3F183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60" name="Shape 11">
            <a:extLst>
              <a:ext uri="{FF2B5EF4-FFF2-40B4-BE49-F238E27FC236}">
                <a16:creationId xmlns:a16="http://schemas.microsoft.com/office/drawing/2014/main" id="{CED34D22-941C-6720-51E4-71F71F25A50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61" name="Shape 12">
            <a:extLst>
              <a:ext uri="{FF2B5EF4-FFF2-40B4-BE49-F238E27FC236}">
                <a16:creationId xmlns:a16="http://schemas.microsoft.com/office/drawing/2014/main" id="{0DF1D4DF-EF9A-804E-5D17-FABDED4A78E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62" name="Shape 13">
            <a:extLst>
              <a:ext uri="{FF2B5EF4-FFF2-40B4-BE49-F238E27FC236}">
                <a16:creationId xmlns:a16="http://schemas.microsoft.com/office/drawing/2014/main" id="{67ADF12D-01D2-2DE5-8D68-9175D94AB1E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63" name="Shape 14">
            <a:extLst>
              <a:ext uri="{FF2B5EF4-FFF2-40B4-BE49-F238E27FC236}">
                <a16:creationId xmlns:a16="http://schemas.microsoft.com/office/drawing/2014/main" id="{2EC1B57A-04D0-AA6D-B8B3-218DB25E49E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64" name="Shape 15">
            <a:extLst>
              <a:ext uri="{FF2B5EF4-FFF2-40B4-BE49-F238E27FC236}">
                <a16:creationId xmlns:a16="http://schemas.microsoft.com/office/drawing/2014/main" id="{6F820D60-2321-3C12-2D69-AC78E8302D4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65" name="Shape 16">
            <a:extLst>
              <a:ext uri="{FF2B5EF4-FFF2-40B4-BE49-F238E27FC236}">
                <a16:creationId xmlns:a16="http://schemas.microsoft.com/office/drawing/2014/main" id="{DA012D59-BCA3-07A4-F75F-E0AB1AAF794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599</xdr:row>
      <xdr:rowOff>3246</xdr:rowOff>
    </xdr:from>
    <xdr:ext cx="33655" cy="33655"/>
    <xdr:grpSp>
      <xdr:nvGrpSpPr>
        <xdr:cNvPr id="9566" name="Group 17">
          <a:extLst>
            <a:ext uri="{FF2B5EF4-FFF2-40B4-BE49-F238E27FC236}">
              <a16:creationId xmlns:a16="http://schemas.microsoft.com/office/drawing/2014/main" id="{E54DC1CF-8EBB-45B2-8ABF-0DD803E83302}"/>
            </a:ext>
          </a:extLst>
        </xdr:cNvPr>
        <xdr:cNvGrpSpPr/>
      </xdr:nvGrpSpPr>
      <xdr:grpSpPr>
        <a:xfrm>
          <a:off x="4603072" y="111623754"/>
          <a:ext cx="33655" cy="33655"/>
          <a:chOff x="0" y="0"/>
          <a:chExt cx="33655" cy="33655"/>
        </a:xfrm>
      </xdr:grpSpPr>
      <xdr:sp macro="" textlink="">
        <xdr:nvSpPr>
          <xdr:cNvPr id="9567" name="Shape 18">
            <a:extLst>
              <a:ext uri="{FF2B5EF4-FFF2-40B4-BE49-F238E27FC236}">
                <a16:creationId xmlns:a16="http://schemas.microsoft.com/office/drawing/2014/main" id="{5F3A7B82-AF73-D6BD-61A8-11104B3990D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68" name="Shape 19">
            <a:extLst>
              <a:ext uri="{FF2B5EF4-FFF2-40B4-BE49-F238E27FC236}">
                <a16:creationId xmlns:a16="http://schemas.microsoft.com/office/drawing/2014/main" id="{8F6F2E53-5640-C29D-0700-289A44939A0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69" name="Shape 20">
            <a:extLst>
              <a:ext uri="{FF2B5EF4-FFF2-40B4-BE49-F238E27FC236}">
                <a16:creationId xmlns:a16="http://schemas.microsoft.com/office/drawing/2014/main" id="{2232977C-31A9-F756-D579-1FB0AB4F6E6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70" name="Shape 21">
            <a:extLst>
              <a:ext uri="{FF2B5EF4-FFF2-40B4-BE49-F238E27FC236}">
                <a16:creationId xmlns:a16="http://schemas.microsoft.com/office/drawing/2014/main" id="{F61B4179-F0B2-7562-80AC-F090F9DDE98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71" name="Shape 22">
            <a:extLst>
              <a:ext uri="{FF2B5EF4-FFF2-40B4-BE49-F238E27FC236}">
                <a16:creationId xmlns:a16="http://schemas.microsoft.com/office/drawing/2014/main" id="{772BDAC6-93B2-1CE5-9C67-11BEF2F10C7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72" name="Shape 23">
            <a:extLst>
              <a:ext uri="{FF2B5EF4-FFF2-40B4-BE49-F238E27FC236}">
                <a16:creationId xmlns:a16="http://schemas.microsoft.com/office/drawing/2014/main" id="{1FEAB1D6-928B-2F4C-7AD4-7BAA8A26468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73" name="Shape 24">
            <a:extLst>
              <a:ext uri="{FF2B5EF4-FFF2-40B4-BE49-F238E27FC236}">
                <a16:creationId xmlns:a16="http://schemas.microsoft.com/office/drawing/2014/main" id="{E6C6E969-2D5A-1719-DBCD-FE699DB91D8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74" name="Shape 25">
            <a:extLst>
              <a:ext uri="{FF2B5EF4-FFF2-40B4-BE49-F238E27FC236}">
                <a16:creationId xmlns:a16="http://schemas.microsoft.com/office/drawing/2014/main" id="{78C60FAF-8FC2-07F9-7DDB-EDCDB5F4797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75" name="Shape 26">
            <a:extLst>
              <a:ext uri="{FF2B5EF4-FFF2-40B4-BE49-F238E27FC236}">
                <a16:creationId xmlns:a16="http://schemas.microsoft.com/office/drawing/2014/main" id="{A87C2747-F376-59F9-8462-86B2A1D8DAA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76" name="Shape 27">
            <a:extLst>
              <a:ext uri="{FF2B5EF4-FFF2-40B4-BE49-F238E27FC236}">
                <a16:creationId xmlns:a16="http://schemas.microsoft.com/office/drawing/2014/main" id="{5533DE7E-4A4F-EC17-C6A8-24427F8B58A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77" name="Shape 28">
            <a:extLst>
              <a:ext uri="{FF2B5EF4-FFF2-40B4-BE49-F238E27FC236}">
                <a16:creationId xmlns:a16="http://schemas.microsoft.com/office/drawing/2014/main" id="{7C5CD96C-36BE-CB85-0259-1FC4041D972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78" name="Shape 29">
            <a:extLst>
              <a:ext uri="{FF2B5EF4-FFF2-40B4-BE49-F238E27FC236}">
                <a16:creationId xmlns:a16="http://schemas.microsoft.com/office/drawing/2014/main" id="{539DEF65-CFB5-C9F6-D108-8AD8F1A1815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79" name="Shape 30">
            <a:extLst>
              <a:ext uri="{FF2B5EF4-FFF2-40B4-BE49-F238E27FC236}">
                <a16:creationId xmlns:a16="http://schemas.microsoft.com/office/drawing/2014/main" id="{E7220D88-A1E7-0711-E0C2-1932BAFFB9F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80" name="Shape 31">
            <a:extLst>
              <a:ext uri="{FF2B5EF4-FFF2-40B4-BE49-F238E27FC236}">
                <a16:creationId xmlns:a16="http://schemas.microsoft.com/office/drawing/2014/main" id="{8DE2E650-2721-C216-2B99-BE1BE98DF71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599</xdr:row>
      <xdr:rowOff>3703</xdr:rowOff>
    </xdr:from>
    <xdr:ext cx="33655" cy="33655"/>
    <xdr:grpSp>
      <xdr:nvGrpSpPr>
        <xdr:cNvPr id="9581" name="Group 32">
          <a:extLst>
            <a:ext uri="{FF2B5EF4-FFF2-40B4-BE49-F238E27FC236}">
              <a16:creationId xmlns:a16="http://schemas.microsoft.com/office/drawing/2014/main" id="{93DDC640-B35E-4952-9DA5-C387D069F2D4}"/>
            </a:ext>
          </a:extLst>
        </xdr:cNvPr>
        <xdr:cNvGrpSpPr/>
      </xdr:nvGrpSpPr>
      <xdr:grpSpPr>
        <a:xfrm>
          <a:off x="4603072" y="111624211"/>
          <a:ext cx="33655" cy="33655"/>
          <a:chOff x="0" y="0"/>
          <a:chExt cx="33655" cy="33655"/>
        </a:xfrm>
      </xdr:grpSpPr>
      <xdr:sp macro="" textlink="">
        <xdr:nvSpPr>
          <xdr:cNvPr id="9582" name="Shape 33">
            <a:extLst>
              <a:ext uri="{FF2B5EF4-FFF2-40B4-BE49-F238E27FC236}">
                <a16:creationId xmlns:a16="http://schemas.microsoft.com/office/drawing/2014/main" id="{3BD02927-7F54-6AAB-4EB2-40782384F1BE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83" name="Shape 34">
            <a:extLst>
              <a:ext uri="{FF2B5EF4-FFF2-40B4-BE49-F238E27FC236}">
                <a16:creationId xmlns:a16="http://schemas.microsoft.com/office/drawing/2014/main" id="{271C240A-39EC-AC9F-5EC3-EBD4589113A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84" name="Shape 35">
            <a:extLst>
              <a:ext uri="{FF2B5EF4-FFF2-40B4-BE49-F238E27FC236}">
                <a16:creationId xmlns:a16="http://schemas.microsoft.com/office/drawing/2014/main" id="{0E468888-AF77-AAED-03D0-30CF7FDD6DE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85" name="Shape 36">
            <a:extLst>
              <a:ext uri="{FF2B5EF4-FFF2-40B4-BE49-F238E27FC236}">
                <a16:creationId xmlns:a16="http://schemas.microsoft.com/office/drawing/2014/main" id="{85F5B812-B6DD-E009-8364-1B37EC4FA04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86" name="Shape 37">
            <a:extLst>
              <a:ext uri="{FF2B5EF4-FFF2-40B4-BE49-F238E27FC236}">
                <a16:creationId xmlns:a16="http://schemas.microsoft.com/office/drawing/2014/main" id="{9F03276D-BB08-2213-5B17-004F21A6A37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87" name="Shape 38">
            <a:extLst>
              <a:ext uri="{FF2B5EF4-FFF2-40B4-BE49-F238E27FC236}">
                <a16:creationId xmlns:a16="http://schemas.microsoft.com/office/drawing/2014/main" id="{00BD7746-A29E-3683-CAA9-E033BEDE692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88" name="Shape 39">
            <a:extLst>
              <a:ext uri="{FF2B5EF4-FFF2-40B4-BE49-F238E27FC236}">
                <a16:creationId xmlns:a16="http://schemas.microsoft.com/office/drawing/2014/main" id="{8C29538A-C180-829E-43F9-4896797BCE2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89" name="Shape 40">
            <a:extLst>
              <a:ext uri="{FF2B5EF4-FFF2-40B4-BE49-F238E27FC236}">
                <a16:creationId xmlns:a16="http://schemas.microsoft.com/office/drawing/2014/main" id="{5BA92385-3B24-51E7-3713-4BA486A2BC5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90" name="Shape 41">
            <a:extLst>
              <a:ext uri="{FF2B5EF4-FFF2-40B4-BE49-F238E27FC236}">
                <a16:creationId xmlns:a16="http://schemas.microsoft.com/office/drawing/2014/main" id="{562FFC54-9EEB-5B4F-8798-ED92E36E3E9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91" name="Shape 42">
            <a:extLst>
              <a:ext uri="{FF2B5EF4-FFF2-40B4-BE49-F238E27FC236}">
                <a16:creationId xmlns:a16="http://schemas.microsoft.com/office/drawing/2014/main" id="{EFD34403-2792-947B-E262-C4D5FC8AA5E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92" name="Shape 43">
            <a:extLst>
              <a:ext uri="{FF2B5EF4-FFF2-40B4-BE49-F238E27FC236}">
                <a16:creationId xmlns:a16="http://schemas.microsoft.com/office/drawing/2014/main" id="{FB2CABCD-08CD-1B5F-CFBE-BF5865B6A2E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93" name="Shape 44">
            <a:extLst>
              <a:ext uri="{FF2B5EF4-FFF2-40B4-BE49-F238E27FC236}">
                <a16:creationId xmlns:a16="http://schemas.microsoft.com/office/drawing/2014/main" id="{F7149B4E-187B-F4E2-D3FD-0686DDCB4B5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94" name="Shape 45">
            <a:extLst>
              <a:ext uri="{FF2B5EF4-FFF2-40B4-BE49-F238E27FC236}">
                <a16:creationId xmlns:a16="http://schemas.microsoft.com/office/drawing/2014/main" id="{8B5D01DA-0706-32F2-8BF3-79DF22A7300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95" name="Shape 46">
            <a:extLst>
              <a:ext uri="{FF2B5EF4-FFF2-40B4-BE49-F238E27FC236}">
                <a16:creationId xmlns:a16="http://schemas.microsoft.com/office/drawing/2014/main" id="{27739598-F472-B1C2-CA5A-C008AA3F301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599</xdr:row>
      <xdr:rowOff>3409</xdr:rowOff>
    </xdr:from>
    <xdr:ext cx="33655" cy="33655"/>
    <xdr:grpSp>
      <xdr:nvGrpSpPr>
        <xdr:cNvPr id="9596" name="Group 47">
          <a:extLst>
            <a:ext uri="{FF2B5EF4-FFF2-40B4-BE49-F238E27FC236}">
              <a16:creationId xmlns:a16="http://schemas.microsoft.com/office/drawing/2014/main" id="{99D01034-D56A-4ADB-8461-970FF5BCC0ED}"/>
            </a:ext>
          </a:extLst>
        </xdr:cNvPr>
        <xdr:cNvGrpSpPr/>
      </xdr:nvGrpSpPr>
      <xdr:grpSpPr>
        <a:xfrm>
          <a:off x="4603072" y="111623917"/>
          <a:ext cx="33655" cy="33655"/>
          <a:chOff x="0" y="0"/>
          <a:chExt cx="33655" cy="33655"/>
        </a:xfrm>
      </xdr:grpSpPr>
      <xdr:sp macro="" textlink="">
        <xdr:nvSpPr>
          <xdr:cNvPr id="9597" name="Shape 48">
            <a:extLst>
              <a:ext uri="{FF2B5EF4-FFF2-40B4-BE49-F238E27FC236}">
                <a16:creationId xmlns:a16="http://schemas.microsoft.com/office/drawing/2014/main" id="{3AD580F6-8E6A-3F0E-3F1E-8CE3A6C9EBE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598" name="Shape 49">
            <a:extLst>
              <a:ext uri="{FF2B5EF4-FFF2-40B4-BE49-F238E27FC236}">
                <a16:creationId xmlns:a16="http://schemas.microsoft.com/office/drawing/2014/main" id="{3A038B8C-5157-ED39-AB11-7373D21733E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599" name="Shape 50">
            <a:extLst>
              <a:ext uri="{FF2B5EF4-FFF2-40B4-BE49-F238E27FC236}">
                <a16:creationId xmlns:a16="http://schemas.microsoft.com/office/drawing/2014/main" id="{5DEE62B5-5060-0A28-E2B7-997C39F30E3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00" name="Shape 51">
            <a:extLst>
              <a:ext uri="{FF2B5EF4-FFF2-40B4-BE49-F238E27FC236}">
                <a16:creationId xmlns:a16="http://schemas.microsoft.com/office/drawing/2014/main" id="{309405F3-CD19-D3FF-7FAF-1DAD6F8AF12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01" name="Shape 52">
            <a:extLst>
              <a:ext uri="{FF2B5EF4-FFF2-40B4-BE49-F238E27FC236}">
                <a16:creationId xmlns:a16="http://schemas.microsoft.com/office/drawing/2014/main" id="{C581C9FA-32EB-0CC0-6362-86B54AF7FE7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02" name="Shape 53">
            <a:extLst>
              <a:ext uri="{FF2B5EF4-FFF2-40B4-BE49-F238E27FC236}">
                <a16:creationId xmlns:a16="http://schemas.microsoft.com/office/drawing/2014/main" id="{1A0055B5-F702-F037-4F53-1EE0B49193C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03" name="Shape 54">
            <a:extLst>
              <a:ext uri="{FF2B5EF4-FFF2-40B4-BE49-F238E27FC236}">
                <a16:creationId xmlns:a16="http://schemas.microsoft.com/office/drawing/2014/main" id="{EAFB6A47-3D9E-BD8E-33AC-41C1ECE5014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04" name="Shape 55">
            <a:extLst>
              <a:ext uri="{FF2B5EF4-FFF2-40B4-BE49-F238E27FC236}">
                <a16:creationId xmlns:a16="http://schemas.microsoft.com/office/drawing/2014/main" id="{C32310D5-9CC0-CE52-2C87-D106FA79ED7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05" name="Shape 56">
            <a:extLst>
              <a:ext uri="{FF2B5EF4-FFF2-40B4-BE49-F238E27FC236}">
                <a16:creationId xmlns:a16="http://schemas.microsoft.com/office/drawing/2014/main" id="{CDAE6F2E-5BE5-FEF4-E659-DA5A5D23D54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06" name="Shape 57">
            <a:extLst>
              <a:ext uri="{FF2B5EF4-FFF2-40B4-BE49-F238E27FC236}">
                <a16:creationId xmlns:a16="http://schemas.microsoft.com/office/drawing/2014/main" id="{E1A072B2-221F-8783-F6B2-B74CD5B94F1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07" name="Shape 58">
            <a:extLst>
              <a:ext uri="{FF2B5EF4-FFF2-40B4-BE49-F238E27FC236}">
                <a16:creationId xmlns:a16="http://schemas.microsoft.com/office/drawing/2014/main" id="{46D37A14-26A4-68A9-2267-5A6BC6FED91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08" name="Shape 59">
            <a:extLst>
              <a:ext uri="{FF2B5EF4-FFF2-40B4-BE49-F238E27FC236}">
                <a16:creationId xmlns:a16="http://schemas.microsoft.com/office/drawing/2014/main" id="{583558BD-FFCE-9361-D772-9E3B10C1469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09" name="Shape 60">
            <a:extLst>
              <a:ext uri="{FF2B5EF4-FFF2-40B4-BE49-F238E27FC236}">
                <a16:creationId xmlns:a16="http://schemas.microsoft.com/office/drawing/2014/main" id="{EC0A9D69-D429-B52D-B3B2-8D7BFFD663D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10" name="Shape 61">
            <a:extLst>
              <a:ext uri="{FF2B5EF4-FFF2-40B4-BE49-F238E27FC236}">
                <a16:creationId xmlns:a16="http://schemas.microsoft.com/office/drawing/2014/main" id="{B7EADCBC-B2AC-0C1E-C66C-7F37C65EFFD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599</xdr:row>
      <xdr:rowOff>3962</xdr:rowOff>
    </xdr:from>
    <xdr:ext cx="33655" cy="33655"/>
    <xdr:grpSp>
      <xdr:nvGrpSpPr>
        <xdr:cNvPr id="9611" name="Group 62">
          <a:extLst>
            <a:ext uri="{FF2B5EF4-FFF2-40B4-BE49-F238E27FC236}">
              <a16:creationId xmlns:a16="http://schemas.microsoft.com/office/drawing/2014/main" id="{569D54C7-F15B-40CB-82F4-4238D3023795}"/>
            </a:ext>
          </a:extLst>
        </xdr:cNvPr>
        <xdr:cNvGrpSpPr/>
      </xdr:nvGrpSpPr>
      <xdr:grpSpPr>
        <a:xfrm>
          <a:off x="4603072" y="111624470"/>
          <a:ext cx="33655" cy="33655"/>
          <a:chOff x="0" y="0"/>
          <a:chExt cx="33655" cy="33655"/>
        </a:xfrm>
      </xdr:grpSpPr>
      <xdr:sp macro="" textlink="">
        <xdr:nvSpPr>
          <xdr:cNvPr id="9612" name="Shape 63">
            <a:extLst>
              <a:ext uri="{FF2B5EF4-FFF2-40B4-BE49-F238E27FC236}">
                <a16:creationId xmlns:a16="http://schemas.microsoft.com/office/drawing/2014/main" id="{89511A54-A1F0-581F-1AFD-F53C15E4066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13" name="Shape 64">
            <a:extLst>
              <a:ext uri="{FF2B5EF4-FFF2-40B4-BE49-F238E27FC236}">
                <a16:creationId xmlns:a16="http://schemas.microsoft.com/office/drawing/2014/main" id="{B2579185-9D7B-88A0-104A-4BB80979001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14" name="Shape 65">
            <a:extLst>
              <a:ext uri="{FF2B5EF4-FFF2-40B4-BE49-F238E27FC236}">
                <a16:creationId xmlns:a16="http://schemas.microsoft.com/office/drawing/2014/main" id="{D584996B-2CFE-3802-D976-9AF8112F3A8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15" name="Shape 66">
            <a:extLst>
              <a:ext uri="{FF2B5EF4-FFF2-40B4-BE49-F238E27FC236}">
                <a16:creationId xmlns:a16="http://schemas.microsoft.com/office/drawing/2014/main" id="{A0B5CC66-257E-B35F-F7D7-246BFFCF0B3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16" name="Shape 67">
            <a:extLst>
              <a:ext uri="{FF2B5EF4-FFF2-40B4-BE49-F238E27FC236}">
                <a16:creationId xmlns:a16="http://schemas.microsoft.com/office/drawing/2014/main" id="{7F798757-D760-7AF4-D90A-DBA3AAA3859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17" name="Shape 68">
            <a:extLst>
              <a:ext uri="{FF2B5EF4-FFF2-40B4-BE49-F238E27FC236}">
                <a16:creationId xmlns:a16="http://schemas.microsoft.com/office/drawing/2014/main" id="{631613D8-6EBE-EE75-F53F-1D3A71CB606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18" name="Shape 69">
            <a:extLst>
              <a:ext uri="{FF2B5EF4-FFF2-40B4-BE49-F238E27FC236}">
                <a16:creationId xmlns:a16="http://schemas.microsoft.com/office/drawing/2014/main" id="{45983E6C-3D2D-FCFD-0BE7-048FB8B92F6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19" name="Shape 70">
            <a:extLst>
              <a:ext uri="{FF2B5EF4-FFF2-40B4-BE49-F238E27FC236}">
                <a16:creationId xmlns:a16="http://schemas.microsoft.com/office/drawing/2014/main" id="{221356BF-CF85-1663-4EAF-2554451707C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20" name="Shape 71">
            <a:extLst>
              <a:ext uri="{FF2B5EF4-FFF2-40B4-BE49-F238E27FC236}">
                <a16:creationId xmlns:a16="http://schemas.microsoft.com/office/drawing/2014/main" id="{B32BE00E-91DD-C630-C386-B75C6175B2E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21" name="Shape 72">
            <a:extLst>
              <a:ext uri="{FF2B5EF4-FFF2-40B4-BE49-F238E27FC236}">
                <a16:creationId xmlns:a16="http://schemas.microsoft.com/office/drawing/2014/main" id="{8CE2ABFE-2FDA-B601-65D9-B994C423B28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22" name="Shape 73">
            <a:extLst>
              <a:ext uri="{FF2B5EF4-FFF2-40B4-BE49-F238E27FC236}">
                <a16:creationId xmlns:a16="http://schemas.microsoft.com/office/drawing/2014/main" id="{A46EC478-78AC-8803-6C38-AF056DC462C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23" name="Shape 74">
            <a:extLst>
              <a:ext uri="{FF2B5EF4-FFF2-40B4-BE49-F238E27FC236}">
                <a16:creationId xmlns:a16="http://schemas.microsoft.com/office/drawing/2014/main" id="{B48B79DA-2AD6-833F-269E-B307D97A3A2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24" name="Shape 75">
            <a:extLst>
              <a:ext uri="{FF2B5EF4-FFF2-40B4-BE49-F238E27FC236}">
                <a16:creationId xmlns:a16="http://schemas.microsoft.com/office/drawing/2014/main" id="{A6DB3C72-B4CA-626B-1322-AD6DE688D29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25" name="Shape 76">
            <a:extLst>
              <a:ext uri="{FF2B5EF4-FFF2-40B4-BE49-F238E27FC236}">
                <a16:creationId xmlns:a16="http://schemas.microsoft.com/office/drawing/2014/main" id="{7F426F4C-DE42-5720-62A7-A8570058157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599</xdr:row>
      <xdr:rowOff>2978</xdr:rowOff>
    </xdr:from>
    <xdr:ext cx="33655" cy="33655"/>
    <xdr:grpSp>
      <xdr:nvGrpSpPr>
        <xdr:cNvPr id="9626" name="Group 2">
          <a:extLst>
            <a:ext uri="{FF2B5EF4-FFF2-40B4-BE49-F238E27FC236}">
              <a16:creationId xmlns:a16="http://schemas.microsoft.com/office/drawing/2014/main" id="{8C8A2D23-30A9-42DC-A1C9-6492F1B571E5}"/>
            </a:ext>
          </a:extLst>
        </xdr:cNvPr>
        <xdr:cNvGrpSpPr/>
      </xdr:nvGrpSpPr>
      <xdr:grpSpPr>
        <a:xfrm>
          <a:off x="4603072" y="111623486"/>
          <a:ext cx="33655" cy="33655"/>
          <a:chOff x="0" y="0"/>
          <a:chExt cx="33655" cy="33655"/>
        </a:xfrm>
      </xdr:grpSpPr>
      <xdr:sp macro="" textlink="">
        <xdr:nvSpPr>
          <xdr:cNvPr id="9627" name="Shape 3">
            <a:extLst>
              <a:ext uri="{FF2B5EF4-FFF2-40B4-BE49-F238E27FC236}">
                <a16:creationId xmlns:a16="http://schemas.microsoft.com/office/drawing/2014/main" id="{B2A19D40-2896-E875-1F6D-69C312E31DA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28" name="Shape 4">
            <a:extLst>
              <a:ext uri="{FF2B5EF4-FFF2-40B4-BE49-F238E27FC236}">
                <a16:creationId xmlns:a16="http://schemas.microsoft.com/office/drawing/2014/main" id="{23126F1E-ABE4-DBF0-E0CA-89810E68482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29" name="Shape 5">
            <a:extLst>
              <a:ext uri="{FF2B5EF4-FFF2-40B4-BE49-F238E27FC236}">
                <a16:creationId xmlns:a16="http://schemas.microsoft.com/office/drawing/2014/main" id="{EA5CDE15-F73B-7130-C58A-07934BA4658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30" name="Shape 6">
            <a:extLst>
              <a:ext uri="{FF2B5EF4-FFF2-40B4-BE49-F238E27FC236}">
                <a16:creationId xmlns:a16="http://schemas.microsoft.com/office/drawing/2014/main" id="{238332B2-CDBC-A6E1-6644-C35D54AB624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31" name="Shape 7">
            <a:extLst>
              <a:ext uri="{FF2B5EF4-FFF2-40B4-BE49-F238E27FC236}">
                <a16:creationId xmlns:a16="http://schemas.microsoft.com/office/drawing/2014/main" id="{FA1697E0-F77D-1415-345E-A5823E0EC6E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32" name="Shape 8">
            <a:extLst>
              <a:ext uri="{FF2B5EF4-FFF2-40B4-BE49-F238E27FC236}">
                <a16:creationId xmlns:a16="http://schemas.microsoft.com/office/drawing/2014/main" id="{8364D925-5695-B913-450C-6721EA9D2F0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33" name="Shape 9">
            <a:extLst>
              <a:ext uri="{FF2B5EF4-FFF2-40B4-BE49-F238E27FC236}">
                <a16:creationId xmlns:a16="http://schemas.microsoft.com/office/drawing/2014/main" id="{DF322F6A-5101-0473-C38B-0E51D87961B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34" name="Shape 10">
            <a:extLst>
              <a:ext uri="{FF2B5EF4-FFF2-40B4-BE49-F238E27FC236}">
                <a16:creationId xmlns:a16="http://schemas.microsoft.com/office/drawing/2014/main" id="{951E0DC7-504A-C4C3-035D-2823F71D641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35" name="Shape 11">
            <a:extLst>
              <a:ext uri="{FF2B5EF4-FFF2-40B4-BE49-F238E27FC236}">
                <a16:creationId xmlns:a16="http://schemas.microsoft.com/office/drawing/2014/main" id="{98015483-6C7A-ABE3-43C5-219AB7FAE99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36" name="Shape 12">
            <a:extLst>
              <a:ext uri="{FF2B5EF4-FFF2-40B4-BE49-F238E27FC236}">
                <a16:creationId xmlns:a16="http://schemas.microsoft.com/office/drawing/2014/main" id="{F7A463CD-C926-F9F3-A950-EF1D19CF2C9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37" name="Shape 13">
            <a:extLst>
              <a:ext uri="{FF2B5EF4-FFF2-40B4-BE49-F238E27FC236}">
                <a16:creationId xmlns:a16="http://schemas.microsoft.com/office/drawing/2014/main" id="{38A5C374-6D91-15D0-F39B-816C424F0DB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38" name="Shape 14">
            <a:extLst>
              <a:ext uri="{FF2B5EF4-FFF2-40B4-BE49-F238E27FC236}">
                <a16:creationId xmlns:a16="http://schemas.microsoft.com/office/drawing/2014/main" id="{6B6E750B-F8DD-AE13-5762-DC366BB4F08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39" name="Shape 15">
            <a:extLst>
              <a:ext uri="{FF2B5EF4-FFF2-40B4-BE49-F238E27FC236}">
                <a16:creationId xmlns:a16="http://schemas.microsoft.com/office/drawing/2014/main" id="{4AD1ECDD-E282-0F1E-58F6-C590D4BB13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40" name="Shape 16">
            <a:extLst>
              <a:ext uri="{FF2B5EF4-FFF2-40B4-BE49-F238E27FC236}">
                <a16:creationId xmlns:a16="http://schemas.microsoft.com/office/drawing/2014/main" id="{5E5D6524-2A8D-702D-3AAC-C52C3D1866B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599</xdr:row>
      <xdr:rowOff>3246</xdr:rowOff>
    </xdr:from>
    <xdr:ext cx="33655" cy="33655"/>
    <xdr:grpSp>
      <xdr:nvGrpSpPr>
        <xdr:cNvPr id="9641" name="Group 17">
          <a:extLst>
            <a:ext uri="{FF2B5EF4-FFF2-40B4-BE49-F238E27FC236}">
              <a16:creationId xmlns:a16="http://schemas.microsoft.com/office/drawing/2014/main" id="{D19A05AE-DDD0-42FA-A821-5BE6A7F52A3C}"/>
            </a:ext>
          </a:extLst>
        </xdr:cNvPr>
        <xdr:cNvGrpSpPr/>
      </xdr:nvGrpSpPr>
      <xdr:grpSpPr>
        <a:xfrm>
          <a:off x="4603072" y="111623754"/>
          <a:ext cx="33655" cy="33655"/>
          <a:chOff x="0" y="0"/>
          <a:chExt cx="33655" cy="33655"/>
        </a:xfrm>
      </xdr:grpSpPr>
      <xdr:sp macro="" textlink="">
        <xdr:nvSpPr>
          <xdr:cNvPr id="9642" name="Shape 18">
            <a:extLst>
              <a:ext uri="{FF2B5EF4-FFF2-40B4-BE49-F238E27FC236}">
                <a16:creationId xmlns:a16="http://schemas.microsoft.com/office/drawing/2014/main" id="{5F93ED34-127E-0095-F945-CC91C95E6CC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43" name="Shape 19">
            <a:extLst>
              <a:ext uri="{FF2B5EF4-FFF2-40B4-BE49-F238E27FC236}">
                <a16:creationId xmlns:a16="http://schemas.microsoft.com/office/drawing/2014/main" id="{645F0336-D4B7-6842-2A4E-6E914D19CA7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44" name="Shape 20">
            <a:extLst>
              <a:ext uri="{FF2B5EF4-FFF2-40B4-BE49-F238E27FC236}">
                <a16:creationId xmlns:a16="http://schemas.microsoft.com/office/drawing/2014/main" id="{0E7AADF2-72B8-9DDC-AF8F-0545C3B227D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45" name="Shape 21">
            <a:extLst>
              <a:ext uri="{FF2B5EF4-FFF2-40B4-BE49-F238E27FC236}">
                <a16:creationId xmlns:a16="http://schemas.microsoft.com/office/drawing/2014/main" id="{A5BEF210-5593-3516-9B23-DF30E398E29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46" name="Shape 22">
            <a:extLst>
              <a:ext uri="{FF2B5EF4-FFF2-40B4-BE49-F238E27FC236}">
                <a16:creationId xmlns:a16="http://schemas.microsoft.com/office/drawing/2014/main" id="{DF553B82-F79F-2685-3DEC-4CC6B4430E6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47" name="Shape 23">
            <a:extLst>
              <a:ext uri="{FF2B5EF4-FFF2-40B4-BE49-F238E27FC236}">
                <a16:creationId xmlns:a16="http://schemas.microsoft.com/office/drawing/2014/main" id="{FDE4B8D3-06F7-27E1-369E-9F8D883ABA5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48" name="Shape 24">
            <a:extLst>
              <a:ext uri="{FF2B5EF4-FFF2-40B4-BE49-F238E27FC236}">
                <a16:creationId xmlns:a16="http://schemas.microsoft.com/office/drawing/2014/main" id="{FA89220E-6807-24FB-548B-F88E1A9B568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49" name="Shape 25">
            <a:extLst>
              <a:ext uri="{FF2B5EF4-FFF2-40B4-BE49-F238E27FC236}">
                <a16:creationId xmlns:a16="http://schemas.microsoft.com/office/drawing/2014/main" id="{A960CE6F-07F2-4560-5D27-F7DBDECB7C9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50" name="Shape 26">
            <a:extLst>
              <a:ext uri="{FF2B5EF4-FFF2-40B4-BE49-F238E27FC236}">
                <a16:creationId xmlns:a16="http://schemas.microsoft.com/office/drawing/2014/main" id="{20F98037-905A-99A6-FF0E-3B3BD30872E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51" name="Shape 27">
            <a:extLst>
              <a:ext uri="{FF2B5EF4-FFF2-40B4-BE49-F238E27FC236}">
                <a16:creationId xmlns:a16="http://schemas.microsoft.com/office/drawing/2014/main" id="{43B75C56-CA56-8DF2-782A-A08B846558E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52" name="Shape 28">
            <a:extLst>
              <a:ext uri="{FF2B5EF4-FFF2-40B4-BE49-F238E27FC236}">
                <a16:creationId xmlns:a16="http://schemas.microsoft.com/office/drawing/2014/main" id="{8EB6360C-5BE9-D68A-F0CF-DD7DA462237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53" name="Shape 29">
            <a:extLst>
              <a:ext uri="{FF2B5EF4-FFF2-40B4-BE49-F238E27FC236}">
                <a16:creationId xmlns:a16="http://schemas.microsoft.com/office/drawing/2014/main" id="{877CCF19-CE2C-1FAE-DDD7-6B037A68CC6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54" name="Shape 30">
            <a:extLst>
              <a:ext uri="{FF2B5EF4-FFF2-40B4-BE49-F238E27FC236}">
                <a16:creationId xmlns:a16="http://schemas.microsoft.com/office/drawing/2014/main" id="{8F309B80-ED42-D1CA-33B2-D141181415A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55" name="Shape 31">
            <a:extLst>
              <a:ext uri="{FF2B5EF4-FFF2-40B4-BE49-F238E27FC236}">
                <a16:creationId xmlns:a16="http://schemas.microsoft.com/office/drawing/2014/main" id="{32C936BF-2760-0488-380F-37DFB879FF2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599</xdr:row>
      <xdr:rowOff>3703</xdr:rowOff>
    </xdr:from>
    <xdr:ext cx="33655" cy="33655"/>
    <xdr:grpSp>
      <xdr:nvGrpSpPr>
        <xdr:cNvPr id="9656" name="Group 32">
          <a:extLst>
            <a:ext uri="{FF2B5EF4-FFF2-40B4-BE49-F238E27FC236}">
              <a16:creationId xmlns:a16="http://schemas.microsoft.com/office/drawing/2014/main" id="{B0A5BA9E-EB3B-49C6-8FA6-CE1DD6488EF5}"/>
            </a:ext>
          </a:extLst>
        </xdr:cNvPr>
        <xdr:cNvGrpSpPr/>
      </xdr:nvGrpSpPr>
      <xdr:grpSpPr>
        <a:xfrm>
          <a:off x="4603072" y="111624211"/>
          <a:ext cx="33655" cy="33655"/>
          <a:chOff x="0" y="0"/>
          <a:chExt cx="33655" cy="33655"/>
        </a:xfrm>
      </xdr:grpSpPr>
      <xdr:sp macro="" textlink="">
        <xdr:nvSpPr>
          <xdr:cNvPr id="9657" name="Shape 33">
            <a:extLst>
              <a:ext uri="{FF2B5EF4-FFF2-40B4-BE49-F238E27FC236}">
                <a16:creationId xmlns:a16="http://schemas.microsoft.com/office/drawing/2014/main" id="{47527E47-1EE5-BD8C-4E35-5435295FE89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58" name="Shape 34">
            <a:extLst>
              <a:ext uri="{FF2B5EF4-FFF2-40B4-BE49-F238E27FC236}">
                <a16:creationId xmlns:a16="http://schemas.microsoft.com/office/drawing/2014/main" id="{2FE186D4-B08B-D5BB-7C4C-27DA65F8072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59" name="Shape 35">
            <a:extLst>
              <a:ext uri="{FF2B5EF4-FFF2-40B4-BE49-F238E27FC236}">
                <a16:creationId xmlns:a16="http://schemas.microsoft.com/office/drawing/2014/main" id="{E7B8E064-4F99-6276-713A-1EC169552A5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60" name="Shape 36">
            <a:extLst>
              <a:ext uri="{FF2B5EF4-FFF2-40B4-BE49-F238E27FC236}">
                <a16:creationId xmlns:a16="http://schemas.microsoft.com/office/drawing/2014/main" id="{EABFECD9-A064-2F13-03F7-B7A04280E5E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61" name="Shape 37">
            <a:extLst>
              <a:ext uri="{FF2B5EF4-FFF2-40B4-BE49-F238E27FC236}">
                <a16:creationId xmlns:a16="http://schemas.microsoft.com/office/drawing/2014/main" id="{3040128C-7131-B8B3-10EB-F7621D93C7F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62" name="Shape 38">
            <a:extLst>
              <a:ext uri="{FF2B5EF4-FFF2-40B4-BE49-F238E27FC236}">
                <a16:creationId xmlns:a16="http://schemas.microsoft.com/office/drawing/2014/main" id="{1DFC8F1E-D4EF-047C-7154-ADB060068AF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63" name="Shape 39">
            <a:extLst>
              <a:ext uri="{FF2B5EF4-FFF2-40B4-BE49-F238E27FC236}">
                <a16:creationId xmlns:a16="http://schemas.microsoft.com/office/drawing/2014/main" id="{45C10E89-9B6B-1C6C-4921-40C399E4AF2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64" name="Shape 40">
            <a:extLst>
              <a:ext uri="{FF2B5EF4-FFF2-40B4-BE49-F238E27FC236}">
                <a16:creationId xmlns:a16="http://schemas.microsoft.com/office/drawing/2014/main" id="{AEB36D43-7EA0-8A67-F905-A9CF6A2D0C1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65" name="Shape 41">
            <a:extLst>
              <a:ext uri="{FF2B5EF4-FFF2-40B4-BE49-F238E27FC236}">
                <a16:creationId xmlns:a16="http://schemas.microsoft.com/office/drawing/2014/main" id="{441A61EB-44D7-17B0-3016-7946DBD6156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66" name="Shape 42">
            <a:extLst>
              <a:ext uri="{FF2B5EF4-FFF2-40B4-BE49-F238E27FC236}">
                <a16:creationId xmlns:a16="http://schemas.microsoft.com/office/drawing/2014/main" id="{D6B381BA-9698-5274-1F0C-10A128F6B74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67" name="Shape 43">
            <a:extLst>
              <a:ext uri="{FF2B5EF4-FFF2-40B4-BE49-F238E27FC236}">
                <a16:creationId xmlns:a16="http://schemas.microsoft.com/office/drawing/2014/main" id="{373879E6-842D-60CB-C499-34733A43617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68" name="Shape 44">
            <a:extLst>
              <a:ext uri="{FF2B5EF4-FFF2-40B4-BE49-F238E27FC236}">
                <a16:creationId xmlns:a16="http://schemas.microsoft.com/office/drawing/2014/main" id="{A2EBACFD-7267-7062-B364-5CC2E09D523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69" name="Shape 45">
            <a:extLst>
              <a:ext uri="{FF2B5EF4-FFF2-40B4-BE49-F238E27FC236}">
                <a16:creationId xmlns:a16="http://schemas.microsoft.com/office/drawing/2014/main" id="{8AA92D8C-9AFA-8868-DC7F-49270876498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70" name="Shape 46">
            <a:extLst>
              <a:ext uri="{FF2B5EF4-FFF2-40B4-BE49-F238E27FC236}">
                <a16:creationId xmlns:a16="http://schemas.microsoft.com/office/drawing/2014/main" id="{0057BE0F-8C86-2E45-64D5-793B07E56DA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599</xdr:row>
      <xdr:rowOff>3409</xdr:rowOff>
    </xdr:from>
    <xdr:ext cx="33655" cy="33655"/>
    <xdr:grpSp>
      <xdr:nvGrpSpPr>
        <xdr:cNvPr id="9671" name="Group 47">
          <a:extLst>
            <a:ext uri="{FF2B5EF4-FFF2-40B4-BE49-F238E27FC236}">
              <a16:creationId xmlns:a16="http://schemas.microsoft.com/office/drawing/2014/main" id="{B5E581E2-75E6-4C74-829F-38D3DB11C066}"/>
            </a:ext>
          </a:extLst>
        </xdr:cNvPr>
        <xdr:cNvGrpSpPr/>
      </xdr:nvGrpSpPr>
      <xdr:grpSpPr>
        <a:xfrm>
          <a:off x="4603072" y="111623917"/>
          <a:ext cx="33655" cy="33655"/>
          <a:chOff x="0" y="0"/>
          <a:chExt cx="33655" cy="33655"/>
        </a:xfrm>
      </xdr:grpSpPr>
      <xdr:sp macro="" textlink="">
        <xdr:nvSpPr>
          <xdr:cNvPr id="9672" name="Shape 48">
            <a:extLst>
              <a:ext uri="{FF2B5EF4-FFF2-40B4-BE49-F238E27FC236}">
                <a16:creationId xmlns:a16="http://schemas.microsoft.com/office/drawing/2014/main" id="{7FE978A8-2F98-3707-A1C0-3BF6DAF4752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73" name="Shape 49">
            <a:extLst>
              <a:ext uri="{FF2B5EF4-FFF2-40B4-BE49-F238E27FC236}">
                <a16:creationId xmlns:a16="http://schemas.microsoft.com/office/drawing/2014/main" id="{27D34D1C-21F9-6C04-BABC-0AAE313149E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74" name="Shape 50">
            <a:extLst>
              <a:ext uri="{FF2B5EF4-FFF2-40B4-BE49-F238E27FC236}">
                <a16:creationId xmlns:a16="http://schemas.microsoft.com/office/drawing/2014/main" id="{2DB7A328-482A-9978-4F32-DC021191623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75" name="Shape 51">
            <a:extLst>
              <a:ext uri="{FF2B5EF4-FFF2-40B4-BE49-F238E27FC236}">
                <a16:creationId xmlns:a16="http://schemas.microsoft.com/office/drawing/2014/main" id="{32236767-7194-C51B-FC5D-781961AEEFA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76" name="Shape 52">
            <a:extLst>
              <a:ext uri="{FF2B5EF4-FFF2-40B4-BE49-F238E27FC236}">
                <a16:creationId xmlns:a16="http://schemas.microsoft.com/office/drawing/2014/main" id="{F0E52862-6E2A-F0A6-4E3E-340ED84F446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77" name="Shape 53">
            <a:extLst>
              <a:ext uri="{FF2B5EF4-FFF2-40B4-BE49-F238E27FC236}">
                <a16:creationId xmlns:a16="http://schemas.microsoft.com/office/drawing/2014/main" id="{0306F1FB-A22B-A8D4-6297-554FF572F91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78" name="Shape 54">
            <a:extLst>
              <a:ext uri="{FF2B5EF4-FFF2-40B4-BE49-F238E27FC236}">
                <a16:creationId xmlns:a16="http://schemas.microsoft.com/office/drawing/2014/main" id="{4C8B3A5D-34C9-0817-23B8-CBC5CC81504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79" name="Shape 55">
            <a:extLst>
              <a:ext uri="{FF2B5EF4-FFF2-40B4-BE49-F238E27FC236}">
                <a16:creationId xmlns:a16="http://schemas.microsoft.com/office/drawing/2014/main" id="{9036A3DD-9BBF-B370-84F7-B4280B2A85F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80" name="Shape 56">
            <a:extLst>
              <a:ext uri="{FF2B5EF4-FFF2-40B4-BE49-F238E27FC236}">
                <a16:creationId xmlns:a16="http://schemas.microsoft.com/office/drawing/2014/main" id="{6DA3BAB4-5501-51D0-3938-D72B24ECAB0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81" name="Shape 57">
            <a:extLst>
              <a:ext uri="{FF2B5EF4-FFF2-40B4-BE49-F238E27FC236}">
                <a16:creationId xmlns:a16="http://schemas.microsoft.com/office/drawing/2014/main" id="{D9E6AE48-996F-FDF3-D6DE-DC4EEAA6219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82" name="Shape 58">
            <a:extLst>
              <a:ext uri="{FF2B5EF4-FFF2-40B4-BE49-F238E27FC236}">
                <a16:creationId xmlns:a16="http://schemas.microsoft.com/office/drawing/2014/main" id="{ED42E952-3824-1F38-7F34-E9A18923FBC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83" name="Shape 59">
            <a:extLst>
              <a:ext uri="{FF2B5EF4-FFF2-40B4-BE49-F238E27FC236}">
                <a16:creationId xmlns:a16="http://schemas.microsoft.com/office/drawing/2014/main" id="{AC19D7B9-E86C-216F-A392-8DEED112247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84" name="Shape 60">
            <a:extLst>
              <a:ext uri="{FF2B5EF4-FFF2-40B4-BE49-F238E27FC236}">
                <a16:creationId xmlns:a16="http://schemas.microsoft.com/office/drawing/2014/main" id="{7E2D882B-1C68-092D-F7A6-74ACC24A0EF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685" name="Shape 61">
            <a:extLst>
              <a:ext uri="{FF2B5EF4-FFF2-40B4-BE49-F238E27FC236}">
                <a16:creationId xmlns:a16="http://schemas.microsoft.com/office/drawing/2014/main" id="{F63F1C30-C077-0359-60B1-098D7F871D1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599</xdr:row>
      <xdr:rowOff>3962</xdr:rowOff>
    </xdr:from>
    <xdr:ext cx="33655" cy="33655"/>
    <xdr:grpSp>
      <xdr:nvGrpSpPr>
        <xdr:cNvPr id="9686" name="Group 62">
          <a:extLst>
            <a:ext uri="{FF2B5EF4-FFF2-40B4-BE49-F238E27FC236}">
              <a16:creationId xmlns:a16="http://schemas.microsoft.com/office/drawing/2014/main" id="{F85A99B9-184F-420F-87E8-AC9BD76932EF}"/>
            </a:ext>
          </a:extLst>
        </xdr:cNvPr>
        <xdr:cNvGrpSpPr/>
      </xdr:nvGrpSpPr>
      <xdr:grpSpPr>
        <a:xfrm>
          <a:off x="4603072" y="111624470"/>
          <a:ext cx="33655" cy="33655"/>
          <a:chOff x="0" y="0"/>
          <a:chExt cx="33655" cy="33655"/>
        </a:xfrm>
      </xdr:grpSpPr>
      <xdr:sp macro="" textlink="">
        <xdr:nvSpPr>
          <xdr:cNvPr id="9687" name="Shape 63">
            <a:extLst>
              <a:ext uri="{FF2B5EF4-FFF2-40B4-BE49-F238E27FC236}">
                <a16:creationId xmlns:a16="http://schemas.microsoft.com/office/drawing/2014/main" id="{5FC833A6-32E3-7CA1-F713-8F401F63D5B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88" name="Shape 64">
            <a:extLst>
              <a:ext uri="{FF2B5EF4-FFF2-40B4-BE49-F238E27FC236}">
                <a16:creationId xmlns:a16="http://schemas.microsoft.com/office/drawing/2014/main" id="{A4E9F603-B5BF-03DA-32D7-F9479226722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89" name="Shape 65">
            <a:extLst>
              <a:ext uri="{FF2B5EF4-FFF2-40B4-BE49-F238E27FC236}">
                <a16:creationId xmlns:a16="http://schemas.microsoft.com/office/drawing/2014/main" id="{44E5F79C-A11F-61A2-3A8B-C2A9D73C2D5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90" name="Shape 66">
            <a:extLst>
              <a:ext uri="{FF2B5EF4-FFF2-40B4-BE49-F238E27FC236}">
                <a16:creationId xmlns:a16="http://schemas.microsoft.com/office/drawing/2014/main" id="{A8E92C4C-7832-CBEE-1178-FEE23652A2B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91" name="Shape 67">
            <a:extLst>
              <a:ext uri="{FF2B5EF4-FFF2-40B4-BE49-F238E27FC236}">
                <a16:creationId xmlns:a16="http://schemas.microsoft.com/office/drawing/2014/main" id="{2DE14123-914F-549E-6B88-4851D9CA669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92" name="Shape 68">
            <a:extLst>
              <a:ext uri="{FF2B5EF4-FFF2-40B4-BE49-F238E27FC236}">
                <a16:creationId xmlns:a16="http://schemas.microsoft.com/office/drawing/2014/main" id="{ACFD44E4-1FF4-49FB-EBB1-B6E53BE0946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93" name="Shape 69">
            <a:extLst>
              <a:ext uri="{FF2B5EF4-FFF2-40B4-BE49-F238E27FC236}">
                <a16:creationId xmlns:a16="http://schemas.microsoft.com/office/drawing/2014/main" id="{FE80D87B-2FB7-6851-6D01-8FB5D9F5A08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94" name="Shape 70">
            <a:extLst>
              <a:ext uri="{FF2B5EF4-FFF2-40B4-BE49-F238E27FC236}">
                <a16:creationId xmlns:a16="http://schemas.microsoft.com/office/drawing/2014/main" id="{C1F9FEC0-D00A-F739-1D6B-4D8DDBD8BE0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95" name="Shape 71">
            <a:extLst>
              <a:ext uri="{FF2B5EF4-FFF2-40B4-BE49-F238E27FC236}">
                <a16:creationId xmlns:a16="http://schemas.microsoft.com/office/drawing/2014/main" id="{A488AE61-5FBD-745C-E4AA-DB64929255F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96" name="Shape 72">
            <a:extLst>
              <a:ext uri="{FF2B5EF4-FFF2-40B4-BE49-F238E27FC236}">
                <a16:creationId xmlns:a16="http://schemas.microsoft.com/office/drawing/2014/main" id="{815A8159-2C86-B14D-7868-BC63EA31233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97" name="Shape 73">
            <a:extLst>
              <a:ext uri="{FF2B5EF4-FFF2-40B4-BE49-F238E27FC236}">
                <a16:creationId xmlns:a16="http://schemas.microsoft.com/office/drawing/2014/main" id="{D26CAF91-785F-94EC-9D2A-859486589CF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698" name="Shape 74">
            <a:extLst>
              <a:ext uri="{FF2B5EF4-FFF2-40B4-BE49-F238E27FC236}">
                <a16:creationId xmlns:a16="http://schemas.microsoft.com/office/drawing/2014/main" id="{4A91C89B-7BB4-A062-792E-5887DD8313D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699" name="Shape 75">
            <a:extLst>
              <a:ext uri="{FF2B5EF4-FFF2-40B4-BE49-F238E27FC236}">
                <a16:creationId xmlns:a16="http://schemas.microsoft.com/office/drawing/2014/main" id="{77506F10-D2AC-86DC-D784-AA5B50E7118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700" name="Shape 76">
            <a:extLst>
              <a:ext uri="{FF2B5EF4-FFF2-40B4-BE49-F238E27FC236}">
                <a16:creationId xmlns:a16="http://schemas.microsoft.com/office/drawing/2014/main" id="{63156949-010A-C400-596E-8385E8A6CB4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</xdr:row>
      <xdr:rowOff>2978</xdr:rowOff>
    </xdr:from>
    <xdr:ext cx="33655" cy="33655"/>
    <xdr:grpSp>
      <xdr:nvGrpSpPr>
        <xdr:cNvPr id="9701" name="Group 2">
          <a:extLst>
            <a:ext uri="{FF2B5EF4-FFF2-40B4-BE49-F238E27FC236}">
              <a16:creationId xmlns:a16="http://schemas.microsoft.com/office/drawing/2014/main" id="{9AEC3859-90AF-4318-B59C-F06F33442B91}"/>
            </a:ext>
          </a:extLst>
        </xdr:cNvPr>
        <xdr:cNvGrpSpPr/>
      </xdr:nvGrpSpPr>
      <xdr:grpSpPr>
        <a:xfrm>
          <a:off x="4603072" y="371486"/>
          <a:ext cx="33655" cy="33655"/>
          <a:chOff x="0" y="0"/>
          <a:chExt cx="33655" cy="33655"/>
        </a:xfrm>
      </xdr:grpSpPr>
      <xdr:sp macro="" textlink="">
        <xdr:nvSpPr>
          <xdr:cNvPr id="9702" name="Shape 3">
            <a:extLst>
              <a:ext uri="{FF2B5EF4-FFF2-40B4-BE49-F238E27FC236}">
                <a16:creationId xmlns:a16="http://schemas.microsoft.com/office/drawing/2014/main" id="{C9A29715-FD5D-C94F-18CF-BD87FE5492B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03" name="Shape 4">
            <a:extLst>
              <a:ext uri="{FF2B5EF4-FFF2-40B4-BE49-F238E27FC236}">
                <a16:creationId xmlns:a16="http://schemas.microsoft.com/office/drawing/2014/main" id="{28221F6E-23D9-0E0F-7613-3B09B0FB62F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04" name="Shape 5">
            <a:extLst>
              <a:ext uri="{FF2B5EF4-FFF2-40B4-BE49-F238E27FC236}">
                <a16:creationId xmlns:a16="http://schemas.microsoft.com/office/drawing/2014/main" id="{0773D712-9B0B-72C6-64F4-1D2846F5746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05" name="Shape 6">
            <a:extLst>
              <a:ext uri="{FF2B5EF4-FFF2-40B4-BE49-F238E27FC236}">
                <a16:creationId xmlns:a16="http://schemas.microsoft.com/office/drawing/2014/main" id="{C23E9A90-7E3E-0625-D9A6-CC28B316733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06" name="Shape 7">
            <a:extLst>
              <a:ext uri="{FF2B5EF4-FFF2-40B4-BE49-F238E27FC236}">
                <a16:creationId xmlns:a16="http://schemas.microsoft.com/office/drawing/2014/main" id="{F89AE687-2AB3-EE4A-C7C3-A5C85DE433F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07" name="Shape 8">
            <a:extLst>
              <a:ext uri="{FF2B5EF4-FFF2-40B4-BE49-F238E27FC236}">
                <a16:creationId xmlns:a16="http://schemas.microsoft.com/office/drawing/2014/main" id="{DBAEAE69-B86E-8E24-7261-5CF0351D417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08" name="Shape 9">
            <a:extLst>
              <a:ext uri="{FF2B5EF4-FFF2-40B4-BE49-F238E27FC236}">
                <a16:creationId xmlns:a16="http://schemas.microsoft.com/office/drawing/2014/main" id="{345C4B60-D31E-2421-7E41-670C52FEBEA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09" name="Shape 10">
            <a:extLst>
              <a:ext uri="{FF2B5EF4-FFF2-40B4-BE49-F238E27FC236}">
                <a16:creationId xmlns:a16="http://schemas.microsoft.com/office/drawing/2014/main" id="{3FBD3E1E-CF44-C88E-440C-5C16B9A33DF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10" name="Shape 11">
            <a:extLst>
              <a:ext uri="{FF2B5EF4-FFF2-40B4-BE49-F238E27FC236}">
                <a16:creationId xmlns:a16="http://schemas.microsoft.com/office/drawing/2014/main" id="{67BEC432-05CE-FCBF-78A6-CF26A7C9B11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11" name="Shape 12">
            <a:extLst>
              <a:ext uri="{FF2B5EF4-FFF2-40B4-BE49-F238E27FC236}">
                <a16:creationId xmlns:a16="http://schemas.microsoft.com/office/drawing/2014/main" id="{6C3FC2EF-AC91-2AF7-9906-559DC6C6C48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12" name="Shape 13">
            <a:extLst>
              <a:ext uri="{FF2B5EF4-FFF2-40B4-BE49-F238E27FC236}">
                <a16:creationId xmlns:a16="http://schemas.microsoft.com/office/drawing/2014/main" id="{16AF8455-FF89-4BB5-E108-8EFBC64E56E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13" name="Shape 14">
            <a:extLst>
              <a:ext uri="{FF2B5EF4-FFF2-40B4-BE49-F238E27FC236}">
                <a16:creationId xmlns:a16="http://schemas.microsoft.com/office/drawing/2014/main" id="{9D03B7D7-3152-F101-7989-0608D6C7CE0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14" name="Shape 15">
            <a:extLst>
              <a:ext uri="{FF2B5EF4-FFF2-40B4-BE49-F238E27FC236}">
                <a16:creationId xmlns:a16="http://schemas.microsoft.com/office/drawing/2014/main" id="{8F414C77-E4FF-771C-5943-D39493F5229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15" name="Shape 16">
            <a:extLst>
              <a:ext uri="{FF2B5EF4-FFF2-40B4-BE49-F238E27FC236}">
                <a16:creationId xmlns:a16="http://schemas.microsoft.com/office/drawing/2014/main" id="{08874313-D1D4-AA32-9107-8F2C0184F05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</xdr:row>
      <xdr:rowOff>3246</xdr:rowOff>
    </xdr:from>
    <xdr:ext cx="33655" cy="33655"/>
    <xdr:grpSp>
      <xdr:nvGrpSpPr>
        <xdr:cNvPr id="9716" name="Group 17">
          <a:extLst>
            <a:ext uri="{FF2B5EF4-FFF2-40B4-BE49-F238E27FC236}">
              <a16:creationId xmlns:a16="http://schemas.microsoft.com/office/drawing/2014/main" id="{044F5B3B-8770-45D5-AB10-FCC5DE08D9F4}"/>
            </a:ext>
          </a:extLst>
        </xdr:cNvPr>
        <xdr:cNvGrpSpPr/>
      </xdr:nvGrpSpPr>
      <xdr:grpSpPr>
        <a:xfrm>
          <a:off x="4603072" y="371754"/>
          <a:ext cx="33655" cy="33655"/>
          <a:chOff x="0" y="0"/>
          <a:chExt cx="33655" cy="33655"/>
        </a:xfrm>
      </xdr:grpSpPr>
      <xdr:sp macro="" textlink="">
        <xdr:nvSpPr>
          <xdr:cNvPr id="9717" name="Shape 18">
            <a:extLst>
              <a:ext uri="{FF2B5EF4-FFF2-40B4-BE49-F238E27FC236}">
                <a16:creationId xmlns:a16="http://schemas.microsoft.com/office/drawing/2014/main" id="{97C5B127-8540-D559-D749-C47B0C7EB0B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18" name="Shape 19">
            <a:extLst>
              <a:ext uri="{FF2B5EF4-FFF2-40B4-BE49-F238E27FC236}">
                <a16:creationId xmlns:a16="http://schemas.microsoft.com/office/drawing/2014/main" id="{8E0C912C-AFF4-DF94-0245-48AD34D0644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19" name="Shape 20">
            <a:extLst>
              <a:ext uri="{FF2B5EF4-FFF2-40B4-BE49-F238E27FC236}">
                <a16:creationId xmlns:a16="http://schemas.microsoft.com/office/drawing/2014/main" id="{3F47B9BF-2576-61AB-8989-AA2811F94CA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20" name="Shape 21">
            <a:extLst>
              <a:ext uri="{FF2B5EF4-FFF2-40B4-BE49-F238E27FC236}">
                <a16:creationId xmlns:a16="http://schemas.microsoft.com/office/drawing/2014/main" id="{C6702D8E-56EB-D2F8-CEAD-385D098D36A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21" name="Shape 22">
            <a:extLst>
              <a:ext uri="{FF2B5EF4-FFF2-40B4-BE49-F238E27FC236}">
                <a16:creationId xmlns:a16="http://schemas.microsoft.com/office/drawing/2014/main" id="{75DF4934-1B19-2249-D0CA-D2A58872749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22" name="Shape 23">
            <a:extLst>
              <a:ext uri="{FF2B5EF4-FFF2-40B4-BE49-F238E27FC236}">
                <a16:creationId xmlns:a16="http://schemas.microsoft.com/office/drawing/2014/main" id="{16459DF5-626C-EA8C-2066-0A07C2A5B39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23" name="Shape 24">
            <a:extLst>
              <a:ext uri="{FF2B5EF4-FFF2-40B4-BE49-F238E27FC236}">
                <a16:creationId xmlns:a16="http://schemas.microsoft.com/office/drawing/2014/main" id="{28330366-7869-561D-90FB-754736F2F71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24" name="Shape 25">
            <a:extLst>
              <a:ext uri="{FF2B5EF4-FFF2-40B4-BE49-F238E27FC236}">
                <a16:creationId xmlns:a16="http://schemas.microsoft.com/office/drawing/2014/main" id="{2BB9E562-7CA4-D53A-B0D3-766367CD29B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25" name="Shape 26">
            <a:extLst>
              <a:ext uri="{FF2B5EF4-FFF2-40B4-BE49-F238E27FC236}">
                <a16:creationId xmlns:a16="http://schemas.microsoft.com/office/drawing/2014/main" id="{0C4E8EEA-E254-7773-6761-B7F9702558D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26" name="Shape 27">
            <a:extLst>
              <a:ext uri="{FF2B5EF4-FFF2-40B4-BE49-F238E27FC236}">
                <a16:creationId xmlns:a16="http://schemas.microsoft.com/office/drawing/2014/main" id="{31E2FB33-B1DE-7871-3391-75D0BEC2299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27" name="Shape 28">
            <a:extLst>
              <a:ext uri="{FF2B5EF4-FFF2-40B4-BE49-F238E27FC236}">
                <a16:creationId xmlns:a16="http://schemas.microsoft.com/office/drawing/2014/main" id="{31C2F391-E5AC-27FC-8F9B-F1CDC826214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28" name="Shape 29">
            <a:extLst>
              <a:ext uri="{FF2B5EF4-FFF2-40B4-BE49-F238E27FC236}">
                <a16:creationId xmlns:a16="http://schemas.microsoft.com/office/drawing/2014/main" id="{74AB3B9C-01CC-7B4F-E370-C515215F3F0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29" name="Shape 30">
            <a:extLst>
              <a:ext uri="{FF2B5EF4-FFF2-40B4-BE49-F238E27FC236}">
                <a16:creationId xmlns:a16="http://schemas.microsoft.com/office/drawing/2014/main" id="{2EF9F405-D31A-42A7-A9FA-A0DB9D8550C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30" name="Shape 31">
            <a:extLst>
              <a:ext uri="{FF2B5EF4-FFF2-40B4-BE49-F238E27FC236}">
                <a16:creationId xmlns:a16="http://schemas.microsoft.com/office/drawing/2014/main" id="{42241E28-E442-DBD7-E879-BE685B63528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</xdr:row>
      <xdr:rowOff>3703</xdr:rowOff>
    </xdr:from>
    <xdr:ext cx="33655" cy="33655"/>
    <xdr:grpSp>
      <xdr:nvGrpSpPr>
        <xdr:cNvPr id="9731" name="Group 32">
          <a:extLst>
            <a:ext uri="{FF2B5EF4-FFF2-40B4-BE49-F238E27FC236}">
              <a16:creationId xmlns:a16="http://schemas.microsoft.com/office/drawing/2014/main" id="{8161F252-7026-4CBD-A3DF-D08ADEB8F45B}"/>
            </a:ext>
          </a:extLst>
        </xdr:cNvPr>
        <xdr:cNvGrpSpPr/>
      </xdr:nvGrpSpPr>
      <xdr:grpSpPr>
        <a:xfrm>
          <a:off x="4603072" y="372211"/>
          <a:ext cx="33655" cy="33655"/>
          <a:chOff x="0" y="0"/>
          <a:chExt cx="33655" cy="33655"/>
        </a:xfrm>
      </xdr:grpSpPr>
      <xdr:sp macro="" textlink="">
        <xdr:nvSpPr>
          <xdr:cNvPr id="9732" name="Shape 33">
            <a:extLst>
              <a:ext uri="{FF2B5EF4-FFF2-40B4-BE49-F238E27FC236}">
                <a16:creationId xmlns:a16="http://schemas.microsoft.com/office/drawing/2014/main" id="{EB6F2C2F-6B1B-BFFA-D6F9-F2F2C6B25D3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33" name="Shape 34">
            <a:extLst>
              <a:ext uri="{FF2B5EF4-FFF2-40B4-BE49-F238E27FC236}">
                <a16:creationId xmlns:a16="http://schemas.microsoft.com/office/drawing/2014/main" id="{8984BD96-9A1B-6597-2E19-993E6C2C9F1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34" name="Shape 35">
            <a:extLst>
              <a:ext uri="{FF2B5EF4-FFF2-40B4-BE49-F238E27FC236}">
                <a16:creationId xmlns:a16="http://schemas.microsoft.com/office/drawing/2014/main" id="{D38A0167-3409-A25F-E5C4-4F4BE861983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35" name="Shape 36">
            <a:extLst>
              <a:ext uri="{FF2B5EF4-FFF2-40B4-BE49-F238E27FC236}">
                <a16:creationId xmlns:a16="http://schemas.microsoft.com/office/drawing/2014/main" id="{90E58949-7828-BA2F-E5ED-02D762F2C66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36" name="Shape 37">
            <a:extLst>
              <a:ext uri="{FF2B5EF4-FFF2-40B4-BE49-F238E27FC236}">
                <a16:creationId xmlns:a16="http://schemas.microsoft.com/office/drawing/2014/main" id="{497B526C-2454-CC64-72F4-86F54733D7D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37" name="Shape 38">
            <a:extLst>
              <a:ext uri="{FF2B5EF4-FFF2-40B4-BE49-F238E27FC236}">
                <a16:creationId xmlns:a16="http://schemas.microsoft.com/office/drawing/2014/main" id="{CF1DD0BF-6D71-FECA-576C-328C2159529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38" name="Shape 39">
            <a:extLst>
              <a:ext uri="{FF2B5EF4-FFF2-40B4-BE49-F238E27FC236}">
                <a16:creationId xmlns:a16="http://schemas.microsoft.com/office/drawing/2014/main" id="{B829B480-83AC-1299-ADE4-C9C147898E0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39" name="Shape 40">
            <a:extLst>
              <a:ext uri="{FF2B5EF4-FFF2-40B4-BE49-F238E27FC236}">
                <a16:creationId xmlns:a16="http://schemas.microsoft.com/office/drawing/2014/main" id="{666BFBB2-A7CF-D549-C50D-2D5E7AAFCC4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40" name="Shape 41">
            <a:extLst>
              <a:ext uri="{FF2B5EF4-FFF2-40B4-BE49-F238E27FC236}">
                <a16:creationId xmlns:a16="http://schemas.microsoft.com/office/drawing/2014/main" id="{0A9D8B9F-1CDC-7BCC-0F25-7413DFF2357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41" name="Shape 42">
            <a:extLst>
              <a:ext uri="{FF2B5EF4-FFF2-40B4-BE49-F238E27FC236}">
                <a16:creationId xmlns:a16="http://schemas.microsoft.com/office/drawing/2014/main" id="{053EE5BB-14DC-C528-777A-0CF8EDE26DF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42" name="Shape 43">
            <a:extLst>
              <a:ext uri="{FF2B5EF4-FFF2-40B4-BE49-F238E27FC236}">
                <a16:creationId xmlns:a16="http://schemas.microsoft.com/office/drawing/2014/main" id="{59634EED-A547-4FD1-F0DD-2DD5D50B893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43" name="Shape 44">
            <a:extLst>
              <a:ext uri="{FF2B5EF4-FFF2-40B4-BE49-F238E27FC236}">
                <a16:creationId xmlns:a16="http://schemas.microsoft.com/office/drawing/2014/main" id="{AA47E06E-0B4D-48CC-D657-A64BA091076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44" name="Shape 45">
            <a:extLst>
              <a:ext uri="{FF2B5EF4-FFF2-40B4-BE49-F238E27FC236}">
                <a16:creationId xmlns:a16="http://schemas.microsoft.com/office/drawing/2014/main" id="{5E8877D3-A225-6900-BB15-DCFD7D68BC7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45" name="Shape 46">
            <a:extLst>
              <a:ext uri="{FF2B5EF4-FFF2-40B4-BE49-F238E27FC236}">
                <a16:creationId xmlns:a16="http://schemas.microsoft.com/office/drawing/2014/main" id="{6ED98305-D9AC-100C-421A-7C0788E0954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</xdr:row>
      <xdr:rowOff>3409</xdr:rowOff>
    </xdr:from>
    <xdr:ext cx="33655" cy="33655"/>
    <xdr:grpSp>
      <xdr:nvGrpSpPr>
        <xdr:cNvPr id="9746" name="Group 47">
          <a:extLst>
            <a:ext uri="{FF2B5EF4-FFF2-40B4-BE49-F238E27FC236}">
              <a16:creationId xmlns:a16="http://schemas.microsoft.com/office/drawing/2014/main" id="{ED6A924F-655E-4F0A-A3CD-CE14ED965E7A}"/>
            </a:ext>
          </a:extLst>
        </xdr:cNvPr>
        <xdr:cNvGrpSpPr/>
      </xdr:nvGrpSpPr>
      <xdr:grpSpPr>
        <a:xfrm>
          <a:off x="4603072" y="371917"/>
          <a:ext cx="33655" cy="33655"/>
          <a:chOff x="0" y="0"/>
          <a:chExt cx="33655" cy="33655"/>
        </a:xfrm>
      </xdr:grpSpPr>
      <xdr:sp macro="" textlink="">
        <xdr:nvSpPr>
          <xdr:cNvPr id="9747" name="Shape 48">
            <a:extLst>
              <a:ext uri="{FF2B5EF4-FFF2-40B4-BE49-F238E27FC236}">
                <a16:creationId xmlns:a16="http://schemas.microsoft.com/office/drawing/2014/main" id="{6A99DEE7-B2EC-AE50-A040-DAB3D3875F2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48" name="Shape 49">
            <a:extLst>
              <a:ext uri="{FF2B5EF4-FFF2-40B4-BE49-F238E27FC236}">
                <a16:creationId xmlns:a16="http://schemas.microsoft.com/office/drawing/2014/main" id="{6CF04C09-6668-947A-1E01-15F2FD54A54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49" name="Shape 50">
            <a:extLst>
              <a:ext uri="{FF2B5EF4-FFF2-40B4-BE49-F238E27FC236}">
                <a16:creationId xmlns:a16="http://schemas.microsoft.com/office/drawing/2014/main" id="{91BA6087-E73D-93D7-C8AB-8C35D1D982E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50" name="Shape 51">
            <a:extLst>
              <a:ext uri="{FF2B5EF4-FFF2-40B4-BE49-F238E27FC236}">
                <a16:creationId xmlns:a16="http://schemas.microsoft.com/office/drawing/2014/main" id="{C5D05AAC-064A-B8CE-B9A1-34635CBBB5B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51" name="Shape 52">
            <a:extLst>
              <a:ext uri="{FF2B5EF4-FFF2-40B4-BE49-F238E27FC236}">
                <a16:creationId xmlns:a16="http://schemas.microsoft.com/office/drawing/2014/main" id="{B43A2462-6DF7-DF5E-15A2-3E321D892A3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52" name="Shape 53">
            <a:extLst>
              <a:ext uri="{FF2B5EF4-FFF2-40B4-BE49-F238E27FC236}">
                <a16:creationId xmlns:a16="http://schemas.microsoft.com/office/drawing/2014/main" id="{FAF7FFBF-32EA-23AA-F978-EAC34C047CC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53" name="Shape 54">
            <a:extLst>
              <a:ext uri="{FF2B5EF4-FFF2-40B4-BE49-F238E27FC236}">
                <a16:creationId xmlns:a16="http://schemas.microsoft.com/office/drawing/2014/main" id="{9FC14228-3CC2-E36C-A811-7F6B285B029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54" name="Shape 55">
            <a:extLst>
              <a:ext uri="{FF2B5EF4-FFF2-40B4-BE49-F238E27FC236}">
                <a16:creationId xmlns:a16="http://schemas.microsoft.com/office/drawing/2014/main" id="{4D490522-75E9-A115-DC4C-1BEC528419C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55" name="Shape 56">
            <a:extLst>
              <a:ext uri="{FF2B5EF4-FFF2-40B4-BE49-F238E27FC236}">
                <a16:creationId xmlns:a16="http://schemas.microsoft.com/office/drawing/2014/main" id="{55FF8AE3-B814-EF94-E431-30DED3C226F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56" name="Shape 57">
            <a:extLst>
              <a:ext uri="{FF2B5EF4-FFF2-40B4-BE49-F238E27FC236}">
                <a16:creationId xmlns:a16="http://schemas.microsoft.com/office/drawing/2014/main" id="{A739DB4B-53DE-B2A5-A8D9-FE4BBA27DC1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57" name="Shape 58">
            <a:extLst>
              <a:ext uri="{FF2B5EF4-FFF2-40B4-BE49-F238E27FC236}">
                <a16:creationId xmlns:a16="http://schemas.microsoft.com/office/drawing/2014/main" id="{55AEA9AD-E9DF-43F9-281B-156CD61B4EB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58" name="Shape 59">
            <a:extLst>
              <a:ext uri="{FF2B5EF4-FFF2-40B4-BE49-F238E27FC236}">
                <a16:creationId xmlns:a16="http://schemas.microsoft.com/office/drawing/2014/main" id="{40F165F1-0F3B-28DF-C310-5CF57A32175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59" name="Shape 60">
            <a:extLst>
              <a:ext uri="{FF2B5EF4-FFF2-40B4-BE49-F238E27FC236}">
                <a16:creationId xmlns:a16="http://schemas.microsoft.com/office/drawing/2014/main" id="{D228DF65-2C26-EC74-D044-A82D11555FB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60" name="Shape 61">
            <a:extLst>
              <a:ext uri="{FF2B5EF4-FFF2-40B4-BE49-F238E27FC236}">
                <a16:creationId xmlns:a16="http://schemas.microsoft.com/office/drawing/2014/main" id="{41578A1D-2A41-40CD-584D-0FB1BD1BB1E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</xdr:row>
      <xdr:rowOff>3962</xdr:rowOff>
    </xdr:from>
    <xdr:ext cx="33655" cy="33655"/>
    <xdr:grpSp>
      <xdr:nvGrpSpPr>
        <xdr:cNvPr id="9761" name="Group 62">
          <a:extLst>
            <a:ext uri="{FF2B5EF4-FFF2-40B4-BE49-F238E27FC236}">
              <a16:creationId xmlns:a16="http://schemas.microsoft.com/office/drawing/2014/main" id="{2E611B15-5DBE-486F-BF30-7A7E489D7BCA}"/>
            </a:ext>
          </a:extLst>
        </xdr:cNvPr>
        <xdr:cNvGrpSpPr/>
      </xdr:nvGrpSpPr>
      <xdr:grpSpPr>
        <a:xfrm>
          <a:off x="4603072" y="372470"/>
          <a:ext cx="33655" cy="33655"/>
          <a:chOff x="0" y="0"/>
          <a:chExt cx="33655" cy="33655"/>
        </a:xfrm>
      </xdr:grpSpPr>
      <xdr:sp macro="" textlink="">
        <xdr:nvSpPr>
          <xdr:cNvPr id="9762" name="Shape 63">
            <a:extLst>
              <a:ext uri="{FF2B5EF4-FFF2-40B4-BE49-F238E27FC236}">
                <a16:creationId xmlns:a16="http://schemas.microsoft.com/office/drawing/2014/main" id="{21FBC429-38F5-1A14-7476-BDA07F69C70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63" name="Shape 64">
            <a:extLst>
              <a:ext uri="{FF2B5EF4-FFF2-40B4-BE49-F238E27FC236}">
                <a16:creationId xmlns:a16="http://schemas.microsoft.com/office/drawing/2014/main" id="{565A9DC8-FEB1-CAA3-548C-70DC931DD3A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764" name="Shape 65">
            <a:extLst>
              <a:ext uri="{FF2B5EF4-FFF2-40B4-BE49-F238E27FC236}">
                <a16:creationId xmlns:a16="http://schemas.microsoft.com/office/drawing/2014/main" id="{45129461-4981-B04C-19AA-9EC84145911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65" name="Shape 66">
            <a:extLst>
              <a:ext uri="{FF2B5EF4-FFF2-40B4-BE49-F238E27FC236}">
                <a16:creationId xmlns:a16="http://schemas.microsoft.com/office/drawing/2014/main" id="{11A22D78-9594-87AD-230F-181F1CEB95A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766" name="Shape 67">
            <a:extLst>
              <a:ext uri="{FF2B5EF4-FFF2-40B4-BE49-F238E27FC236}">
                <a16:creationId xmlns:a16="http://schemas.microsoft.com/office/drawing/2014/main" id="{E969F054-88F9-64CB-6EA4-9A0F61BD353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67" name="Shape 68">
            <a:extLst>
              <a:ext uri="{FF2B5EF4-FFF2-40B4-BE49-F238E27FC236}">
                <a16:creationId xmlns:a16="http://schemas.microsoft.com/office/drawing/2014/main" id="{4EAE81BF-DA91-F18B-C762-9BBD11488F5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768" name="Shape 69">
            <a:extLst>
              <a:ext uri="{FF2B5EF4-FFF2-40B4-BE49-F238E27FC236}">
                <a16:creationId xmlns:a16="http://schemas.microsoft.com/office/drawing/2014/main" id="{42A55345-2109-3A9C-84FF-D5D49F82AEF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69" name="Shape 70">
            <a:extLst>
              <a:ext uri="{FF2B5EF4-FFF2-40B4-BE49-F238E27FC236}">
                <a16:creationId xmlns:a16="http://schemas.microsoft.com/office/drawing/2014/main" id="{2CDFA055-2237-1456-7378-90A27C05190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770" name="Shape 71">
            <a:extLst>
              <a:ext uri="{FF2B5EF4-FFF2-40B4-BE49-F238E27FC236}">
                <a16:creationId xmlns:a16="http://schemas.microsoft.com/office/drawing/2014/main" id="{EDDE0FCE-70FB-830A-70B8-1F286AB9B6A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71" name="Shape 72">
            <a:extLst>
              <a:ext uri="{FF2B5EF4-FFF2-40B4-BE49-F238E27FC236}">
                <a16:creationId xmlns:a16="http://schemas.microsoft.com/office/drawing/2014/main" id="{CD74634A-48F1-25CC-26D9-2E3A536C1E7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772" name="Shape 73">
            <a:extLst>
              <a:ext uri="{FF2B5EF4-FFF2-40B4-BE49-F238E27FC236}">
                <a16:creationId xmlns:a16="http://schemas.microsoft.com/office/drawing/2014/main" id="{EE6783C4-6F22-A40A-B216-2A1AFC3DFA3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73" name="Shape 74">
            <a:extLst>
              <a:ext uri="{FF2B5EF4-FFF2-40B4-BE49-F238E27FC236}">
                <a16:creationId xmlns:a16="http://schemas.microsoft.com/office/drawing/2014/main" id="{48E435C6-553D-9F3C-960B-56F31E61166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774" name="Shape 75">
            <a:extLst>
              <a:ext uri="{FF2B5EF4-FFF2-40B4-BE49-F238E27FC236}">
                <a16:creationId xmlns:a16="http://schemas.microsoft.com/office/drawing/2014/main" id="{7735DCA0-EC30-2B9A-AFCB-381DDD849E4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775" name="Shape 76">
            <a:extLst>
              <a:ext uri="{FF2B5EF4-FFF2-40B4-BE49-F238E27FC236}">
                <a16:creationId xmlns:a16="http://schemas.microsoft.com/office/drawing/2014/main" id="{A106480D-D60C-5D70-5047-37A0ADDCE8A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</xdr:row>
      <xdr:rowOff>2978</xdr:rowOff>
    </xdr:from>
    <xdr:ext cx="33655" cy="33655"/>
    <xdr:grpSp>
      <xdr:nvGrpSpPr>
        <xdr:cNvPr id="9776" name="Group 2">
          <a:extLst>
            <a:ext uri="{FF2B5EF4-FFF2-40B4-BE49-F238E27FC236}">
              <a16:creationId xmlns:a16="http://schemas.microsoft.com/office/drawing/2014/main" id="{C0C8797A-0990-4CE2-92C4-11BA86C5A816}"/>
            </a:ext>
          </a:extLst>
        </xdr:cNvPr>
        <xdr:cNvGrpSpPr/>
      </xdr:nvGrpSpPr>
      <xdr:grpSpPr>
        <a:xfrm>
          <a:off x="4603072" y="371486"/>
          <a:ext cx="33655" cy="33655"/>
          <a:chOff x="0" y="0"/>
          <a:chExt cx="33655" cy="33655"/>
        </a:xfrm>
      </xdr:grpSpPr>
      <xdr:sp macro="" textlink="">
        <xdr:nvSpPr>
          <xdr:cNvPr id="9777" name="Shape 3">
            <a:extLst>
              <a:ext uri="{FF2B5EF4-FFF2-40B4-BE49-F238E27FC236}">
                <a16:creationId xmlns:a16="http://schemas.microsoft.com/office/drawing/2014/main" id="{49FD35FD-5D19-A5B6-1D51-AFE41610B6C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78" name="Shape 4">
            <a:extLst>
              <a:ext uri="{FF2B5EF4-FFF2-40B4-BE49-F238E27FC236}">
                <a16:creationId xmlns:a16="http://schemas.microsoft.com/office/drawing/2014/main" id="{5565A021-0523-DF42-CB68-316AD298D96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79" name="Shape 5">
            <a:extLst>
              <a:ext uri="{FF2B5EF4-FFF2-40B4-BE49-F238E27FC236}">
                <a16:creationId xmlns:a16="http://schemas.microsoft.com/office/drawing/2014/main" id="{40D53ADF-2562-D178-DBA2-6F7D529D41B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80" name="Shape 6">
            <a:extLst>
              <a:ext uri="{FF2B5EF4-FFF2-40B4-BE49-F238E27FC236}">
                <a16:creationId xmlns:a16="http://schemas.microsoft.com/office/drawing/2014/main" id="{0EE52A58-8B13-C5E3-A8A7-428A7950DD9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81" name="Shape 7">
            <a:extLst>
              <a:ext uri="{FF2B5EF4-FFF2-40B4-BE49-F238E27FC236}">
                <a16:creationId xmlns:a16="http://schemas.microsoft.com/office/drawing/2014/main" id="{7C5D560A-1E79-B738-9C97-3591ADF3B7E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82" name="Shape 8">
            <a:extLst>
              <a:ext uri="{FF2B5EF4-FFF2-40B4-BE49-F238E27FC236}">
                <a16:creationId xmlns:a16="http://schemas.microsoft.com/office/drawing/2014/main" id="{A7730276-10BF-594E-6795-BB9038B1B29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83" name="Shape 9">
            <a:extLst>
              <a:ext uri="{FF2B5EF4-FFF2-40B4-BE49-F238E27FC236}">
                <a16:creationId xmlns:a16="http://schemas.microsoft.com/office/drawing/2014/main" id="{E39197D4-37BD-7F3E-1146-59B8CD2AC8F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84" name="Shape 10">
            <a:extLst>
              <a:ext uri="{FF2B5EF4-FFF2-40B4-BE49-F238E27FC236}">
                <a16:creationId xmlns:a16="http://schemas.microsoft.com/office/drawing/2014/main" id="{391106A9-D616-516B-1810-67242CEBB33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85" name="Shape 11">
            <a:extLst>
              <a:ext uri="{FF2B5EF4-FFF2-40B4-BE49-F238E27FC236}">
                <a16:creationId xmlns:a16="http://schemas.microsoft.com/office/drawing/2014/main" id="{7300AD0A-C054-9920-76FF-8F6945A2A66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86" name="Shape 12">
            <a:extLst>
              <a:ext uri="{FF2B5EF4-FFF2-40B4-BE49-F238E27FC236}">
                <a16:creationId xmlns:a16="http://schemas.microsoft.com/office/drawing/2014/main" id="{F12B2DF6-55A0-3B5B-14C5-1AF198D1933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87" name="Shape 13">
            <a:extLst>
              <a:ext uri="{FF2B5EF4-FFF2-40B4-BE49-F238E27FC236}">
                <a16:creationId xmlns:a16="http://schemas.microsoft.com/office/drawing/2014/main" id="{DFA8AD96-E98C-064C-08AE-9B069BF24EC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88" name="Shape 14">
            <a:extLst>
              <a:ext uri="{FF2B5EF4-FFF2-40B4-BE49-F238E27FC236}">
                <a16:creationId xmlns:a16="http://schemas.microsoft.com/office/drawing/2014/main" id="{FA4A3FB1-4EE6-32E7-121D-7BA66404757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89" name="Shape 15">
            <a:extLst>
              <a:ext uri="{FF2B5EF4-FFF2-40B4-BE49-F238E27FC236}">
                <a16:creationId xmlns:a16="http://schemas.microsoft.com/office/drawing/2014/main" id="{A1B6650B-5388-2B5E-DB91-3C7BDEA0CB7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90" name="Shape 16">
            <a:extLst>
              <a:ext uri="{FF2B5EF4-FFF2-40B4-BE49-F238E27FC236}">
                <a16:creationId xmlns:a16="http://schemas.microsoft.com/office/drawing/2014/main" id="{8DA84529-DA56-78F5-89C3-E7E6E0F3B32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</xdr:row>
      <xdr:rowOff>3246</xdr:rowOff>
    </xdr:from>
    <xdr:ext cx="33655" cy="33655"/>
    <xdr:grpSp>
      <xdr:nvGrpSpPr>
        <xdr:cNvPr id="9791" name="Group 17">
          <a:extLst>
            <a:ext uri="{FF2B5EF4-FFF2-40B4-BE49-F238E27FC236}">
              <a16:creationId xmlns:a16="http://schemas.microsoft.com/office/drawing/2014/main" id="{E19D3B06-0D1D-45BB-8396-7050B556030A}"/>
            </a:ext>
          </a:extLst>
        </xdr:cNvPr>
        <xdr:cNvGrpSpPr/>
      </xdr:nvGrpSpPr>
      <xdr:grpSpPr>
        <a:xfrm>
          <a:off x="4603072" y="371754"/>
          <a:ext cx="33655" cy="33655"/>
          <a:chOff x="0" y="0"/>
          <a:chExt cx="33655" cy="33655"/>
        </a:xfrm>
      </xdr:grpSpPr>
      <xdr:sp macro="" textlink="">
        <xdr:nvSpPr>
          <xdr:cNvPr id="9792" name="Shape 18">
            <a:extLst>
              <a:ext uri="{FF2B5EF4-FFF2-40B4-BE49-F238E27FC236}">
                <a16:creationId xmlns:a16="http://schemas.microsoft.com/office/drawing/2014/main" id="{E8CD6A62-FA6B-4FB5-2F2D-C9E67998E38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93" name="Shape 19">
            <a:extLst>
              <a:ext uri="{FF2B5EF4-FFF2-40B4-BE49-F238E27FC236}">
                <a16:creationId xmlns:a16="http://schemas.microsoft.com/office/drawing/2014/main" id="{57DF9ED0-8C62-6AA1-A97B-ADF056E9A37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94" name="Shape 20">
            <a:extLst>
              <a:ext uri="{FF2B5EF4-FFF2-40B4-BE49-F238E27FC236}">
                <a16:creationId xmlns:a16="http://schemas.microsoft.com/office/drawing/2014/main" id="{8248DD90-FC98-EDE5-27B2-FE14AB09766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95" name="Shape 21">
            <a:extLst>
              <a:ext uri="{FF2B5EF4-FFF2-40B4-BE49-F238E27FC236}">
                <a16:creationId xmlns:a16="http://schemas.microsoft.com/office/drawing/2014/main" id="{0485F673-669A-227A-0061-CE3EC71EC9D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96" name="Shape 22">
            <a:extLst>
              <a:ext uri="{FF2B5EF4-FFF2-40B4-BE49-F238E27FC236}">
                <a16:creationId xmlns:a16="http://schemas.microsoft.com/office/drawing/2014/main" id="{9FC48181-2F79-8550-884E-D84CE3D7B84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97" name="Shape 23">
            <a:extLst>
              <a:ext uri="{FF2B5EF4-FFF2-40B4-BE49-F238E27FC236}">
                <a16:creationId xmlns:a16="http://schemas.microsoft.com/office/drawing/2014/main" id="{DA13A403-1278-17FC-FEA1-C824547AB22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798" name="Shape 24">
            <a:extLst>
              <a:ext uri="{FF2B5EF4-FFF2-40B4-BE49-F238E27FC236}">
                <a16:creationId xmlns:a16="http://schemas.microsoft.com/office/drawing/2014/main" id="{D8306163-61D1-3149-7022-C74C707258A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799" name="Shape 25">
            <a:extLst>
              <a:ext uri="{FF2B5EF4-FFF2-40B4-BE49-F238E27FC236}">
                <a16:creationId xmlns:a16="http://schemas.microsoft.com/office/drawing/2014/main" id="{AEFDCEC2-512A-A4BE-FBD5-C612751A324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00" name="Shape 26">
            <a:extLst>
              <a:ext uri="{FF2B5EF4-FFF2-40B4-BE49-F238E27FC236}">
                <a16:creationId xmlns:a16="http://schemas.microsoft.com/office/drawing/2014/main" id="{940E7AC6-72C8-DFE6-AA2F-00AF6FD325B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01" name="Shape 27">
            <a:extLst>
              <a:ext uri="{FF2B5EF4-FFF2-40B4-BE49-F238E27FC236}">
                <a16:creationId xmlns:a16="http://schemas.microsoft.com/office/drawing/2014/main" id="{077DE562-1F26-0E65-E334-88EC2794641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02" name="Shape 28">
            <a:extLst>
              <a:ext uri="{FF2B5EF4-FFF2-40B4-BE49-F238E27FC236}">
                <a16:creationId xmlns:a16="http://schemas.microsoft.com/office/drawing/2014/main" id="{3E7DD82A-6D76-339E-3842-12444D9DCBF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03" name="Shape 29">
            <a:extLst>
              <a:ext uri="{FF2B5EF4-FFF2-40B4-BE49-F238E27FC236}">
                <a16:creationId xmlns:a16="http://schemas.microsoft.com/office/drawing/2014/main" id="{516F2683-93AB-A7B6-683B-1A6D4D36549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04" name="Shape 30">
            <a:extLst>
              <a:ext uri="{FF2B5EF4-FFF2-40B4-BE49-F238E27FC236}">
                <a16:creationId xmlns:a16="http://schemas.microsoft.com/office/drawing/2014/main" id="{939AF2AF-692D-9380-B8AF-79E436AF8CE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05" name="Shape 31">
            <a:extLst>
              <a:ext uri="{FF2B5EF4-FFF2-40B4-BE49-F238E27FC236}">
                <a16:creationId xmlns:a16="http://schemas.microsoft.com/office/drawing/2014/main" id="{6355C6B6-2376-EAEA-464A-96E68462C64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</xdr:row>
      <xdr:rowOff>3703</xdr:rowOff>
    </xdr:from>
    <xdr:ext cx="33655" cy="33655"/>
    <xdr:grpSp>
      <xdr:nvGrpSpPr>
        <xdr:cNvPr id="9806" name="Group 32">
          <a:extLst>
            <a:ext uri="{FF2B5EF4-FFF2-40B4-BE49-F238E27FC236}">
              <a16:creationId xmlns:a16="http://schemas.microsoft.com/office/drawing/2014/main" id="{F66174F8-0924-488B-A625-402A84B77578}"/>
            </a:ext>
          </a:extLst>
        </xdr:cNvPr>
        <xdr:cNvGrpSpPr/>
      </xdr:nvGrpSpPr>
      <xdr:grpSpPr>
        <a:xfrm>
          <a:off x="4603072" y="372211"/>
          <a:ext cx="33655" cy="33655"/>
          <a:chOff x="0" y="0"/>
          <a:chExt cx="33655" cy="33655"/>
        </a:xfrm>
      </xdr:grpSpPr>
      <xdr:sp macro="" textlink="">
        <xdr:nvSpPr>
          <xdr:cNvPr id="9807" name="Shape 33">
            <a:extLst>
              <a:ext uri="{FF2B5EF4-FFF2-40B4-BE49-F238E27FC236}">
                <a16:creationId xmlns:a16="http://schemas.microsoft.com/office/drawing/2014/main" id="{100B8381-DA23-2347-4F90-BCD2A605DC2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08" name="Shape 34">
            <a:extLst>
              <a:ext uri="{FF2B5EF4-FFF2-40B4-BE49-F238E27FC236}">
                <a16:creationId xmlns:a16="http://schemas.microsoft.com/office/drawing/2014/main" id="{52DC43CC-1089-907A-1FC4-C0AC5361B63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09" name="Shape 35">
            <a:extLst>
              <a:ext uri="{FF2B5EF4-FFF2-40B4-BE49-F238E27FC236}">
                <a16:creationId xmlns:a16="http://schemas.microsoft.com/office/drawing/2014/main" id="{1C5E0820-4CC2-2ECE-43CB-3CB73CD6625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10" name="Shape 36">
            <a:extLst>
              <a:ext uri="{FF2B5EF4-FFF2-40B4-BE49-F238E27FC236}">
                <a16:creationId xmlns:a16="http://schemas.microsoft.com/office/drawing/2014/main" id="{E368C14A-6D2F-01A1-5FAA-D4505C4C330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11" name="Shape 37">
            <a:extLst>
              <a:ext uri="{FF2B5EF4-FFF2-40B4-BE49-F238E27FC236}">
                <a16:creationId xmlns:a16="http://schemas.microsoft.com/office/drawing/2014/main" id="{026E374A-4D2F-6772-FBAD-06BEDBB9966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12" name="Shape 38">
            <a:extLst>
              <a:ext uri="{FF2B5EF4-FFF2-40B4-BE49-F238E27FC236}">
                <a16:creationId xmlns:a16="http://schemas.microsoft.com/office/drawing/2014/main" id="{64D956E9-2BBB-765B-8227-3663253E726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13" name="Shape 39">
            <a:extLst>
              <a:ext uri="{FF2B5EF4-FFF2-40B4-BE49-F238E27FC236}">
                <a16:creationId xmlns:a16="http://schemas.microsoft.com/office/drawing/2014/main" id="{91C7403A-E0BC-DA0A-87EA-EC8D5A63271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14" name="Shape 40">
            <a:extLst>
              <a:ext uri="{FF2B5EF4-FFF2-40B4-BE49-F238E27FC236}">
                <a16:creationId xmlns:a16="http://schemas.microsoft.com/office/drawing/2014/main" id="{EF06B588-055F-DDCF-25D5-42456190299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15" name="Shape 41">
            <a:extLst>
              <a:ext uri="{FF2B5EF4-FFF2-40B4-BE49-F238E27FC236}">
                <a16:creationId xmlns:a16="http://schemas.microsoft.com/office/drawing/2014/main" id="{66F02543-1B8C-3067-F808-CAF1A09CA54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16" name="Shape 42">
            <a:extLst>
              <a:ext uri="{FF2B5EF4-FFF2-40B4-BE49-F238E27FC236}">
                <a16:creationId xmlns:a16="http://schemas.microsoft.com/office/drawing/2014/main" id="{B3FAE97A-D262-135E-8FD4-ACB402AC3B5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17" name="Shape 43">
            <a:extLst>
              <a:ext uri="{FF2B5EF4-FFF2-40B4-BE49-F238E27FC236}">
                <a16:creationId xmlns:a16="http://schemas.microsoft.com/office/drawing/2014/main" id="{EA8F3ED8-A63F-2BCE-9904-ACFD109AAC7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18" name="Shape 44">
            <a:extLst>
              <a:ext uri="{FF2B5EF4-FFF2-40B4-BE49-F238E27FC236}">
                <a16:creationId xmlns:a16="http://schemas.microsoft.com/office/drawing/2014/main" id="{2853008C-0A00-B68A-F112-4A39F7B6206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19" name="Shape 45">
            <a:extLst>
              <a:ext uri="{FF2B5EF4-FFF2-40B4-BE49-F238E27FC236}">
                <a16:creationId xmlns:a16="http://schemas.microsoft.com/office/drawing/2014/main" id="{82CB7F0E-1C82-DB82-FF54-2F9D1F8B2F9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20" name="Shape 46">
            <a:extLst>
              <a:ext uri="{FF2B5EF4-FFF2-40B4-BE49-F238E27FC236}">
                <a16:creationId xmlns:a16="http://schemas.microsoft.com/office/drawing/2014/main" id="{397479D7-4D35-9B67-DA79-4219BFAF32F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</xdr:row>
      <xdr:rowOff>3409</xdr:rowOff>
    </xdr:from>
    <xdr:ext cx="33655" cy="33655"/>
    <xdr:grpSp>
      <xdr:nvGrpSpPr>
        <xdr:cNvPr id="9821" name="Group 47">
          <a:extLst>
            <a:ext uri="{FF2B5EF4-FFF2-40B4-BE49-F238E27FC236}">
              <a16:creationId xmlns:a16="http://schemas.microsoft.com/office/drawing/2014/main" id="{8F2BA5DD-AAF5-46E1-8C45-8466977B0FC2}"/>
            </a:ext>
          </a:extLst>
        </xdr:cNvPr>
        <xdr:cNvGrpSpPr/>
      </xdr:nvGrpSpPr>
      <xdr:grpSpPr>
        <a:xfrm>
          <a:off x="4603072" y="371917"/>
          <a:ext cx="33655" cy="33655"/>
          <a:chOff x="0" y="0"/>
          <a:chExt cx="33655" cy="33655"/>
        </a:xfrm>
      </xdr:grpSpPr>
      <xdr:sp macro="" textlink="">
        <xdr:nvSpPr>
          <xdr:cNvPr id="9822" name="Shape 48">
            <a:extLst>
              <a:ext uri="{FF2B5EF4-FFF2-40B4-BE49-F238E27FC236}">
                <a16:creationId xmlns:a16="http://schemas.microsoft.com/office/drawing/2014/main" id="{B9DBA21A-E3D9-A71C-D6B4-5A38951F863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23" name="Shape 49">
            <a:extLst>
              <a:ext uri="{FF2B5EF4-FFF2-40B4-BE49-F238E27FC236}">
                <a16:creationId xmlns:a16="http://schemas.microsoft.com/office/drawing/2014/main" id="{ADBB4BFE-2D18-028A-8BE1-A48929FB6A4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24" name="Shape 50">
            <a:extLst>
              <a:ext uri="{FF2B5EF4-FFF2-40B4-BE49-F238E27FC236}">
                <a16:creationId xmlns:a16="http://schemas.microsoft.com/office/drawing/2014/main" id="{7FEFB6E3-BC9D-AA45-A2E4-E2BB8C80C88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25" name="Shape 51">
            <a:extLst>
              <a:ext uri="{FF2B5EF4-FFF2-40B4-BE49-F238E27FC236}">
                <a16:creationId xmlns:a16="http://schemas.microsoft.com/office/drawing/2014/main" id="{D47313FC-2127-1B47-C6A6-816B8FCAB78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26" name="Shape 52">
            <a:extLst>
              <a:ext uri="{FF2B5EF4-FFF2-40B4-BE49-F238E27FC236}">
                <a16:creationId xmlns:a16="http://schemas.microsoft.com/office/drawing/2014/main" id="{E82DC78E-2CC8-F155-A733-D7075F3233A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27" name="Shape 53">
            <a:extLst>
              <a:ext uri="{FF2B5EF4-FFF2-40B4-BE49-F238E27FC236}">
                <a16:creationId xmlns:a16="http://schemas.microsoft.com/office/drawing/2014/main" id="{2BDE1DAD-A39F-2BAD-70C6-875BB7B5468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28" name="Shape 54">
            <a:extLst>
              <a:ext uri="{FF2B5EF4-FFF2-40B4-BE49-F238E27FC236}">
                <a16:creationId xmlns:a16="http://schemas.microsoft.com/office/drawing/2014/main" id="{61BABB52-8648-FA46-70B4-09BA6518AB3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29" name="Shape 55">
            <a:extLst>
              <a:ext uri="{FF2B5EF4-FFF2-40B4-BE49-F238E27FC236}">
                <a16:creationId xmlns:a16="http://schemas.microsoft.com/office/drawing/2014/main" id="{15BD329C-AAFC-7DB1-3EB8-8AF26367901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30" name="Shape 56">
            <a:extLst>
              <a:ext uri="{FF2B5EF4-FFF2-40B4-BE49-F238E27FC236}">
                <a16:creationId xmlns:a16="http://schemas.microsoft.com/office/drawing/2014/main" id="{08E9B9B2-3252-5B47-527F-FAA39DCA076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31" name="Shape 57">
            <a:extLst>
              <a:ext uri="{FF2B5EF4-FFF2-40B4-BE49-F238E27FC236}">
                <a16:creationId xmlns:a16="http://schemas.microsoft.com/office/drawing/2014/main" id="{50279E2B-970B-B4BE-341F-A1F24C01C30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32" name="Shape 58">
            <a:extLst>
              <a:ext uri="{FF2B5EF4-FFF2-40B4-BE49-F238E27FC236}">
                <a16:creationId xmlns:a16="http://schemas.microsoft.com/office/drawing/2014/main" id="{D4FD2BEF-E609-7E36-38BC-F6FBFB1A4D9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33" name="Shape 59">
            <a:extLst>
              <a:ext uri="{FF2B5EF4-FFF2-40B4-BE49-F238E27FC236}">
                <a16:creationId xmlns:a16="http://schemas.microsoft.com/office/drawing/2014/main" id="{09364798-B86E-DFBB-9D05-2EEE3463FE3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34" name="Shape 60">
            <a:extLst>
              <a:ext uri="{FF2B5EF4-FFF2-40B4-BE49-F238E27FC236}">
                <a16:creationId xmlns:a16="http://schemas.microsoft.com/office/drawing/2014/main" id="{C567D959-F9A4-B1A4-7F9E-4C158D3AEF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35" name="Shape 61">
            <a:extLst>
              <a:ext uri="{FF2B5EF4-FFF2-40B4-BE49-F238E27FC236}">
                <a16:creationId xmlns:a16="http://schemas.microsoft.com/office/drawing/2014/main" id="{3B4C41E5-AF86-1C3E-DBB7-5E844FD7AC9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</xdr:row>
      <xdr:rowOff>3962</xdr:rowOff>
    </xdr:from>
    <xdr:ext cx="33655" cy="33655"/>
    <xdr:grpSp>
      <xdr:nvGrpSpPr>
        <xdr:cNvPr id="9836" name="Group 62">
          <a:extLst>
            <a:ext uri="{FF2B5EF4-FFF2-40B4-BE49-F238E27FC236}">
              <a16:creationId xmlns:a16="http://schemas.microsoft.com/office/drawing/2014/main" id="{306D5401-C40C-4D03-89EB-15EBC28EF0ED}"/>
            </a:ext>
          </a:extLst>
        </xdr:cNvPr>
        <xdr:cNvGrpSpPr/>
      </xdr:nvGrpSpPr>
      <xdr:grpSpPr>
        <a:xfrm>
          <a:off x="4603072" y="372470"/>
          <a:ext cx="33655" cy="33655"/>
          <a:chOff x="0" y="0"/>
          <a:chExt cx="33655" cy="33655"/>
        </a:xfrm>
      </xdr:grpSpPr>
      <xdr:sp macro="" textlink="">
        <xdr:nvSpPr>
          <xdr:cNvPr id="9837" name="Shape 63">
            <a:extLst>
              <a:ext uri="{FF2B5EF4-FFF2-40B4-BE49-F238E27FC236}">
                <a16:creationId xmlns:a16="http://schemas.microsoft.com/office/drawing/2014/main" id="{276B935A-3FB5-1061-A189-CFA588A400F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38" name="Shape 64">
            <a:extLst>
              <a:ext uri="{FF2B5EF4-FFF2-40B4-BE49-F238E27FC236}">
                <a16:creationId xmlns:a16="http://schemas.microsoft.com/office/drawing/2014/main" id="{0A32BF44-2326-F508-A2B8-90F3102490F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839" name="Shape 65">
            <a:extLst>
              <a:ext uri="{FF2B5EF4-FFF2-40B4-BE49-F238E27FC236}">
                <a16:creationId xmlns:a16="http://schemas.microsoft.com/office/drawing/2014/main" id="{15A835D5-9756-57C9-DF22-EFDABADB866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40" name="Shape 66">
            <a:extLst>
              <a:ext uri="{FF2B5EF4-FFF2-40B4-BE49-F238E27FC236}">
                <a16:creationId xmlns:a16="http://schemas.microsoft.com/office/drawing/2014/main" id="{0F727781-6F06-D0DE-A1DF-0C976156AB7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841" name="Shape 67">
            <a:extLst>
              <a:ext uri="{FF2B5EF4-FFF2-40B4-BE49-F238E27FC236}">
                <a16:creationId xmlns:a16="http://schemas.microsoft.com/office/drawing/2014/main" id="{881FB0C6-4ACE-3B48-1928-7E6CFA47D95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42" name="Shape 68">
            <a:extLst>
              <a:ext uri="{FF2B5EF4-FFF2-40B4-BE49-F238E27FC236}">
                <a16:creationId xmlns:a16="http://schemas.microsoft.com/office/drawing/2014/main" id="{6DC5A1A8-C8AB-58E9-1E4A-B0FDAABF646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843" name="Shape 69">
            <a:extLst>
              <a:ext uri="{FF2B5EF4-FFF2-40B4-BE49-F238E27FC236}">
                <a16:creationId xmlns:a16="http://schemas.microsoft.com/office/drawing/2014/main" id="{75F99C42-9BA2-AA58-83F9-8E0E94538E0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44" name="Shape 70">
            <a:extLst>
              <a:ext uri="{FF2B5EF4-FFF2-40B4-BE49-F238E27FC236}">
                <a16:creationId xmlns:a16="http://schemas.microsoft.com/office/drawing/2014/main" id="{5CC39E0F-60BF-4872-339C-F6958692D2C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845" name="Shape 71">
            <a:extLst>
              <a:ext uri="{FF2B5EF4-FFF2-40B4-BE49-F238E27FC236}">
                <a16:creationId xmlns:a16="http://schemas.microsoft.com/office/drawing/2014/main" id="{325036C3-A140-720E-EA67-E9B0AA9A1E2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46" name="Shape 72">
            <a:extLst>
              <a:ext uri="{FF2B5EF4-FFF2-40B4-BE49-F238E27FC236}">
                <a16:creationId xmlns:a16="http://schemas.microsoft.com/office/drawing/2014/main" id="{14DBE2C9-4984-B865-1CF8-F2EC60C0094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847" name="Shape 73">
            <a:extLst>
              <a:ext uri="{FF2B5EF4-FFF2-40B4-BE49-F238E27FC236}">
                <a16:creationId xmlns:a16="http://schemas.microsoft.com/office/drawing/2014/main" id="{8123E0B9-DB43-4CE9-28A7-2FBF2E49D86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48" name="Shape 74">
            <a:extLst>
              <a:ext uri="{FF2B5EF4-FFF2-40B4-BE49-F238E27FC236}">
                <a16:creationId xmlns:a16="http://schemas.microsoft.com/office/drawing/2014/main" id="{6C971917-DFFC-A186-5233-0AFE1278902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849" name="Shape 75">
            <a:extLst>
              <a:ext uri="{FF2B5EF4-FFF2-40B4-BE49-F238E27FC236}">
                <a16:creationId xmlns:a16="http://schemas.microsoft.com/office/drawing/2014/main" id="{23C12320-A9C8-AF85-FD89-4F6024BD895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850" name="Shape 76">
            <a:extLst>
              <a:ext uri="{FF2B5EF4-FFF2-40B4-BE49-F238E27FC236}">
                <a16:creationId xmlns:a16="http://schemas.microsoft.com/office/drawing/2014/main" id="{8B767535-A3A4-4DAD-6EDE-40DF5275310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85</xdr:row>
      <xdr:rowOff>2978</xdr:rowOff>
    </xdr:from>
    <xdr:ext cx="33655" cy="33655"/>
    <xdr:grpSp>
      <xdr:nvGrpSpPr>
        <xdr:cNvPr id="9851" name="Group 2">
          <a:extLst>
            <a:ext uri="{FF2B5EF4-FFF2-40B4-BE49-F238E27FC236}">
              <a16:creationId xmlns:a16="http://schemas.microsoft.com/office/drawing/2014/main" id="{B76E7EB6-A77F-49E2-A7A2-F04F130173EC}"/>
            </a:ext>
          </a:extLst>
        </xdr:cNvPr>
        <xdr:cNvGrpSpPr/>
      </xdr:nvGrpSpPr>
      <xdr:grpSpPr>
        <a:xfrm>
          <a:off x="4603072" y="16204847"/>
          <a:ext cx="33655" cy="33655"/>
          <a:chOff x="0" y="0"/>
          <a:chExt cx="33655" cy="33655"/>
        </a:xfrm>
      </xdr:grpSpPr>
      <xdr:sp macro="" textlink="">
        <xdr:nvSpPr>
          <xdr:cNvPr id="9852" name="Shape 3">
            <a:extLst>
              <a:ext uri="{FF2B5EF4-FFF2-40B4-BE49-F238E27FC236}">
                <a16:creationId xmlns:a16="http://schemas.microsoft.com/office/drawing/2014/main" id="{FF66A0D9-C9B6-E8D2-A959-53BF9403479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53" name="Shape 4">
            <a:extLst>
              <a:ext uri="{FF2B5EF4-FFF2-40B4-BE49-F238E27FC236}">
                <a16:creationId xmlns:a16="http://schemas.microsoft.com/office/drawing/2014/main" id="{8993F751-EC15-37A4-04B2-F7DB364E453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54" name="Shape 5">
            <a:extLst>
              <a:ext uri="{FF2B5EF4-FFF2-40B4-BE49-F238E27FC236}">
                <a16:creationId xmlns:a16="http://schemas.microsoft.com/office/drawing/2014/main" id="{0D9E5CAF-1B23-7CFE-591E-BBEA93CDEF2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55" name="Shape 6">
            <a:extLst>
              <a:ext uri="{FF2B5EF4-FFF2-40B4-BE49-F238E27FC236}">
                <a16:creationId xmlns:a16="http://schemas.microsoft.com/office/drawing/2014/main" id="{A0B33B69-80D6-0B7C-F45D-96C840D5665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56" name="Shape 7">
            <a:extLst>
              <a:ext uri="{FF2B5EF4-FFF2-40B4-BE49-F238E27FC236}">
                <a16:creationId xmlns:a16="http://schemas.microsoft.com/office/drawing/2014/main" id="{21D52867-648E-A4DF-7227-6D32DC5A0A5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57" name="Shape 8">
            <a:extLst>
              <a:ext uri="{FF2B5EF4-FFF2-40B4-BE49-F238E27FC236}">
                <a16:creationId xmlns:a16="http://schemas.microsoft.com/office/drawing/2014/main" id="{E8A14AB8-A68C-57C8-D022-FCA2F3F01E8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58" name="Shape 9">
            <a:extLst>
              <a:ext uri="{FF2B5EF4-FFF2-40B4-BE49-F238E27FC236}">
                <a16:creationId xmlns:a16="http://schemas.microsoft.com/office/drawing/2014/main" id="{5EDD1B44-A64E-CB8C-D042-AB99F9CAA12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59" name="Shape 10">
            <a:extLst>
              <a:ext uri="{FF2B5EF4-FFF2-40B4-BE49-F238E27FC236}">
                <a16:creationId xmlns:a16="http://schemas.microsoft.com/office/drawing/2014/main" id="{4FF32CA3-A01D-2E8D-F47D-E9CA405F59E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60" name="Shape 11">
            <a:extLst>
              <a:ext uri="{FF2B5EF4-FFF2-40B4-BE49-F238E27FC236}">
                <a16:creationId xmlns:a16="http://schemas.microsoft.com/office/drawing/2014/main" id="{76DC28F9-7E79-0CC2-BE46-B023E50A810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61" name="Shape 12">
            <a:extLst>
              <a:ext uri="{FF2B5EF4-FFF2-40B4-BE49-F238E27FC236}">
                <a16:creationId xmlns:a16="http://schemas.microsoft.com/office/drawing/2014/main" id="{D83F91D1-7AA8-6359-9AE9-20A2C3B6B8FF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62" name="Shape 13">
            <a:extLst>
              <a:ext uri="{FF2B5EF4-FFF2-40B4-BE49-F238E27FC236}">
                <a16:creationId xmlns:a16="http://schemas.microsoft.com/office/drawing/2014/main" id="{BDB534C0-0EFB-18C1-456B-92BD3304E3A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63" name="Shape 14">
            <a:extLst>
              <a:ext uri="{FF2B5EF4-FFF2-40B4-BE49-F238E27FC236}">
                <a16:creationId xmlns:a16="http://schemas.microsoft.com/office/drawing/2014/main" id="{163AE7B3-9C1D-91A3-50F3-EA1F1BE4533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64" name="Shape 15">
            <a:extLst>
              <a:ext uri="{FF2B5EF4-FFF2-40B4-BE49-F238E27FC236}">
                <a16:creationId xmlns:a16="http://schemas.microsoft.com/office/drawing/2014/main" id="{5A3960B1-89CC-64BA-38D1-2B1F2C6D315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65" name="Shape 16">
            <a:extLst>
              <a:ext uri="{FF2B5EF4-FFF2-40B4-BE49-F238E27FC236}">
                <a16:creationId xmlns:a16="http://schemas.microsoft.com/office/drawing/2014/main" id="{98E7C654-A026-D632-9B1D-09AA4F4AA2E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</xdr:row>
      <xdr:rowOff>3246</xdr:rowOff>
    </xdr:from>
    <xdr:ext cx="33655" cy="33655"/>
    <xdr:grpSp>
      <xdr:nvGrpSpPr>
        <xdr:cNvPr id="9866" name="Group 17">
          <a:extLst>
            <a:ext uri="{FF2B5EF4-FFF2-40B4-BE49-F238E27FC236}">
              <a16:creationId xmlns:a16="http://schemas.microsoft.com/office/drawing/2014/main" id="{3395A473-E00F-4899-936D-4F74F2F51133}"/>
            </a:ext>
          </a:extLst>
        </xdr:cNvPr>
        <xdr:cNvGrpSpPr/>
      </xdr:nvGrpSpPr>
      <xdr:grpSpPr>
        <a:xfrm>
          <a:off x="4603072" y="16205115"/>
          <a:ext cx="33655" cy="33655"/>
          <a:chOff x="0" y="0"/>
          <a:chExt cx="33655" cy="33655"/>
        </a:xfrm>
      </xdr:grpSpPr>
      <xdr:sp macro="" textlink="">
        <xdr:nvSpPr>
          <xdr:cNvPr id="9867" name="Shape 18">
            <a:extLst>
              <a:ext uri="{FF2B5EF4-FFF2-40B4-BE49-F238E27FC236}">
                <a16:creationId xmlns:a16="http://schemas.microsoft.com/office/drawing/2014/main" id="{B435D805-C0A0-B318-D301-7D48CC7CC2C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68" name="Shape 19">
            <a:extLst>
              <a:ext uri="{FF2B5EF4-FFF2-40B4-BE49-F238E27FC236}">
                <a16:creationId xmlns:a16="http://schemas.microsoft.com/office/drawing/2014/main" id="{607C7266-D9F2-DAD9-6611-410EA1D2496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69" name="Shape 20">
            <a:extLst>
              <a:ext uri="{FF2B5EF4-FFF2-40B4-BE49-F238E27FC236}">
                <a16:creationId xmlns:a16="http://schemas.microsoft.com/office/drawing/2014/main" id="{5F08D5FE-B6A0-D49D-46A0-4327A1255E9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70" name="Shape 21">
            <a:extLst>
              <a:ext uri="{FF2B5EF4-FFF2-40B4-BE49-F238E27FC236}">
                <a16:creationId xmlns:a16="http://schemas.microsoft.com/office/drawing/2014/main" id="{E4454D1C-022C-7F3C-F710-C234FB968B4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71" name="Shape 22">
            <a:extLst>
              <a:ext uri="{FF2B5EF4-FFF2-40B4-BE49-F238E27FC236}">
                <a16:creationId xmlns:a16="http://schemas.microsoft.com/office/drawing/2014/main" id="{1566B882-472A-2358-40E1-734645ED843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72" name="Shape 23">
            <a:extLst>
              <a:ext uri="{FF2B5EF4-FFF2-40B4-BE49-F238E27FC236}">
                <a16:creationId xmlns:a16="http://schemas.microsoft.com/office/drawing/2014/main" id="{DD5BE910-8E24-9189-7C59-BF30D860D56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73" name="Shape 24">
            <a:extLst>
              <a:ext uri="{FF2B5EF4-FFF2-40B4-BE49-F238E27FC236}">
                <a16:creationId xmlns:a16="http://schemas.microsoft.com/office/drawing/2014/main" id="{D2C14595-83B6-D938-171A-819F80F124C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74" name="Shape 25">
            <a:extLst>
              <a:ext uri="{FF2B5EF4-FFF2-40B4-BE49-F238E27FC236}">
                <a16:creationId xmlns:a16="http://schemas.microsoft.com/office/drawing/2014/main" id="{F63A7EF3-381F-FE3D-94C6-8A4D65DDB5D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75" name="Shape 26">
            <a:extLst>
              <a:ext uri="{FF2B5EF4-FFF2-40B4-BE49-F238E27FC236}">
                <a16:creationId xmlns:a16="http://schemas.microsoft.com/office/drawing/2014/main" id="{2090FEA6-A3DB-638B-98F1-3F20D2330B9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76" name="Shape 27">
            <a:extLst>
              <a:ext uri="{FF2B5EF4-FFF2-40B4-BE49-F238E27FC236}">
                <a16:creationId xmlns:a16="http://schemas.microsoft.com/office/drawing/2014/main" id="{7C03E121-3322-B80B-B42E-BE70575D3BD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77" name="Shape 28">
            <a:extLst>
              <a:ext uri="{FF2B5EF4-FFF2-40B4-BE49-F238E27FC236}">
                <a16:creationId xmlns:a16="http://schemas.microsoft.com/office/drawing/2014/main" id="{13E329FF-7E43-7B72-78E2-3DA55303A0D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78" name="Shape 29">
            <a:extLst>
              <a:ext uri="{FF2B5EF4-FFF2-40B4-BE49-F238E27FC236}">
                <a16:creationId xmlns:a16="http://schemas.microsoft.com/office/drawing/2014/main" id="{EA7DFBFC-6795-78F3-401A-D240910589F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79" name="Shape 30">
            <a:extLst>
              <a:ext uri="{FF2B5EF4-FFF2-40B4-BE49-F238E27FC236}">
                <a16:creationId xmlns:a16="http://schemas.microsoft.com/office/drawing/2014/main" id="{FEE7484C-61AA-081C-B62B-341B1376070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80" name="Shape 31">
            <a:extLst>
              <a:ext uri="{FF2B5EF4-FFF2-40B4-BE49-F238E27FC236}">
                <a16:creationId xmlns:a16="http://schemas.microsoft.com/office/drawing/2014/main" id="{36A3CD77-8629-9B3D-4BE4-0496C6C3CD8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</xdr:row>
      <xdr:rowOff>160585</xdr:rowOff>
    </xdr:from>
    <xdr:ext cx="33655" cy="33655"/>
    <xdr:grpSp>
      <xdr:nvGrpSpPr>
        <xdr:cNvPr id="9881" name="Group 32">
          <a:extLst>
            <a:ext uri="{FF2B5EF4-FFF2-40B4-BE49-F238E27FC236}">
              <a16:creationId xmlns:a16="http://schemas.microsoft.com/office/drawing/2014/main" id="{5F7041E4-310F-40AD-8944-42F769BD0A1B}"/>
            </a:ext>
          </a:extLst>
        </xdr:cNvPr>
        <xdr:cNvGrpSpPr/>
      </xdr:nvGrpSpPr>
      <xdr:grpSpPr>
        <a:xfrm>
          <a:off x="4603072" y="16193815"/>
          <a:ext cx="33655" cy="33655"/>
          <a:chOff x="0" y="0"/>
          <a:chExt cx="33655" cy="33655"/>
        </a:xfrm>
      </xdr:grpSpPr>
      <xdr:sp macro="" textlink="">
        <xdr:nvSpPr>
          <xdr:cNvPr id="9882" name="Shape 33">
            <a:extLst>
              <a:ext uri="{FF2B5EF4-FFF2-40B4-BE49-F238E27FC236}">
                <a16:creationId xmlns:a16="http://schemas.microsoft.com/office/drawing/2014/main" id="{EFC4B8F4-BD91-76EC-7D97-7523F85CAAB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83" name="Shape 34">
            <a:extLst>
              <a:ext uri="{FF2B5EF4-FFF2-40B4-BE49-F238E27FC236}">
                <a16:creationId xmlns:a16="http://schemas.microsoft.com/office/drawing/2014/main" id="{D0AA1A25-386C-BDC3-4AEE-EAEA198ACE2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84" name="Shape 35">
            <a:extLst>
              <a:ext uri="{FF2B5EF4-FFF2-40B4-BE49-F238E27FC236}">
                <a16:creationId xmlns:a16="http://schemas.microsoft.com/office/drawing/2014/main" id="{3FCAFB18-F5F9-DD3E-D9B1-F7D765DF74B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85" name="Shape 36">
            <a:extLst>
              <a:ext uri="{FF2B5EF4-FFF2-40B4-BE49-F238E27FC236}">
                <a16:creationId xmlns:a16="http://schemas.microsoft.com/office/drawing/2014/main" id="{CB64CCEB-3C43-D1A0-204E-2DDCEDB10DB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86" name="Shape 37">
            <a:extLst>
              <a:ext uri="{FF2B5EF4-FFF2-40B4-BE49-F238E27FC236}">
                <a16:creationId xmlns:a16="http://schemas.microsoft.com/office/drawing/2014/main" id="{8DD7AB39-3A4B-918B-40A5-B71D44197D0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87" name="Shape 38">
            <a:extLst>
              <a:ext uri="{FF2B5EF4-FFF2-40B4-BE49-F238E27FC236}">
                <a16:creationId xmlns:a16="http://schemas.microsoft.com/office/drawing/2014/main" id="{0394589C-E969-10C2-AAAD-A174C621A76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88" name="Shape 39">
            <a:extLst>
              <a:ext uri="{FF2B5EF4-FFF2-40B4-BE49-F238E27FC236}">
                <a16:creationId xmlns:a16="http://schemas.microsoft.com/office/drawing/2014/main" id="{14CA574E-8FDD-3B7F-CC74-78700D76167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89" name="Shape 40">
            <a:extLst>
              <a:ext uri="{FF2B5EF4-FFF2-40B4-BE49-F238E27FC236}">
                <a16:creationId xmlns:a16="http://schemas.microsoft.com/office/drawing/2014/main" id="{B3726845-7856-1183-E5E1-CDFB423C995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90" name="Shape 41">
            <a:extLst>
              <a:ext uri="{FF2B5EF4-FFF2-40B4-BE49-F238E27FC236}">
                <a16:creationId xmlns:a16="http://schemas.microsoft.com/office/drawing/2014/main" id="{717F69C3-6B89-3113-F5D6-DCB363DD451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91" name="Shape 42">
            <a:extLst>
              <a:ext uri="{FF2B5EF4-FFF2-40B4-BE49-F238E27FC236}">
                <a16:creationId xmlns:a16="http://schemas.microsoft.com/office/drawing/2014/main" id="{A02936A8-CE56-3EA4-7AD4-6D0FD0B8139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92" name="Shape 43">
            <a:extLst>
              <a:ext uri="{FF2B5EF4-FFF2-40B4-BE49-F238E27FC236}">
                <a16:creationId xmlns:a16="http://schemas.microsoft.com/office/drawing/2014/main" id="{680433D8-42CB-A01C-0685-9CB6FE20571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93" name="Shape 44">
            <a:extLst>
              <a:ext uri="{FF2B5EF4-FFF2-40B4-BE49-F238E27FC236}">
                <a16:creationId xmlns:a16="http://schemas.microsoft.com/office/drawing/2014/main" id="{C05BCD52-622B-CE78-E8F2-3BA02668F0C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94" name="Shape 45">
            <a:extLst>
              <a:ext uri="{FF2B5EF4-FFF2-40B4-BE49-F238E27FC236}">
                <a16:creationId xmlns:a16="http://schemas.microsoft.com/office/drawing/2014/main" id="{F081E0A4-C5D1-F8F1-C540-AE351C37FE8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95" name="Shape 46">
            <a:extLst>
              <a:ext uri="{FF2B5EF4-FFF2-40B4-BE49-F238E27FC236}">
                <a16:creationId xmlns:a16="http://schemas.microsoft.com/office/drawing/2014/main" id="{1AF3B7A0-93FE-9BA7-B02E-C2CDABBA5F5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85</xdr:row>
      <xdr:rowOff>3409</xdr:rowOff>
    </xdr:from>
    <xdr:ext cx="33655" cy="33655"/>
    <xdr:grpSp>
      <xdr:nvGrpSpPr>
        <xdr:cNvPr id="9896" name="Group 47">
          <a:extLst>
            <a:ext uri="{FF2B5EF4-FFF2-40B4-BE49-F238E27FC236}">
              <a16:creationId xmlns:a16="http://schemas.microsoft.com/office/drawing/2014/main" id="{B854443D-AAB1-4524-858C-692998967061}"/>
            </a:ext>
          </a:extLst>
        </xdr:cNvPr>
        <xdr:cNvGrpSpPr/>
      </xdr:nvGrpSpPr>
      <xdr:grpSpPr>
        <a:xfrm>
          <a:off x="4603072" y="16205278"/>
          <a:ext cx="33655" cy="33655"/>
          <a:chOff x="0" y="0"/>
          <a:chExt cx="33655" cy="33655"/>
        </a:xfrm>
      </xdr:grpSpPr>
      <xdr:sp macro="" textlink="">
        <xdr:nvSpPr>
          <xdr:cNvPr id="9897" name="Shape 48">
            <a:extLst>
              <a:ext uri="{FF2B5EF4-FFF2-40B4-BE49-F238E27FC236}">
                <a16:creationId xmlns:a16="http://schemas.microsoft.com/office/drawing/2014/main" id="{2B5016BB-7CAB-8692-BB0F-F7BAB903004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898" name="Shape 49">
            <a:extLst>
              <a:ext uri="{FF2B5EF4-FFF2-40B4-BE49-F238E27FC236}">
                <a16:creationId xmlns:a16="http://schemas.microsoft.com/office/drawing/2014/main" id="{630DF4BC-2D3A-4CD0-D544-5B18E450B1D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899" name="Shape 50">
            <a:extLst>
              <a:ext uri="{FF2B5EF4-FFF2-40B4-BE49-F238E27FC236}">
                <a16:creationId xmlns:a16="http://schemas.microsoft.com/office/drawing/2014/main" id="{4A4B903E-09F9-5FA4-1BFA-CFA079E35B0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00" name="Shape 51">
            <a:extLst>
              <a:ext uri="{FF2B5EF4-FFF2-40B4-BE49-F238E27FC236}">
                <a16:creationId xmlns:a16="http://schemas.microsoft.com/office/drawing/2014/main" id="{7EB49F01-B532-E33D-236B-6DF2C61F9BC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01" name="Shape 52">
            <a:extLst>
              <a:ext uri="{FF2B5EF4-FFF2-40B4-BE49-F238E27FC236}">
                <a16:creationId xmlns:a16="http://schemas.microsoft.com/office/drawing/2014/main" id="{D6CD37DA-4169-C8DE-E735-52E87279B98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02" name="Shape 53">
            <a:extLst>
              <a:ext uri="{FF2B5EF4-FFF2-40B4-BE49-F238E27FC236}">
                <a16:creationId xmlns:a16="http://schemas.microsoft.com/office/drawing/2014/main" id="{202E52BE-D5E4-42D8-20BC-796942F5545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03" name="Shape 54">
            <a:extLst>
              <a:ext uri="{FF2B5EF4-FFF2-40B4-BE49-F238E27FC236}">
                <a16:creationId xmlns:a16="http://schemas.microsoft.com/office/drawing/2014/main" id="{AE027E18-6C46-2BC0-8306-C2352493344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04" name="Shape 55">
            <a:extLst>
              <a:ext uri="{FF2B5EF4-FFF2-40B4-BE49-F238E27FC236}">
                <a16:creationId xmlns:a16="http://schemas.microsoft.com/office/drawing/2014/main" id="{A958C06F-7FFC-83FC-A77E-AC5F93F4A13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05" name="Shape 56">
            <a:extLst>
              <a:ext uri="{FF2B5EF4-FFF2-40B4-BE49-F238E27FC236}">
                <a16:creationId xmlns:a16="http://schemas.microsoft.com/office/drawing/2014/main" id="{532A81B5-CBD5-845D-16DA-21ECD06E139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06" name="Shape 57">
            <a:extLst>
              <a:ext uri="{FF2B5EF4-FFF2-40B4-BE49-F238E27FC236}">
                <a16:creationId xmlns:a16="http://schemas.microsoft.com/office/drawing/2014/main" id="{B8069731-AE9A-D1B0-D87D-11B7BD40353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07" name="Shape 58">
            <a:extLst>
              <a:ext uri="{FF2B5EF4-FFF2-40B4-BE49-F238E27FC236}">
                <a16:creationId xmlns:a16="http://schemas.microsoft.com/office/drawing/2014/main" id="{B3A943A6-3FA8-0BC3-C485-159D381F5CA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08" name="Shape 59">
            <a:extLst>
              <a:ext uri="{FF2B5EF4-FFF2-40B4-BE49-F238E27FC236}">
                <a16:creationId xmlns:a16="http://schemas.microsoft.com/office/drawing/2014/main" id="{38FEC1DC-E2C3-062B-FBF8-7EF76C0B43D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09" name="Shape 60">
            <a:extLst>
              <a:ext uri="{FF2B5EF4-FFF2-40B4-BE49-F238E27FC236}">
                <a16:creationId xmlns:a16="http://schemas.microsoft.com/office/drawing/2014/main" id="{CF74DEE1-5FD0-8486-433C-471DB8CC4E3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10" name="Shape 61">
            <a:extLst>
              <a:ext uri="{FF2B5EF4-FFF2-40B4-BE49-F238E27FC236}">
                <a16:creationId xmlns:a16="http://schemas.microsoft.com/office/drawing/2014/main" id="{8F468971-722A-B858-0F21-8A5349F364C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84</xdr:row>
      <xdr:rowOff>160844</xdr:rowOff>
    </xdr:from>
    <xdr:ext cx="33655" cy="33655"/>
    <xdr:grpSp>
      <xdr:nvGrpSpPr>
        <xdr:cNvPr id="9911" name="Group 62">
          <a:extLst>
            <a:ext uri="{FF2B5EF4-FFF2-40B4-BE49-F238E27FC236}">
              <a16:creationId xmlns:a16="http://schemas.microsoft.com/office/drawing/2014/main" id="{39EE07A6-EFB3-4221-B428-A35ADC297629}"/>
            </a:ext>
          </a:extLst>
        </xdr:cNvPr>
        <xdr:cNvGrpSpPr/>
      </xdr:nvGrpSpPr>
      <xdr:grpSpPr>
        <a:xfrm>
          <a:off x="4603072" y="16194074"/>
          <a:ext cx="33655" cy="33655"/>
          <a:chOff x="0" y="0"/>
          <a:chExt cx="33655" cy="33655"/>
        </a:xfrm>
      </xdr:grpSpPr>
      <xdr:sp macro="" textlink="">
        <xdr:nvSpPr>
          <xdr:cNvPr id="9912" name="Shape 63">
            <a:extLst>
              <a:ext uri="{FF2B5EF4-FFF2-40B4-BE49-F238E27FC236}">
                <a16:creationId xmlns:a16="http://schemas.microsoft.com/office/drawing/2014/main" id="{87CF6ABC-B10A-E746-8B5A-180B3E75BFF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13" name="Shape 64">
            <a:extLst>
              <a:ext uri="{FF2B5EF4-FFF2-40B4-BE49-F238E27FC236}">
                <a16:creationId xmlns:a16="http://schemas.microsoft.com/office/drawing/2014/main" id="{FBCB0291-94E0-4334-921A-796C7DC84F1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14" name="Shape 65">
            <a:extLst>
              <a:ext uri="{FF2B5EF4-FFF2-40B4-BE49-F238E27FC236}">
                <a16:creationId xmlns:a16="http://schemas.microsoft.com/office/drawing/2014/main" id="{F188DC93-EF3F-B8DB-18E8-EC87ED4C643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15" name="Shape 66">
            <a:extLst>
              <a:ext uri="{FF2B5EF4-FFF2-40B4-BE49-F238E27FC236}">
                <a16:creationId xmlns:a16="http://schemas.microsoft.com/office/drawing/2014/main" id="{893D43F6-80CB-8973-08A2-3A827F49C45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16" name="Shape 67">
            <a:extLst>
              <a:ext uri="{FF2B5EF4-FFF2-40B4-BE49-F238E27FC236}">
                <a16:creationId xmlns:a16="http://schemas.microsoft.com/office/drawing/2014/main" id="{92C35985-A657-D38B-6E15-856D2D45FC3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17" name="Shape 68">
            <a:extLst>
              <a:ext uri="{FF2B5EF4-FFF2-40B4-BE49-F238E27FC236}">
                <a16:creationId xmlns:a16="http://schemas.microsoft.com/office/drawing/2014/main" id="{D02EDEF8-9D45-8B53-1AF5-58C6DA3BA61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18" name="Shape 69">
            <a:extLst>
              <a:ext uri="{FF2B5EF4-FFF2-40B4-BE49-F238E27FC236}">
                <a16:creationId xmlns:a16="http://schemas.microsoft.com/office/drawing/2014/main" id="{8952F631-DDE8-FC7F-1F3F-DDC9495E089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19" name="Shape 70">
            <a:extLst>
              <a:ext uri="{FF2B5EF4-FFF2-40B4-BE49-F238E27FC236}">
                <a16:creationId xmlns:a16="http://schemas.microsoft.com/office/drawing/2014/main" id="{938271E6-369F-7327-CF0E-1C8BCF0762B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20" name="Shape 71">
            <a:extLst>
              <a:ext uri="{FF2B5EF4-FFF2-40B4-BE49-F238E27FC236}">
                <a16:creationId xmlns:a16="http://schemas.microsoft.com/office/drawing/2014/main" id="{7DD1050B-F54E-B400-532D-9A9643B28ED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21" name="Shape 72">
            <a:extLst>
              <a:ext uri="{FF2B5EF4-FFF2-40B4-BE49-F238E27FC236}">
                <a16:creationId xmlns:a16="http://schemas.microsoft.com/office/drawing/2014/main" id="{86DDC5AA-8D5B-2917-2109-A4E5491B389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22" name="Shape 73">
            <a:extLst>
              <a:ext uri="{FF2B5EF4-FFF2-40B4-BE49-F238E27FC236}">
                <a16:creationId xmlns:a16="http://schemas.microsoft.com/office/drawing/2014/main" id="{1EE804F7-2C1E-5AA9-7D39-9A1C0E573E0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23" name="Shape 74">
            <a:extLst>
              <a:ext uri="{FF2B5EF4-FFF2-40B4-BE49-F238E27FC236}">
                <a16:creationId xmlns:a16="http://schemas.microsoft.com/office/drawing/2014/main" id="{978BE88B-FC2C-1602-289C-2E9E26DDC5A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24" name="Shape 75">
            <a:extLst>
              <a:ext uri="{FF2B5EF4-FFF2-40B4-BE49-F238E27FC236}">
                <a16:creationId xmlns:a16="http://schemas.microsoft.com/office/drawing/2014/main" id="{60DA41C1-1999-AC28-314B-9B11229A7B2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25" name="Shape 76">
            <a:extLst>
              <a:ext uri="{FF2B5EF4-FFF2-40B4-BE49-F238E27FC236}">
                <a16:creationId xmlns:a16="http://schemas.microsoft.com/office/drawing/2014/main" id="{70B93F23-AFA7-08D1-0B7C-D452FE0C82C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291</xdr:row>
      <xdr:rowOff>2978</xdr:rowOff>
    </xdr:from>
    <xdr:ext cx="33655" cy="33655"/>
    <xdr:grpSp>
      <xdr:nvGrpSpPr>
        <xdr:cNvPr id="9926" name="Group 2">
          <a:extLst>
            <a:ext uri="{FF2B5EF4-FFF2-40B4-BE49-F238E27FC236}">
              <a16:creationId xmlns:a16="http://schemas.microsoft.com/office/drawing/2014/main" id="{BE688F85-C8AC-4DEF-9895-295E0C7AD332}"/>
            </a:ext>
          </a:extLst>
        </xdr:cNvPr>
        <xdr:cNvGrpSpPr/>
      </xdr:nvGrpSpPr>
      <xdr:grpSpPr>
        <a:xfrm>
          <a:off x="4603072" y="56278552"/>
          <a:ext cx="33655" cy="33655"/>
          <a:chOff x="0" y="0"/>
          <a:chExt cx="33655" cy="33655"/>
        </a:xfrm>
      </xdr:grpSpPr>
      <xdr:sp macro="" textlink="">
        <xdr:nvSpPr>
          <xdr:cNvPr id="9927" name="Shape 3">
            <a:extLst>
              <a:ext uri="{FF2B5EF4-FFF2-40B4-BE49-F238E27FC236}">
                <a16:creationId xmlns:a16="http://schemas.microsoft.com/office/drawing/2014/main" id="{E34BC7DA-B7B6-F4CE-E3C0-46CB9F73F8D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28" name="Shape 4">
            <a:extLst>
              <a:ext uri="{FF2B5EF4-FFF2-40B4-BE49-F238E27FC236}">
                <a16:creationId xmlns:a16="http://schemas.microsoft.com/office/drawing/2014/main" id="{31A66091-5441-700E-BE17-57777331DC1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29" name="Shape 5">
            <a:extLst>
              <a:ext uri="{FF2B5EF4-FFF2-40B4-BE49-F238E27FC236}">
                <a16:creationId xmlns:a16="http://schemas.microsoft.com/office/drawing/2014/main" id="{7D2DE329-ED42-40E2-7E01-4C833F3B090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30" name="Shape 6">
            <a:extLst>
              <a:ext uri="{FF2B5EF4-FFF2-40B4-BE49-F238E27FC236}">
                <a16:creationId xmlns:a16="http://schemas.microsoft.com/office/drawing/2014/main" id="{C2796C7A-7C65-EB3F-37B9-C7E7D9030EA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31" name="Shape 7">
            <a:extLst>
              <a:ext uri="{FF2B5EF4-FFF2-40B4-BE49-F238E27FC236}">
                <a16:creationId xmlns:a16="http://schemas.microsoft.com/office/drawing/2014/main" id="{3C5201D1-1099-D07A-DE0B-BD39F14FB3F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32" name="Shape 8">
            <a:extLst>
              <a:ext uri="{FF2B5EF4-FFF2-40B4-BE49-F238E27FC236}">
                <a16:creationId xmlns:a16="http://schemas.microsoft.com/office/drawing/2014/main" id="{080502E4-7361-BD71-8958-43B4C66AA08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33" name="Shape 9">
            <a:extLst>
              <a:ext uri="{FF2B5EF4-FFF2-40B4-BE49-F238E27FC236}">
                <a16:creationId xmlns:a16="http://schemas.microsoft.com/office/drawing/2014/main" id="{B23A7816-2F22-C52F-0858-3494E06AB3B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34" name="Shape 10">
            <a:extLst>
              <a:ext uri="{FF2B5EF4-FFF2-40B4-BE49-F238E27FC236}">
                <a16:creationId xmlns:a16="http://schemas.microsoft.com/office/drawing/2014/main" id="{9A0456C2-F0E0-6058-01A5-8B24F7AE21D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35" name="Shape 11">
            <a:extLst>
              <a:ext uri="{FF2B5EF4-FFF2-40B4-BE49-F238E27FC236}">
                <a16:creationId xmlns:a16="http://schemas.microsoft.com/office/drawing/2014/main" id="{966438E7-EA3B-8E3C-BE4B-BB104BFA63A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36" name="Shape 12">
            <a:extLst>
              <a:ext uri="{FF2B5EF4-FFF2-40B4-BE49-F238E27FC236}">
                <a16:creationId xmlns:a16="http://schemas.microsoft.com/office/drawing/2014/main" id="{FE54CF60-48F5-7A06-2869-4DC9EA78AAD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37" name="Shape 13">
            <a:extLst>
              <a:ext uri="{FF2B5EF4-FFF2-40B4-BE49-F238E27FC236}">
                <a16:creationId xmlns:a16="http://schemas.microsoft.com/office/drawing/2014/main" id="{C5F7706A-0D64-774C-0D5D-8681C885672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38" name="Shape 14">
            <a:extLst>
              <a:ext uri="{FF2B5EF4-FFF2-40B4-BE49-F238E27FC236}">
                <a16:creationId xmlns:a16="http://schemas.microsoft.com/office/drawing/2014/main" id="{880283DB-2C48-5961-EC11-4D89CB6C01C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39" name="Shape 15">
            <a:extLst>
              <a:ext uri="{FF2B5EF4-FFF2-40B4-BE49-F238E27FC236}">
                <a16:creationId xmlns:a16="http://schemas.microsoft.com/office/drawing/2014/main" id="{BF00C06B-3D29-562C-D8F4-1199DBF9FAB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40" name="Shape 16">
            <a:extLst>
              <a:ext uri="{FF2B5EF4-FFF2-40B4-BE49-F238E27FC236}">
                <a16:creationId xmlns:a16="http://schemas.microsoft.com/office/drawing/2014/main" id="{9EC80D23-6BAD-742F-0252-5A410481CD7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291</xdr:row>
      <xdr:rowOff>3246</xdr:rowOff>
    </xdr:from>
    <xdr:ext cx="33655" cy="33655"/>
    <xdr:grpSp>
      <xdr:nvGrpSpPr>
        <xdr:cNvPr id="9941" name="Group 17">
          <a:extLst>
            <a:ext uri="{FF2B5EF4-FFF2-40B4-BE49-F238E27FC236}">
              <a16:creationId xmlns:a16="http://schemas.microsoft.com/office/drawing/2014/main" id="{45B5D7F7-4AD8-47CE-A7B2-D27DE49559E3}"/>
            </a:ext>
          </a:extLst>
        </xdr:cNvPr>
        <xdr:cNvGrpSpPr/>
      </xdr:nvGrpSpPr>
      <xdr:grpSpPr>
        <a:xfrm>
          <a:off x="4603072" y="56278820"/>
          <a:ext cx="33655" cy="33655"/>
          <a:chOff x="0" y="0"/>
          <a:chExt cx="33655" cy="33655"/>
        </a:xfrm>
      </xdr:grpSpPr>
      <xdr:sp macro="" textlink="">
        <xdr:nvSpPr>
          <xdr:cNvPr id="9942" name="Shape 18">
            <a:extLst>
              <a:ext uri="{FF2B5EF4-FFF2-40B4-BE49-F238E27FC236}">
                <a16:creationId xmlns:a16="http://schemas.microsoft.com/office/drawing/2014/main" id="{97F6506D-D15B-8D48-7D18-8BC10B922FD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43" name="Shape 19">
            <a:extLst>
              <a:ext uri="{FF2B5EF4-FFF2-40B4-BE49-F238E27FC236}">
                <a16:creationId xmlns:a16="http://schemas.microsoft.com/office/drawing/2014/main" id="{10756ECA-8608-8CCA-A2C0-3C7174F16D1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44" name="Shape 20">
            <a:extLst>
              <a:ext uri="{FF2B5EF4-FFF2-40B4-BE49-F238E27FC236}">
                <a16:creationId xmlns:a16="http://schemas.microsoft.com/office/drawing/2014/main" id="{32970F61-5FE7-65B4-B45E-DE462E6319D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45" name="Shape 21">
            <a:extLst>
              <a:ext uri="{FF2B5EF4-FFF2-40B4-BE49-F238E27FC236}">
                <a16:creationId xmlns:a16="http://schemas.microsoft.com/office/drawing/2014/main" id="{7B000E02-2673-FCD7-12DE-DD2CCFAED85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46" name="Shape 22">
            <a:extLst>
              <a:ext uri="{FF2B5EF4-FFF2-40B4-BE49-F238E27FC236}">
                <a16:creationId xmlns:a16="http://schemas.microsoft.com/office/drawing/2014/main" id="{A6DE3EC2-DDB0-B64F-4382-BE8DA88CAF2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47" name="Shape 23">
            <a:extLst>
              <a:ext uri="{FF2B5EF4-FFF2-40B4-BE49-F238E27FC236}">
                <a16:creationId xmlns:a16="http://schemas.microsoft.com/office/drawing/2014/main" id="{0C6E8C69-3ED7-4353-7E76-A4C71AA91B5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48" name="Shape 24">
            <a:extLst>
              <a:ext uri="{FF2B5EF4-FFF2-40B4-BE49-F238E27FC236}">
                <a16:creationId xmlns:a16="http://schemas.microsoft.com/office/drawing/2014/main" id="{878B1811-EA7A-1309-E0FC-EE15A1EFE90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49" name="Shape 25">
            <a:extLst>
              <a:ext uri="{FF2B5EF4-FFF2-40B4-BE49-F238E27FC236}">
                <a16:creationId xmlns:a16="http://schemas.microsoft.com/office/drawing/2014/main" id="{0D9B13FD-F187-4B71-C09A-22600C02BE6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50" name="Shape 26">
            <a:extLst>
              <a:ext uri="{FF2B5EF4-FFF2-40B4-BE49-F238E27FC236}">
                <a16:creationId xmlns:a16="http://schemas.microsoft.com/office/drawing/2014/main" id="{EDFA439C-34F6-A1B4-DB03-3A7D1CB9A90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51" name="Shape 27">
            <a:extLst>
              <a:ext uri="{FF2B5EF4-FFF2-40B4-BE49-F238E27FC236}">
                <a16:creationId xmlns:a16="http://schemas.microsoft.com/office/drawing/2014/main" id="{4AE9B7EE-35A1-4DF5-E513-E526685F4EA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52" name="Shape 28">
            <a:extLst>
              <a:ext uri="{FF2B5EF4-FFF2-40B4-BE49-F238E27FC236}">
                <a16:creationId xmlns:a16="http://schemas.microsoft.com/office/drawing/2014/main" id="{3B32ECC2-710D-CE57-6157-D3C9329E6B1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53" name="Shape 29">
            <a:extLst>
              <a:ext uri="{FF2B5EF4-FFF2-40B4-BE49-F238E27FC236}">
                <a16:creationId xmlns:a16="http://schemas.microsoft.com/office/drawing/2014/main" id="{7B497EB7-6305-4578-4847-30598A62B94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54" name="Shape 30">
            <a:extLst>
              <a:ext uri="{FF2B5EF4-FFF2-40B4-BE49-F238E27FC236}">
                <a16:creationId xmlns:a16="http://schemas.microsoft.com/office/drawing/2014/main" id="{BC86D50D-A726-2D02-405E-8F54574B849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55" name="Shape 31">
            <a:extLst>
              <a:ext uri="{FF2B5EF4-FFF2-40B4-BE49-F238E27FC236}">
                <a16:creationId xmlns:a16="http://schemas.microsoft.com/office/drawing/2014/main" id="{CA164BC2-9AD3-4D3B-8DBC-EA604617C18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290</xdr:row>
      <xdr:rowOff>160585</xdr:rowOff>
    </xdr:from>
    <xdr:ext cx="33655" cy="33655"/>
    <xdr:grpSp>
      <xdr:nvGrpSpPr>
        <xdr:cNvPr id="9956" name="Group 32">
          <a:extLst>
            <a:ext uri="{FF2B5EF4-FFF2-40B4-BE49-F238E27FC236}">
              <a16:creationId xmlns:a16="http://schemas.microsoft.com/office/drawing/2014/main" id="{4BBD3931-8A43-44A1-9870-BB867BCE88E6}"/>
            </a:ext>
          </a:extLst>
        </xdr:cNvPr>
        <xdr:cNvGrpSpPr/>
      </xdr:nvGrpSpPr>
      <xdr:grpSpPr>
        <a:xfrm>
          <a:off x="4603072" y="56267519"/>
          <a:ext cx="33655" cy="33655"/>
          <a:chOff x="0" y="0"/>
          <a:chExt cx="33655" cy="33655"/>
        </a:xfrm>
      </xdr:grpSpPr>
      <xdr:sp macro="" textlink="">
        <xdr:nvSpPr>
          <xdr:cNvPr id="9957" name="Shape 33">
            <a:extLst>
              <a:ext uri="{FF2B5EF4-FFF2-40B4-BE49-F238E27FC236}">
                <a16:creationId xmlns:a16="http://schemas.microsoft.com/office/drawing/2014/main" id="{703556F4-E226-6161-EC68-7C626ECCB58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58" name="Shape 34">
            <a:extLst>
              <a:ext uri="{FF2B5EF4-FFF2-40B4-BE49-F238E27FC236}">
                <a16:creationId xmlns:a16="http://schemas.microsoft.com/office/drawing/2014/main" id="{804827A2-07AA-7A33-ADBC-EC76EEEAA7B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59" name="Shape 35">
            <a:extLst>
              <a:ext uri="{FF2B5EF4-FFF2-40B4-BE49-F238E27FC236}">
                <a16:creationId xmlns:a16="http://schemas.microsoft.com/office/drawing/2014/main" id="{FB2A9429-4C83-8621-4389-E660A62FB60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60" name="Shape 36">
            <a:extLst>
              <a:ext uri="{FF2B5EF4-FFF2-40B4-BE49-F238E27FC236}">
                <a16:creationId xmlns:a16="http://schemas.microsoft.com/office/drawing/2014/main" id="{84B19F8E-E139-9AF1-8D20-468B807A08F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61" name="Shape 37">
            <a:extLst>
              <a:ext uri="{FF2B5EF4-FFF2-40B4-BE49-F238E27FC236}">
                <a16:creationId xmlns:a16="http://schemas.microsoft.com/office/drawing/2014/main" id="{24198C83-D705-7AFA-9EE2-84A603CC14B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62" name="Shape 38">
            <a:extLst>
              <a:ext uri="{FF2B5EF4-FFF2-40B4-BE49-F238E27FC236}">
                <a16:creationId xmlns:a16="http://schemas.microsoft.com/office/drawing/2014/main" id="{B00F0265-91A3-8E0F-49F9-58C8699D202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63" name="Shape 39">
            <a:extLst>
              <a:ext uri="{FF2B5EF4-FFF2-40B4-BE49-F238E27FC236}">
                <a16:creationId xmlns:a16="http://schemas.microsoft.com/office/drawing/2014/main" id="{EB5ED890-F062-FCA9-7F56-9780DC4AAA4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64" name="Shape 40">
            <a:extLst>
              <a:ext uri="{FF2B5EF4-FFF2-40B4-BE49-F238E27FC236}">
                <a16:creationId xmlns:a16="http://schemas.microsoft.com/office/drawing/2014/main" id="{FB3E4F30-4DF3-8B98-D8A5-5FE6D22B121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65" name="Shape 41">
            <a:extLst>
              <a:ext uri="{FF2B5EF4-FFF2-40B4-BE49-F238E27FC236}">
                <a16:creationId xmlns:a16="http://schemas.microsoft.com/office/drawing/2014/main" id="{B38A1208-2638-7ECA-A454-15C9BD7838C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66" name="Shape 42">
            <a:extLst>
              <a:ext uri="{FF2B5EF4-FFF2-40B4-BE49-F238E27FC236}">
                <a16:creationId xmlns:a16="http://schemas.microsoft.com/office/drawing/2014/main" id="{923E1727-2D31-6670-851D-B9136CCFEBE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67" name="Shape 43">
            <a:extLst>
              <a:ext uri="{FF2B5EF4-FFF2-40B4-BE49-F238E27FC236}">
                <a16:creationId xmlns:a16="http://schemas.microsoft.com/office/drawing/2014/main" id="{FE0461FC-38B7-2534-BA3C-0FA24776CF1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68" name="Shape 44">
            <a:extLst>
              <a:ext uri="{FF2B5EF4-FFF2-40B4-BE49-F238E27FC236}">
                <a16:creationId xmlns:a16="http://schemas.microsoft.com/office/drawing/2014/main" id="{25DA76DA-8A73-9E27-E4B6-E91A01B7CE6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69" name="Shape 45">
            <a:extLst>
              <a:ext uri="{FF2B5EF4-FFF2-40B4-BE49-F238E27FC236}">
                <a16:creationId xmlns:a16="http://schemas.microsoft.com/office/drawing/2014/main" id="{46002BA0-44B3-44C8-5583-A732CD07D29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70" name="Shape 46">
            <a:extLst>
              <a:ext uri="{FF2B5EF4-FFF2-40B4-BE49-F238E27FC236}">
                <a16:creationId xmlns:a16="http://schemas.microsoft.com/office/drawing/2014/main" id="{331C795C-05AC-23C1-1503-63060A9F56A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291</xdr:row>
      <xdr:rowOff>3409</xdr:rowOff>
    </xdr:from>
    <xdr:ext cx="33655" cy="33655"/>
    <xdr:grpSp>
      <xdr:nvGrpSpPr>
        <xdr:cNvPr id="9971" name="Group 47">
          <a:extLst>
            <a:ext uri="{FF2B5EF4-FFF2-40B4-BE49-F238E27FC236}">
              <a16:creationId xmlns:a16="http://schemas.microsoft.com/office/drawing/2014/main" id="{7D52CF81-B305-44E3-86DD-C50A3D923061}"/>
            </a:ext>
          </a:extLst>
        </xdr:cNvPr>
        <xdr:cNvGrpSpPr/>
      </xdr:nvGrpSpPr>
      <xdr:grpSpPr>
        <a:xfrm>
          <a:off x="4603072" y="56278983"/>
          <a:ext cx="33655" cy="33655"/>
          <a:chOff x="0" y="0"/>
          <a:chExt cx="33655" cy="33655"/>
        </a:xfrm>
      </xdr:grpSpPr>
      <xdr:sp macro="" textlink="">
        <xdr:nvSpPr>
          <xdr:cNvPr id="9972" name="Shape 48">
            <a:extLst>
              <a:ext uri="{FF2B5EF4-FFF2-40B4-BE49-F238E27FC236}">
                <a16:creationId xmlns:a16="http://schemas.microsoft.com/office/drawing/2014/main" id="{29D66E14-1104-579A-FEB8-B23CBCDB154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73" name="Shape 49">
            <a:extLst>
              <a:ext uri="{FF2B5EF4-FFF2-40B4-BE49-F238E27FC236}">
                <a16:creationId xmlns:a16="http://schemas.microsoft.com/office/drawing/2014/main" id="{FAF9A65D-2C35-682A-9F43-0AF08129484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74" name="Shape 50">
            <a:extLst>
              <a:ext uri="{FF2B5EF4-FFF2-40B4-BE49-F238E27FC236}">
                <a16:creationId xmlns:a16="http://schemas.microsoft.com/office/drawing/2014/main" id="{4501A860-9671-87E6-E74B-582CD80E9FA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75" name="Shape 51">
            <a:extLst>
              <a:ext uri="{FF2B5EF4-FFF2-40B4-BE49-F238E27FC236}">
                <a16:creationId xmlns:a16="http://schemas.microsoft.com/office/drawing/2014/main" id="{1EED620B-71C5-29B9-23D2-6538DB20827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76" name="Shape 52">
            <a:extLst>
              <a:ext uri="{FF2B5EF4-FFF2-40B4-BE49-F238E27FC236}">
                <a16:creationId xmlns:a16="http://schemas.microsoft.com/office/drawing/2014/main" id="{77B92EA1-2509-B49E-8D1D-E176AFD6E13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77" name="Shape 53">
            <a:extLst>
              <a:ext uri="{FF2B5EF4-FFF2-40B4-BE49-F238E27FC236}">
                <a16:creationId xmlns:a16="http://schemas.microsoft.com/office/drawing/2014/main" id="{92B63C21-E2A7-CF61-2ABD-F3327DCEB55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78" name="Shape 54">
            <a:extLst>
              <a:ext uri="{FF2B5EF4-FFF2-40B4-BE49-F238E27FC236}">
                <a16:creationId xmlns:a16="http://schemas.microsoft.com/office/drawing/2014/main" id="{C2B71220-3D69-4403-A845-8C65F1EB5E4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79" name="Shape 55">
            <a:extLst>
              <a:ext uri="{FF2B5EF4-FFF2-40B4-BE49-F238E27FC236}">
                <a16:creationId xmlns:a16="http://schemas.microsoft.com/office/drawing/2014/main" id="{224FBFDF-CCD4-E2F9-F309-63E7BB03BF1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80" name="Shape 56">
            <a:extLst>
              <a:ext uri="{FF2B5EF4-FFF2-40B4-BE49-F238E27FC236}">
                <a16:creationId xmlns:a16="http://schemas.microsoft.com/office/drawing/2014/main" id="{AF1BEF7A-6424-26EA-A9C5-D82118869D5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81" name="Shape 57">
            <a:extLst>
              <a:ext uri="{FF2B5EF4-FFF2-40B4-BE49-F238E27FC236}">
                <a16:creationId xmlns:a16="http://schemas.microsoft.com/office/drawing/2014/main" id="{1645DB39-BDB2-2600-5ED8-44203E8E085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82" name="Shape 58">
            <a:extLst>
              <a:ext uri="{FF2B5EF4-FFF2-40B4-BE49-F238E27FC236}">
                <a16:creationId xmlns:a16="http://schemas.microsoft.com/office/drawing/2014/main" id="{7E9B5BFD-8B81-ECA7-01EE-CB7D447FFBB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83" name="Shape 59">
            <a:extLst>
              <a:ext uri="{FF2B5EF4-FFF2-40B4-BE49-F238E27FC236}">
                <a16:creationId xmlns:a16="http://schemas.microsoft.com/office/drawing/2014/main" id="{14620AD6-F873-7EC3-C9E2-FE4543141CB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84" name="Shape 60">
            <a:extLst>
              <a:ext uri="{FF2B5EF4-FFF2-40B4-BE49-F238E27FC236}">
                <a16:creationId xmlns:a16="http://schemas.microsoft.com/office/drawing/2014/main" id="{763D3929-9BF0-0EBD-49AC-B6D7106442F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9985" name="Shape 61">
            <a:extLst>
              <a:ext uri="{FF2B5EF4-FFF2-40B4-BE49-F238E27FC236}">
                <a16:creationId xmlns:a16="http://schemas.microsoft.com/office/drawing/2014/main" id="{B6905C50-0215-4F61-7AC8-F525CD3E749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290</xdr:row>
      <xdr:rowOff>160844</xdr:rowOff>
    </xdr:from>
    <xdr:ext cx="33655" cy="33655"/>
    <xdr:grpSp>
      <xdr:nvGrpSpPr>
        <xdr:cNvPr id="9986" name="Group 62">
          <a:extLst>
            <a:ext uri="{FF2B5EF4-FFF2-40B4-BE49-F238E27FC236}">
              <a16:creationId xmlns:a16="http://schemas.microsoft.com/office/drawing/2014/main" id="{3EF6D510-04CF-4933-8EC9-2864FB6DB471}"/>
            </a:ext>
          </a:extLst>
        </xdr:cNvPr>
        <xdr:cNvGrpSpPr/>
      </xdr:nvGrpSpPr>
      <xdr:grpSpPr>
        <a:xfrm>
          <a:off x="4603072" y="56267778"/>
          <a:ext cx="33655" cy="33655"/>
          <a:chOff x="0" y="0"/>
          <a:chExt cx="33655" cy="33655"/>
        </a:xfrm>
      </xdr:grpSpPr>
      <xdr:sp macro="" textlink="">
        <xdr:nvSpPr>
          <xdr:cNvPr id="9987" name="Shape 63">
            <a:extLst>
              <a:ext uri="{FF2B5EF4-FFF2-40B4-BE49-F238E27FC236}">
                <a16:creationId xmlns:a16="http://schemas.microsoft.com/office/drawing/2014/main" id="{9D50A8A5-B35D-BCF3-FD6B-BB322786B79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88" name="Shape 64">
            <a:extLst>
              <a:ext uri="{FF2B5EF4-FFF2-40B4-BE49-F238E27FC236}">
                <a16:creationId xmlns:a16="http://schemas.microsoft.com/office/drawing/2014/main" id="{5C1B7A89-5D4E-FB4F-27FE-66F27D17FA5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89" name="Shape 65">
            <a:extLst>
              <a:ext uri="{FF2B5EF4-FFF2-40B4-BE49-F238E27FC236}">
                <a16:creationId xmlns:a16="http://schemas.microsoft.com/office/drawing/2014/main" id="{D687D8D0-98B2-E23A-500D-6E2A8027C46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90" name="Shape 66">
            <a:extLst>
              <a:ext uri="{FF2B5EF4-FFF2-40B4-BE49-F238E27FC236}">
                <a16:creationId xmlns:a16="http://schemas.microsoft.com/office/drawing/2014/main" id="{AF11D23A-B6F9-DA8C-6E86-6C23227066B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91" name="Shape 67">
            <a:extLst>
              <a:ext uri="{FF2B5EF4-FFF2-40B4-BE49-F238E27FC236}">
                <a16:creationId xmlns:a16="http://schemas.microsoft.com/office/drawing/2014/main" id="{8CB224E7-0CE7-E103-CC31-91357D8EFCA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92" name="Shape 68">
            <a:extLst>
              <a:ext uri="{FF2B5EF4-FFF2-40B4-BE49-F238E27FC236}">
                <a16:creationId xmlns:a16="http://schemas.microsoft.com/office/drawing/2014/main" id="{0D5209ED-D39B-4794-41E3-39692248A10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93" name="Shape 69">
            <a:extLst>
              <a:ext uri="{FF2B5EF4-FFF2-40B4-BE49-F238E27FC236}">
                <a16:creationId xmlns:a16="http://schemas.microsoft.com/office/drawing/2014/main" id="{8911FFAC-33AE-A757-31A0-2939C8E5641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94" name="Shape 70">
            <a:extLst>
              <a:ext uri="{FF2B5EF4-FFF2-40B4-BE49-F238E27FC236}">
                <a16:creationId xmlns:a16="http://schemas.microsoft.com/office/drawing/2014/main" id="{D371D407-59CA-9ADD-355D-F16F4697C70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95" name="Shape 71">
            <a:extLst>
              <a:ext uri="{FF2B5EF4-FFF2-40B4-BE49-F238E27FC236}">
                <a16:creationId xmlns:a16="http://schemas.microsoft.com/office/drawing/2014/main" id="{14196BB2-6A9F-0EA8-735D-DF96CD8EB30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96" name="Shape 72">
            <a:extLst>
              <a:ext uri="{FF2B5EF4-FFF2-40B4-BE49-F238E27FC236}">
                <a16:creationId xmlns:a16="http://schemas.microsoft.com/office/drawing/2014/main" id="{99A4D453-C680-C622-B255-0C4BE6B700D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97" name="Shape 73">
            <a:extLst>
              <a:ext uri="{FF2B5EF4-FFF2-40B4-BE49-F238E27FC236}">
                <a16:creationId xmlns:a16="http://schemas.microsoft.com/office/drawing/2014/main" id="{217A79C3-2368-A5D6-7E45-E7AF77A1562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9998" name="Shape 74">
            <a:extLst>
              <a:ext uri="{FF2B5EF4-FFF2-40B4-BE49-F238E27FC236}">
                <a16:creationId xmlns:a16="http://schemas.microsoft.com/office/drawing/2014/main" id="{084C6917-1571-150F-43AA-326740171E8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9999" name="Shape 75">
            <a:extLst>
              <a:ext uri="{FF2B5EF4-FFF2-40B4-BE49-F238E27FC236}">
                <a16:creationId xmlns:a16="http://schemas.microsoft.com/office/drawing/2014/main" id="{45866F97-FCC5-8972-8EB6-C3D53AF3E7C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000" name="Shape 76">
            <a:extLst>
              <a:ext uri="{FF2B5EF4-FFF2-40B4-BE49-F238E27FC236}">
                <a16:creationId xmlns:a16="http://schemas.microsoft.com/office/drawing/2014/main" id="{C785EDAC-E666-5510-80DF-9CFCE2DF720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303</xdr:row>
      <xdr:rowOff>2978</xdr:rowOff>
    </xdr:from>
    <xdr:ext cx="33655" cy="33655"/>
    <xdr:grpSp>
      <xdr:nvGrpSpPr>
        <xdr:cNvPr id="10001" name="Group 2">
          <a:extLst>
            <a:ext uri="{FF2B5EF4-FFF2-40B4-BE49-F238E27FC236}">
              <a16:creationId xmlns:a16="http://schemas.microsoft.com/office/drawing/2014/main" id="{9BE83595-4E60-4A1B-9C7F-63D69AD79D29}"/>
            </a:ext>
          </a:extLst>
        </xdr:cNvPr>
        <xdr:cNvGrpSpPr/>
      </xdr:nvGrpSpPr>
      <xdr:grpSpPr>
        <a:xfrm>
          <a:off x="4603072" y="58602027"/>
          <a:ext cx="33655" cy="33655"/>
          <a:chOff x="0" y="0"/>
          <a:chExt cx="33655" cy="33655"/>
        </a:xfrm>
      </xdr:grpSpPr>
      <xdr:sp macro="" textlink="">
        <xdr:nvSpPr>
          <xdr:cNvPr id="10002" name="Shape 3">
            <a:extLst>
              <a:ext uri="{FF2B5EF4-FFF2-40B4-BE49-F238E27FC236}">
                <a16:creationId xmlns:a16="http://schemas.microsoft.com/office/drawing/2014/main" id="{289AC503-8E55-39F7-7C7E-05E12D79E91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03" name="Shape 4">
            <a:extLst>
              <a:ext uri="{FF2B5EF4-FFF2-40B4-BE49-F238E27FC236}">
                <a16:creationId xmlns:a16="http://schemas.microsoft.com/office/drawing/2014/main" id="{699E9971-2AB6-5AE6-9C40-A6F46BB4B54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04" name="Shape 5">
            <a:extLst>
              <a:ext uri="{FF2B5EF4-FFF2-40B4-BE49-F238E27FC236}">
                <a16:creationId xmlns:a16="http://schemas.microsoft.com/office/drawing/2014/main" id="{93442E13-D5A6-B919-25EC-39E88D75B72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05" name="Shape 6">
            <a:extLst>
              <a:ext uri="{FF2B5EF4-FFF2-40B4-BE49-F238E27FC236}">
                <a16:creationId xmlns:a16="http://schemas.microsoft.com/office/drawing/2014/main" id="{E209C541-5B47-5F41-DC23-15C80830097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06" name="Shape 7">
            <a:extLst>
              <a:ext uri="{FF2B5EF4-FFF2-40B4-BE49-F238E27FC236}">
                <a16:creationId xmlns:a16="http://schemas.microsoft.com/office/drawing/2014/main" id="{DE8B0AF0-BD71-D73A-BBA7-33348ED8CB5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07" name="Shape 8">
            <a:extLst>
              <a:ext uri="{FF2B5EF4-FFF2-40B4-BE49-F238E27FC236}">
                <a16:creationId xmlns:a16="http://schemas.microsoft.com/office/drawing/2014/main" id="{755BC462-D191-6FD9-476C-F907FE8AF81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08" name="Shape 9">
            <a:extLst>
              <a:ext uri="{FF2B5EF4-FFF2-40B4-BE49-F238E27FC236}">
                <a16:creationId xmlns:a16="http://schemas.microsoft.com/office/drawing/2014/main" id="{274DA235-94B8-62A8-37B3-E12741F1DCB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09" name="Shape 10">
            <a:extLst>
              <a:ext uri="{FF2B5EF4-FFF2-40B4-BE49-F238E27FC236}">
                <a16:creationId xmlns:a16="http://schemas.microsoft.com/office/drawing/2014/main" id="{3FB1A2A7-4A17-B0B0-2564-4AB1889B0A9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10" name="Shape 11">
            <a:extLst>
              <a:ext uri="{FF2B5EF4-FFF2-40B4-BE49-F238E27FC236}">
                <a16:creationId xmlns:a16="http://schemas.microsoft.com/office/drawing/2014/main" id="{501BA888-64E4-29BD-845B-A98087D1C04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11" name="Shape 12">
            <a:extLst>
              <a:ext uri="{FF2B5EF4-FFF2-40B4-BE49-F238E27FC236}">
                <a16:creationId xmlns:a16="http://schemas.microsoft.com/office/drawing/2014/main" id="{149E6FB5-7B0D-4F93-5B3E-D4EC6BAB652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12" name="Shape 13">
            <a:extLst>
              <a:ext uri="{FF2B5EF4-FFF2-40B4-BE49-F238E27FC236}">
                <a16:creationId xmlns:a16="http://schemas.microsoft.com/office/drawing/2014/main" id="{4DDFBCED-3ED5-7A73-8147-B91548AB0DA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13" name="Shape 14">
            <a:extLst>
              <a:ext uri="{FF2B5EF4-FFF2-40B4-BE49-F238E27FC236}">
                <a16:creationId xmlns:a16="http://schemas.microsoft.com/office/drawing/2014/main" id="{87BB697A-5CD6-6019-1381-496D5F6784C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14" name="Shape 15">
            <a:extLst>
              <a:ext uri="{FF2B5EF4-FFF2-40B4-BE49-F238E27FC236}">
                <a16:creationId xmlns:a16="http://schemas.microsoft.com/office/drawing/2014/main" id="{F6C0361D-73FD-5DF7-248E-A0BE96CEF10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15" name="Shape 16">
            <a:extLst>
              <a:ext uri="{FF2B5EF4-FFF2-40B4-BE49-F238E27FC236}">
                <a16:creationId xmlns:a16="http://schemas.microsoft.com/office/drawing/2014/main" id="{771C5D1F-166D-9303-BFF2-393D01DA03C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303</xdr:row>
      <xdr:rowOff>3246</xdr:rowOff>
    </xdr:from>
    <xdr:ext cx="33655" cy="33655"/>
    <xdr:grpSp>
      <xdr:nvGrpSpPr>
        <xdr:cNvPr id="10016" name="Group 17">
          <a:extLst>
            <a:ext uri="{FF2B5EF4-FFF2-40B4-BE49-F238E27FC236}">
              <a16:creationId xmlns:a16="http://schemas.microsoft.com/office/drawing/2014/main" id="{BBA41C3B-6A03-49DE-A061-F330D08F3BAD}"/>
            </a:ext>
          </a:extLst>
        </xdr:cNvPr>
        <xdr:cNvGrpSpPr/>
      </xdr:nvGrpSpPr>
      <xdr:grpSpPr>
        <a:xfrm>
          <a:off x="4603072" y="58602295"/>
          <a:ext cx="33655" cy="33655"/>
          <a:chOff x="0" y="0"/>
          <a:chExt cx="33655" cy="33655"/>
        </a:xfrm>
      </xdr:grpSpPr>
      <xdr:sp macro="" textlink="">
        <xdr:nvSpPr>
          <xdr:cNvPr id="10017" name="Shape 18">
            <a:extLst>
              <a:ext uri="{FF2B5EF4-FFF2-40B4-BE49-F238E27FC236}">
                <a16:creationId xmlns:a16="http://schemas.microsoft.com/office/drawing/2014/main" id="{4EF94AB7-2597-0E4A-1F2B-40FEFAF644F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18" name="Shape 19">
            <a:extLst>
              <a:ext uri="{FF2B5EF4-FFF2-40B4-BE49-F238E27FC236}">
                <a16:creationId xmlns:a16="http://schemas.microsoft.com/office/drawing/2014/main" id="{0135F25D-24B2-945F-7990-7A91EABFE5C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19" name="Shape 20">
            <a:extLst>
              <a:ext uri="{FF2B5EF4-FFF2-40B4-BE49-F238E27FC236}">
                <a16:creationId xmlns:a16="http://schemas.microsoft.com/office/drawing/2014/main" id="{642D1BEC-4C09-2265-5BAD-E9BFB16928E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20" name="Shape 21">
            <a:extLst>
              <a:ext uri="{FF2B5EF4-FFF2-40B4-BE49-F238E27FC236}">
                <a16:creationId xmlns:a16="http://schemas.microsoft.com/office/drawing/2014/main" id="{BD6103AC-B9EA-1614-4830-CFD92E69BB7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21" name="Shape 22">
            <a:extLst>
              <a:ext uri="{FF2B5EF4-FFF2-40B4-BE49-F238E27FC236}">
                <a16:creationId xmlns:a16="http://schemas.microsoft.com/office/drawing/2014/main" id="{B66475B7-5BEF-D2F7-D995-FA69268E5C4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22" name="Shape 23">
            <a:extLst>
              <a:ext uri="{FF2B5EF4-FFF2-40B4-BE49-F238E27FC236}">
                <a16:creationId xmlns:a16="http://schemas.microsoft.com/office/drawing/2014/main" id="{CF2AA5D6-BBC7-34D0-A65B-EB003876DFF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23" name="Shape 24">
            <a:extLst>
              <a:ext uri="{FF2B5EF4-FFF2-40B4-BE49-F238E27FC236}">
                <a16:creationId xmlns:a16="http://schemas.microsoft.com/office/drawing/2014/main" id="{C8450C29-9C18-E623-2CDE-F6EF89D933E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24" name="Shape 25">
            <a:extLst>
              <a:ext uri="{FF2B5EF4-FFF2-40B4-BE49-F238E27FC236}">
                <a16:creationId xmlns:a16="http://schemas.microsoft.com/office/drawing/2014/main" id="{ABBC4328-EEE5-E997-47F7-F0FEBDBCB1B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25" name="Shape 26">
            <a:extLst>
              <a:ext uri="{FF2B5EF4-FFF2-40B4-BE49-F238E27FC236}">
                <a16:creationId xmlns:a16="http://schemas.microsoft.com/office/drawing/2014/main" id="{E8F4AB6B-4AEF-1998-3BCD-39FF58F050C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26" name="Shape 27">
            <a:extLst>
              <a:ext uri="{FF2B5EF4-FFF2-40B4-BE49-F238E27FC236}">
                <a16:creationId xmlns:a16="http://schemas.microsoft.com/office/drawing/2014/main" id="{384DB198-CDE1-9F51-FA56-26F9323CE25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27" name="Shape 28">
            <a:extLst>
              <a:ext uri="{FF2B5EF4-FFF2-40B4-BE49-F238E27FC236}">
                <a16:creationId xmlns:a16="http://schemas.microsoft.com/office/drawing/2014/main" id="{3578DBBF-FE6D-87A3-96F7-C6C965095D4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28" name="Shape 29">
            <a:extLst>
              <a:ext uri="{FF2B5EF4-FFF2-40B4-BE49-F238E27FC236}">
                <a16:creationId xmlns:a16="http://schemas.microsoft.com/office/drawing/2014/main" id="{7E683736-9D62-B507-048F-FEE7C5D848D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29" name="Shape 30">
            <a:extLst>
              <a:ext uri="{FF2B5EF4-FFF2-40B4-BE49-F238E27FC236}">
                <a16:creationId xmlns:a16="http://schemas.microsoft.com/office/drawing/2014/main" id="{50DBF826-E2F4-E94E-A172-2A9411D4BAC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30" name="Shape 31">
            <a:extLst>
              <a:ext uri="{FF2B5EF4-FFF2-40B4-BE49-F238E27FC236}">
                <a16:creationId xmlns:a16="http://schemas.microsoft.com/office/drawing/2014/main" id="{538B9201-A236-6B68-6B86-C861F211D8F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302</xdr:row>
      <xdr:rowOff>160585</xdr:rowOff>
    </xdr:from>
    <xdr:ext cx="33655" cy="33655"/>
    <xdr:grpSp>
      <xdr:nvGrpSpPr>
        <xdr:cNvPr id="10031" name="Group 32">
          <a:extLst>
            <a:ext uri="{FF2B5EF4-FFF2-40B4-BE49-F238E27FC236}">
              <a16:creationId xmlns:a16="http://schemas.microsoft.com/office/drawing/2014/main" id="{88ED27C0-5AC3-4612-A641-32F31FADD095}"/>
            </a:ext>
          </a:extLst>
        </xdr:cNvPr>
        <xdr:cNvGrpSpPr/>
      </xdr:nvGrpSpPr>
      <xdr:grpSpPr>
        <a:xfrm>
          <a:off x="4603072" y="58590995"/>
          <a:ext cx="33655" cy="33655"/>
          <a:chOff x="0" y="0"/>
          <a:chExt cx="33655" cy="33655"/>
        </a:xfrm>
      </xdr:grpSpPr>
      <xdr:sp macro="" textlink="">
        <xdr:nvSpPr>
          <xdr:cNvPr id="10032" name="Shape 33">
            <a:extLst>
              <a:ext uri="{FF2B5EF4-FFF2-40B4-BE49-F238E27FC236}">
                <a16:creationId xmlns:a16="http://schemas.microsoft.com/office/drawing/2014/main" id="{165EAA4C-BF8B-F1AD-522F-C108B934F5C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33" name="Shape 34">
            <a:extLst>
              <a:ext uri="{FF2B5EF4-FFF2-40B4-BE49-F238E27FC236}">
                <a16:creationId xmlns:a16="http://schemas.microsoft.com/office/drawing/2014/main" id="{ED2D5A13-3FE8-DDD3-D83D-489AF454B0F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34" name="Shape 35">
            <a:extLst>
              <a:ext uri="{FF2B5EF4-FFF2-40B4-BE49-F238E27FC236}">
                <a16:creationId xmlns:a16="http://schemas.microsoft.com/office/drawing/2014/main" id="{0B3CA829-CD4B-2A14-3AD3-AD8941836D3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35" name="Shape 36">
            <a:extLst>
              <a:ext uri="{FF2B5EF4-FFF2-40B4-BE49-F238E27FC236}">
                <a16:creationId xmlns:a16="http://schemas.microsoft.com/office/drawing/2014/main" id="{4F0CE526-AC9F-B8AF-5AA6-B86EB820785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36" name="Shape 37">
            <a:extLst>
              <a:ext uri="{FF2B5EF4-FFF2-40B4-BE49-F238E27FC236}">
                <a16:creationId xmlns:a16="http://schemas.microsoft.com/office/drawing/2014/main" id="{1B9BAF64-BBF4-88C2-659A-641501F367B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37" name="Shape 38">
            <a:extLst>
              <a:ext uri="{FF2B5EF4-FFF2-40B4-BE49-F238E27FC236}">
                <a16:creationId xmlns:a16="http://schemas.microsoft.com/office/drawing/2014/main" id="{2093BCD9-1AA4-0A31-532B-0DBB9CAF875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38" name="Shape 39">
            <a:extLst>
              <a:ext uri="{FF2B5EF4-FFF2-40B4-BE49-F238E27FC236}">
                <a16:creationId xmlns:a16="http://schemas.microsoft.com/office/drawing/2014/main" id="{C7F14CC9-59E7-A7B6-1208-F83DD87F357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39" name="Shape 40">
            <a:extLst>
              <a:ext uri="{FF2B5EF4-FFF2-40B4-BE49-F238E27FC236}">
                <a16:creationId xmlns:a16="http://schemas.microsoft.com/office/drawing/2014/main" id="{EDDFEABB-93B1-9E0C-D10F-DAF22296FD1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40" name="Shape 41">
            <a:extLst>
              <a:ext uri="{FF2B5EF4-FFF2-40B4-BE49-F238E27FC236}">
                <a16:creationId xmlns:a16="http://schemas.microsoft.com/office/drawing/2014/main" id="{0E64F916-5B07-53ED-3A61-B755F9B94F8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41" name="Shape 42">
            <a:extLst>
              <a:ext uri="{FF2B5EF4-FFF2-40B4-BE49-F238E27FC236}">
                <a16:creationId xmlns:a16="http://schemas.microsoft.com/office/drawing/2014/main" id="{3B67D97B-CD96-C27B-951A-D99F6EE4516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42" name="Shape 43">
            <a:extLst>
              <a:ext uri="{FF2B5EF4-FFF2-40B4-BE49-F238E27FC236}">
                <a16:creationId xmlns:a16="http://schemas.microsoft.com/office/drawing/2014/main" id="{D835330C-C661-B884-CD12-7DA41C3A119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43" name="Shape 44">
            <a:extLst>
              <a:ext uri="{FF2B5EF4-FFF2-40B4-BE49-F238E27FC236}">
                <a16:creationId xmlns:a16="http://schemas.microsoft.com/office/drawing/2014/main" id="{4DAC104E-C95F-C746-294C-E6F311D495B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44" name="Shape 45">
            <a:extLst>
              <a:ext uri="{FF2B5EF4-FFF2-40B4-BE49-F238E27FC236}">
                <a16:creationId xmlns:a16="http://schemas.microsoft.com/office/drawing/2014/main" id="{E0D32094-B081-C806-4B11-359A718643A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45" name="Shape 46">
            <a:extLst>
              <a:ext uri="{FF2B5EF4-FFF2-40B4-BE49-F238E27FC236}">
                <a16:creationId xmlns:a16="http://schemas.microsoft.com/office/drawing/2014/main" id="{D2077F3B-142C-4BD3-53DC-C07E765615B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303</xdr:row>
      <xdr:rowOff>3409</xdr:rowOff>
    </xdr:from>
    <xdr:ext cx="33655" cy="33655"/>
    <xdr:grpSp>
      <xdr:nvGrpSpPr>
        <xdr:cNvPr id="10046" name="Group 47">
          <a:extLst>
            <a:ext uri="{FF2B5EF4-FFF2-40B4-BE49-F238E27FC236}">
              <a16:creationId xmlns:a16="http://schemas.microsoft.com/office/drawing/2014/main" id="{C801F696-7D35-4DE6-86D5-CA40A9939009}"/>
            </a:ext>
          </a:extLst>
        </xdr:cNvPr>
        <xdr:cNvGrpSpPr/>
      </xdr:nvGrpSpPr>
      <xdr:grpSpPr>
        <a:xfrm>
          <a:off x="4603072" y="58602458"/>
          <a:ext cx="33655" cy="33655"/>
          <a:chOff x="0" y="0"/>
          <a:chExt cx="33655" cy="33655"/>
        </a:xfrm>
      </xdr:grpSpPr>
      <xdr:sp macro="" textlink="">
        <xdr:nvSpPr>
          <xdr:cNvPr id="10047" name="Shape 48">
            <a:extLst>
              <a:ext uri="{FF2B5EF4-FFF2-40B4-BE49-F238E27FC236}">
                <a16:creationId xmlns:a16="http://schemas.microsoft.com/office/drawing/2014/main" id="{BBBC8592-5A30-726D-DAC4-80C11C13A29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48" name="Shape 49">
            <a:extLst>
              <a:ext uri="{FF2B5EF4-FFF2-40B4-BE49-F238E27FC236}">
                <a16:creationId xmlns:a16="http://schemas.microsoft.com/office/drawing/2014/main" id="{5F3D6937-3E77-F37E-8F8D-6A18F62E0B7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49" name="Shape 50">
            <a:extLst>
              <a:ext uri="{FF2B5EF4-FFF2-40B4-BE49-F238E27FC236}">
                <a16:creationId xmlns:a16="http://schemas.microsoft.com/office/drawing/2014/main" id="{24AC15A0-F641-091E-5580-9F5856EC573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50" name="Shape 51">
            <a:extLst>
              <a:ext uri="{FF2B5EF4-FFF2-40B4-BE49-F238E27FC236}">
                <a16:creationId xmlns:a16="http://schemas.microsoft.com/office/drawing/2014/main" id="{FB1BB75D-1755-4D54-1584-C27A569A9B7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51" name="Shape 52">
            <a:extLst>
              <a:ext uri="{FF2B5EF4-FFF2-40B4-BE49-F238E27FC236}">
                <a16:creationId xmlns:a16="http://schemas.microsoft.com/office/drawing/2014/main" id="{9058DA2D-3121-FCED-7535-F2C8DD219B7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52" name="Shape 53">
            <a:extLst>
              <a:ext uri="{FF2B5EF4-FFF2-40B4-BE49-F238E27FC236}">
                <a16:creationId xmlns:a16="http://schemas.microsoft.com/office/drawing/2014/main" id="{831C0D98-60D6-7940-93CD-AD14DCAD58B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53" name="Shape 54">
            <a:extLst>
              <a:ext uri="{FF2B5EF4-FFF2-40B4-BE49-F238E27FC236}">
                <a16:creationId xmlns:a16="http://schemas.microsoft.com/office/drawing/2014/main" id="{6B9F0E1B-2830-82BF-E665-06D038CFFE7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54" name="Shape 55">
            <a:extLst>
              <a:ext uri="{FF2B5EF4-FFF2-40B4-BE49-F238E27FC236}">
                <a16:creationId xmlns:a16="http://schemas.microsoft.com/office/drawing/2014/main" id="{BA2166BD-723E-C7C3-C3AA-C5A01D4E87F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55" name="Shape 56">
            <a:extLst>
              <a:ext uri="{FF2B5EF4-FFF2-40B4-BE49-F238E27FC236}">
                <a16:creationId xmlns:a16="http://schemas.microsoft.com/office/drawing/2014/main" id="{9D08E812-8772-D802-44D2-597BE9FC604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56" name="Shape 57">
            <a:extLst>
              <a:ext uri="{FF2B5EF4-FFF2-40B4-BE49-F238E27FC236}">
                <a16:creationId xmlns:a16="http://schemas.microsoft.com/office/drawing/2014/main" id="{B16D6506-B5A0-F2B1-1639-0CA2A9839F0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57" name="Shape 58">
            <a:extLst>
              <a:ext uri="{FF2B5EF4-FFF2-40B4-BE49-F238E27FC236}">
                <a16:creationId xmlns:a16="http://schemas.microsoft.com/office/drawing/2014/main" id="{4C7CE543-1529-4DAE-D47E-9C1FE9528AF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58" name="Shape 59">
            <a:extLst>
              <a:ext uri="{FF2B5EF4-FFF2-40B4-BE49-F238E27FC236}">
                <a16:creationId xmlns:a16="http://schemas.microsoft.com/office/drawing/2014/main" id="{D70D28EE-1465-7861-EE6E-A0BBD60C4A9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59" name="Shape 60">
            <a:extLst>
              <a:ext uri="{FF2B5EF4-FFF2-40B4-BE49-F238E27FC236}">
                <a16:creationId xmlns:a16="http://schemas.microsoft.com/office/drawing/2014/main" id="{5CEF6282-2483-EC93-6784-DBC5E30694D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60" name="Shape 61">
            <a:extLst>
              <a:ext uri="{FF2B5EF4-FFF2-40B4-BE49-F238E27FC236}">
                <a16:creationId xmlns:a16="http://schemas.microsoft.com/office/drawing/2014/main" id="{BD5F1F24-21A3-9783-ED83-DAB20B04F18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302</xdr:row>
      <xdr:rowOff>160844</xdr:rowOff>
    </xdr:from>
    <xdr:ext cx="33655" cy="33655"/>
    <xdr:grpSp>
      <xdr:nvGrpSpPr>
        <xdr:cNvPr id="10061" name="Group 62">
          <a:extLst>
            <a:ext uri="{FF2B5EF4-FFF2-40B4-BE49-F238E27FC236}">
              <a16:creationId xmlns:a16="http://schemas.microsoft.com/office/drawing/2014/main" id="{55788550-72B8-4907-8143-63F7080D21A7}"/>
            </a:ext>
          </a:extLst>
        </xdr:cNvPr>
        <xdr:cNvGrpSpPr/>
      </xdr:nvGrpSpPr>
      <xdr:grpSpPr>
        <a:xfrm>
          <a:off x="4603072" y="58591254"/>
          <a:ext cx="33655" cy="33655"/>
          <a:chOff x="0" y="0"/>
          <a:chExt cx="33655" cy="33655"/>
        </a:xfrm>
      </xdr:grpSpPr>
      <xdr:sp macro="" textlink="">
        <xdr:nvSpPr>
          <xdr:cNvPr id="10062" name="Shape 63">
            <a:extLst>
              <a:ext uri="{FF2B5EF4-FFF2-40B4-BE49-F238E27FC236}">
                <a16:creationId xmlns:a16="http://schemas.microsoft.com/office/drawing/2014/main" id="{A8AF6C51-F8CA-D2BD-CBDA-D9DDE8D9B2C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63" name="Shape 64">
            <a:extLst>
              <a:ext uri="{FF2B5EF4-FFF2-40B4-BE49-F238E27FC236}">
                <a16:creationId xmlns:a16="http://schemas.microsoft.com/office/drawing/2014/main" id="{D8E715E4-2329-A6CB-7F06-72A881A6F8B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064" name="Shape 65">
            <a:extLst>
              <a:ext uri="{FF2B5EF4-FFF2-40B4-BE49-F238E27FC236}">
                <a16:creationId xmlns:a16="http://schemas.microsoft.com/office/drawing/2014/main" id="{F2596C98-2CAA-8D0A-69C3-1F9C873C78D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65" name="Shape 66">
            <a:extLst>
              <a:ext uri="{FF2B5EF4-FFF2-40B4-BE49-F238E27FC236}">
                <a16:creationId xmlns:a16="http://schemas.microsoft.com/office/drawing/2014/main" id="{5705ACBD-FC2D-D50D-86ED-6EF5AE519DE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066" name="Shape 67">
            <a:extLst>
              <a:ext uri="{FF2B5EF4-FFF2-40B4-BE49-F238E27FC236}">
                <a16:creationId xmlns:a16="http://schemas.microsoft.com/office/drawing/2014/main" id="{B60F014E-CD19-C946-F62D-675B82F6EF3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67" name="Shape 68">
            <a:extLst>
              <a:ext uri="{FF2B5EF4-FFF2-40B4-BE49-F238E27FC236}">
                <a16:creationId xmlns:a16="http://schemas.microsoft.com/office/drawing/2014/main" id="{20E11ECF-CFFB-24FA-279F-5D8C2185BDD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068" name="Shape 69">
            <a:extLst>
              <a:ext uri="{FF2B5EF4-FFF2-40B4-BE49-F238E27FC236}">
                <a16:creationId xmlns:a16="http://schemas.microsoft.com/office/drawing/2014/main" id="{C9F78C72-6C33-9336-C7F0-3F1B50B52F0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69" name="Shape 70">
            <a:extLst>
              <a:ext uri="{FF2B5EF4-FFF2-40B4-BE49-F238E27FC236}">
                <a16:creationId xmlns:a16="http://schemas.microsoft.com/office/drawing/2014/main" id="{1CA0DCB9-A96A-060B-BAB6-9B10141588B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070" name="Shape 71">
            <a:extLst>
              <a:ext uri="{FF2B5EF4-FFF2-40B4-BE49-F238E27FC236}">
                <a16:creationId xmlns:a16="http://schemas.microsoft.com/office/drawing/2014/main" id="{F6C95331-F029-6062-1F1D-2FAEFA5A781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71" name="Shape 72">
            <a:extLst>
              <a:ext uri="{FF2B5EF4-FFF2-40B4-BE49-F238E27FC236}">
                <a16:creationId xmlns:a16="http://schemas.microsoft.com/office/drawing/2014/main" id="{710D0720-F2D4-93EC-E92A-811807357D4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072" name="Shape 73">
            <a:extLst>
              <a:ext uri="{FF2B5EF4-FFF2-40B4-BE49-F238E27FC236}">
                <a16:creationId xmlns:a16="http://schemas.microsoft.com/office/drawing/2014/main" id="{9138F6DA-A4E4-AB63-8DEF-77F3C0B7C27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73" name="Shape 74">
            <a:extLst>
              <a:ext uri="{FF2B5EF4-FFF2-40B4-BE49-F238E27FC236}">
                <a16:creationId xmlns:a16="http://schemas.microsoft.com/office/drawing/2014/main" id="{2D324AF2-FBA8-8B8E-BB0D-C3CABE9358F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074" name="Shape 75">
            <a:extLst>
              <a:ext uri="{FF2B5EF4-FFF2-40B4-BE49-F238E27FC236}">
                <a16:creationId xmlns:a16="http://schemas.microsoft.com/office/drawing/2014/main" id="{6E22F728-6BF0-498D-7017-637617535A8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075" name="Shape 76">
            <a:extLst>
              <a:ext uri="{FF2B5EF4-FFF2-40B4-BE49-F238E27FC236}">
                <a16:creationId xmlns:a16="http://schemas.microsoft.com/office/drawing/2014/main" id="{553D75F8-FB57-7185-460B-F7555AA7FA3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315</xdr:row>
      <xdr:rowOff>2978</xdr:rowOff>
    </xdr:from>
    <xdr:ext cx="33655" cy="33655"/>
    <xdr:grpSp>
      <xdr:nvGrpSpPr>
        <xdr:cNvPr id="10076" name="Group 2">
          <a:extLst>
            <a:ext uri="{FF2B5EF4-FFF2-40B4-BE49-F238E27FC236}">
              <a16:creationId xmlns:a16="http://schemas.microsoft.com/office/drawing/2014/main" id="{D7757F19-170B-4683-9084-ACEA6828FF0D}"/>
            </a:ext>
          </a:extLst>
        </xdr:cNvPr>
        <xdr:cNvGrpSpPr/>
      </xdr:nvGrpSpPr>
      <xdr:grpSpPr>
        <a:xfrm>
          <a:off x="4603072" y="60925503"/>
          <a:ext cx="33655" cy="33655"/>
          <a:chOff x="0" y="0"/>
          <a:chExt cx="33655" cy="33655"/>
        </a:xfrm>
      </xdr:grpSpPr>
      <xdr:sp macro="" textlink="">
        <xdr:nvSpPr>
          <xdr:cNvPr id="10077" name="Shape 3">
            <a:extLst>
              <a:ext uri="{FF2B5EF4-FFF2-40B4-BE49-F238E27FC236}">
                <a16:creationId xmlns:a16="http://schemas.microsoft.com/office/drawing/2014/main" id="{095C2F51-4219-88E7-95E6-5814DAED36F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78" name="Shape 4">
            <a:extLst>
              <a:ext uri="{FF2B5EF4-FFF2-40B4-BE49-F238E27FC236}">
                <a16:creationId xmlns:a16="http://schemas.microsoft.com/office/drawing/2014/main" id="{4BEDB3FB-DF1A-F761-1FE6-A6712E30218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79" name="Shape 5">
            <a:extLst>
              <a:ext uri="{FF2B5EF4-FFF2-40B4-BE49-F238E27FC236}">
                <a16:creationId xmlns:a16="http://schemas.microsoft.com/office/drawing/2014/main" id="{54025067-84AC-D722-59B9-F2B3A1CB690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80" name="Shape 6">
            <a:extLst>
              <a:ext uri="{FF2B5EF4-FFF2-40B4-BE49-F238E27FC236}">
                <a16:creationId xmlns:a16="http://schemas.microsoft.com/office/drawing/2014/main" id="{2F469B22-FAA2-AADE-EE16-FF6F8EA9196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81" name="Shape 7">
            <a:extLst>
              <a:ext uri="{FF2B5EF4-FFF2-40B4-BE49-F238E27FC236}">
                <a16:creationId xmlns:a16="http://schemas.microsoft.com/office/drawing/2014/main" id="{F3493137-3E2F-E26D-77F9-3BF0B42846B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82" name="Shape 8">
            <a:extLst>
              <a:ext uri="{FF2B5EF4-FFF2-40B4-BE49-F238E27FC236}">
                <a16:creationId xmlns:a16="http://schemas.microsoft.com/office/drawing/2014/main" id="{B4F46DD0-57A5-34F1-E0F6-2EA4A83AF8A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83" name="Shape 9">
            <a:extLst>
              <a:ext uri="{FF2B5EF4-FFF2-40B4-BE49-F238E27FC236}">
                <a16:creationId xmlns:a16="http://schemas.microsoft.com/office/drawing/2014/main" id="{65A93573-F275-B4A2-6BB1-D8B96028BBE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84" name="Shape 10">
            <a:extLst>
              <a:ext uri="{FF2B5EF4-FFF2-40B4-BE49-F238E27FC236}">
                <a16:creationId xmlns:a16="http://schemas.microsoft.com/office/drawing/2014/main" id="{EF9C6EEE-C450-9807-B8D5-DA89BD5B2F7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85" name="Shape 11">
            <a:extLst>
              <a:ext uri="{FF2B5EF4-FFF2-40B4-BE49-F238E27FC236}">
                <a16:creationId xmlns:a16="http://schemas.microsoft.com/office/drawing/2014/main" id="{B3CF8139-FB5C-2652-DFAC-D97BA2B9543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86" name="Shape 12">
            <a:extLst>
              <a:ext uri="{FF2B5EF4-FFF2-40B4-BE49-F238E27FC236}">
                <a16:creationId xmlns:a16="http://schemas.microsoft.com/office/drawing/2014/main" id="{469066A5-4284-11DA-A625-A8EF54BA03D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87" name="Shape 13">
            <a:extLst>
              <a:ext uri="{FF2B5EF4-FFF2-40B4-BE49-F238E27FC236}">
                <a16:creationId xmlns:a16="http://schemas.microsoft.com/office/drawing/2014/main" id="{D6123161-1B74-F28E-F0DF-EB47B47124E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88" name="Shape 14">
            <a:extLst>
              <a:ext uri="{FF2B5EF4-FFF2-40B4-BE49-F238E27FC236}">
                <a16:creationId xmlns:a16="http://schemas.microsoft.com/office/drawing/2014/main" id="{10BE9395-CFB9-AD2D-1519-C9AFB75501A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89" name="Shape 15">
            <a:extLst>
              <a:ext uri="{FF2B5EF4-FFF2-40B4-BE49-F238E27FC236}">
                <a16:creationId xmlns:a16="http://schemas.microsoft.com/office/drawing/2014/main" id="{D04BF897-87DC-FF28-DDF1-96A471AD19E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90" name="Shape 16">
            <a:extLst>
              <a:ext uri="{FF2B5EF4-FFF2-40B4-BE49-F238E27FC236}">
                <a16:creationId xmlns:a16="http://schemas.microsoft.com/office/drawing/2014/main" id="{2D9D715D-F390-5009-1A9F-54D933987FF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315</xdr:row>
      <xdr:rowOff>3246</xdr:rowOff>
    </xdr:from>
    <xdr:ext cx="33655" cy="33655"/>
    <xdr:grpSp>
      <xdr:nvGrpSpPr>
        <xdr:cNvPr id="10091" name="Group 17">
          <a:extLst>
            <a:ext uri="{FF2B5EF4-FFF2-40B4-BE49-F238E27FC236}">
              <a16:creationId xmlns:a16="http://schemas.microsoft.com/office/drawing/2014/main" id="{F352AFAD-EF8C-47FC-BF3F-BCF174E881E8}"/>
            </a:ext>
          </a:extLst>
        </xdr:cNvPr>
        <xdr:cNvGrpSpPr/>
      </xdr:nvGrpSpPr>
      <xdr:grpSpPr>
        <a:xfrm>
          <a:off x="4603072" y="60925771"/>
          <a:ext cx="33655" cy="33655"/>
          <a:chOff x="0" y="0"/>
          <a:chExt cx="33655" cy="33655"/>
        </a:xfrm>
      </xdr:grpSpPr>
      <xdr:sp macro="" textlink="">
        <xdr:nvSpPr>
          <xdr:cNvPr id="10092" name="Shape 18">
            <a:extLst>
              <a:ext uri="{FF2B5EF4-FFF2-40B4-BE49-F238E27FC236}">
                <a16:creationId xmlns:a16="http://schemas.microsoft.com/office/drawing/2014/main" id="{1CDEE84F-7AA3-DD09-C730-A3B7FFDD0FC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93" name="Shape 19">
            <a:extLst>
              <a:ext uri="{FF2B5EF4-FFF2-40B4-BE49-F238E27FC236}">
                <a16:creationId xmlns:a16="http://schemas.microsoft.com/office/drawing/2014/main" id="{29F4E858-FCF5-E2A2-E1D5-7515515E6E4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94" name="Shape 20">
            <a:extLst>
              <a:ext uri="{FF2B5EF4-FFF2-40B4-BE49-F238E27FC236}">
                <a16:creationId xmlns:a16="http://schemas.microsoft.com/office/drawing/2014/main" id="{2BDCFDEA-0FBD-F49C-85E9-415A7E6FB2A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95" name="Shape 21">
            <a:extLst>
              <a:ext uri="{FF2B5EF4-FFF2-40B4-BE49-F238E27FC236}">
                <a16:creationId xmlns:a16="http://schemas.microsoft.com/office/drawing/2014/main" id="{B7515FF5-24A7-1D28-3ABE-175B1AE7379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96" name="Shape 22">
            <a:extLst>
              <a:ext uri="{FF2B5EF4-FFF2-40B4-BE49-F238E27FC236}">
                <a16:creationId xmlns:a16="http://schemas.microsoft.com/office/drawing/2014/main" id="{20E1BB3E-AA8F-4502-676C-D5A825AF663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97" name="Shape 23">
            <a:extLst>
              <a:ext uri="{FF2B5EF4-FFF2-40B4-BE49-F238E27FC236}">
                <a16:creationId xmlns:a16="http://schemas.microsoft.com/office/drawing/2014/main" id="{1F477716-6EC2-A165-437D-91099F9C625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098" name="Shape 24">
            <a:extLst>
              <a:ext uri="{FF2B5EF4-FFF2-40B4-BE49-F238E27FC236}">
                <a16:creationId xmlns:a16="http://schemas.microsoft.com/office/drawing/2014/main" id="{7EC01A4D-8063-5647-7BA1-B91A5E0E3F2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099" name="Shape 25">
            <a:extLst>
              <a:ext uri="{FF2B5EF4-FFF2-40B4-BE49-F238E27FC236}">
                <a16:creationId xmlns:a16="http://schemas.microsoft.com/office/drawing/2014/main" id="{27B46289-9D00-016F-784A-5D8B7DB7A53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00" name="Shape 26">
            <a:extLst>
              <a:ext uri="{FF2B5EF4-FFF2-40B4-BE49-F238E27FC236}">
                <a16:creationId xmlns:a16="http://schemas.microsoft.com/office/drawing/2014/main" id="{78F5C15B-69E4-D17A-BDD0-F5FE5B61EC3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01" name="Shape 27">
            <a:extLst>
              <a:ext uri="{FF2B5EF4-FFF2-40B4-BE49-F238E27FC236}">
                <a16:creationId xmlns:a16="http://schemas.microsoft.com/office/drawing/2014/main" id="{B5AF8C42-A019-AF01-6505-EF3C9AD9183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02" name="Shape 28">
            <a:extLst>
              <a:ext uri="{FF2B5EF4-FFF2-40B4-BE49-F238E27FC236}">
                <a16:creationId xmlns:a16="http://schemas.microsoft.com/office/drawing/2014/main" id="{5E796A93-A9DA-6DA3-AA34-69DB21AF1B3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03" name="Shape 29">
            <a:extLst>
              <a:ext uri="{FF2B5EF4-FFF2-40B4-BE49-F238E27FC236}">
                <a16:creationId xmlns:a16="http://schemas.microsoft.com/office/drawing/2014/main" id="{E9C8C254-B4CC-A699-7E8B-AA604FA8238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04" name="Shape 30">
            <a:extLst>
              <a:ext uri="{FF2B5EF4-FFF2-40B4-BE49-F238E27FC236}">
                <a16:creationId xmlns:a16="http://schemas.microsoft.com/office/drawing/2014/main" id="{B0E7D601-84FE-1B6B-0D80-09029579FEB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05" name="Shape 31">
            <a:extLst>
              <a:ext uri="{FF2B5EF4-FFF2-40B4-BE49-F238E27FC236}">
                <a16:creationId xmlns:a16="http://schemas.microsoft.com/office/drawing/2014/main" id="{B4AEA8B7-4894-63BD-0043-2562F25F758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314</xdr:row>
      <xdr:rowOff>160585</xdr:rowOff>
    </xdr:from>
    <xdr:ext cx="33655" cy="33655"/>
    <xdr:grpSp>
      <xdr:nvGrpSpPr>
        <xdr:cNvPr id="10106" name="Group 32">
          <a:extLst>
            <a:ext uri="{FF2B5EF4-FFF2-40B4-BE49-F238E27FC236}">
              <a16:creationId xmlns:a16="http://schemas.microsoft.com/office/drawing/2014/main" id="{68D88B35-C50E-42D5-933F-6C5E72718805}"/>
            </a:ext>
          </a:extLst>
        </xdr:cNvPr>
        <xdr:cNvGrpSpPr/>
      </xdr:nvGrpSpPr>
      <xdr:grpSpPr>
        <a:xfrm>
          <a:off x="4603072" y="60914470"/>
          <a:ext cx="33655" cy="33655"/>
          <a:chOff x="0" y="0"/>
          <a:chExt cx="33655" cy="33655"/>
        </a:xfrm>
      </xdr:grpSpPr>
      <xdr:sp macro="" textlink="">
        <xdr:nvSpPr>
          <xdr:cNvPr id="10107" name="Shape 33">
            <a:extLst>
              <a:ext uri="{FF2B5EF4-FFF2-40B4-BE49-F238E27FC236}">
                <a16:creationId xmlns:a16="http://schemas.microsoft.com/office/drawing/2014/main" id="{372BB477-39B0-1096-2F9C-BAB41D8BE52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08" name="Shape 34">
            <a:extLst>
              <a:ext uri="{FF2B5EF4-FFF2-40B4-BE49-F238E27FC236}">
                <a16:creationId xmlns:a16="http://schemas.microsoft.com/office/drawing/2014/main" id="{773D944C-2D6B-C7A0-750F-0E2FB4BFAD8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09" name="Shape 35">
            <a:extLst>
              <a:ext uri="{FF2B5EF4-FFF2-40B4-BE49-F238E27FC236}">
                <a16:creationId xmlns:a16="http://schemas.microsoft.com/office/drawing/2014/main" id="{C5C712F7-CEE1-9F93-3AC3-0E2274F67F9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10" name="Shape 36">
            <a:extLst>
              <a:ext uri="{FF2B5EF4-FFF2-40B4-BE49-F238E27FC236}">
                <a16:creationId xmlns:a16="http://schemas.microsoft.com/office/drawing/2014/main" id="{7C5DE7DE-73C5-4141-2052-62D9FB1FB88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11" name="Shape 37">
            <a:extLst>
              <a:ext uri="{FF2B5EF4-FFF2-40B4-BE49-F238E27FC236}">
                <a16:creationId xmlns:a16="http://schemas.microsoft.com/office/drawing/2014/main" id="{EB4C3BCC-4954-2479-CC6A-E60590B5403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12" name="Shape 38">
            <a:extLst>
              <a:ext uri="{FF2B5EF4-FFF2-40B4-BE49-F238E27FC236}">
                <a16:creationId xmlns:a16="http://schemas.microsoft.com/office/drawing/2014/main" id="{37A1C9C2-B9F3-91DA-3455-80BC9143D64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13" name="Shape 39">
            <a:extLst>
              <a:ext uri="{FF2B5EF4-FFF2-40B4-BE49-F238E27FC236}">
                <a16:creationId xmlns:a16="http://schemas.microsoft.com/office/drawing/2014/main" id="{AEE916C9-937D-1461-F359-B96CF5988A9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14" name="Shape 40">
            <a:extLst>
              <a:ext uri="{FF2B5EF4-FFF2-40B4-BE49-F238E27FC236}">
                <a16:creationId xmlns:a16="http://schemas.microsoft.com/office/drawing/2014/main" id="{98117DFF-08A3-9E16-5FEB-C026421DBC8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15" name="Shape 41">
            <a:extLst>
              <a:ext uri="{FF2B5EF4-FFF2-40B4-BE49-F238E27FC236}">
                <a16:creationId xmlns:a16="http://schemas.microsoft.com/office/drawing/2014/main" id="{74430E54-8711-E5BB-7A09-513293F904D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16" name="Shape 42">
            <a:extLst>
              <a:ext uri="{FF2B5EF4-FFF2-40B4-BE49-F238E27FC236}">
                <a16:creationId xmlns:a16="http://schemas.microsoft.com/office/drawing/2014/main" id="{0949F613-AEB2-06C7-D3D6-3951C648D01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17" name="Shape 43">
            <a:extLst>
              <a:ext uri="{FF2B5EF4-FFF2-40B4-BE49-F238E27FC236}">
                <a16:creationId xmlns:a16="http://schemas.microsoft.com/office/drawing/2014/main" id="{282B174B-B9F5-0E65-191F-B69D67EA317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18" name="Shape 44">
            <a:extLst>
              <a:ext uri="{FF2B5EF4-FFF2-40B4-BE49-F238E27FC236}">
                <a16:creationId xmlns:a16="http://schemas.microsoft.com/office/drawing/2014/main" id="{22B2C2C3-FBCA-C602-571A-3886ED23590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19" name="Shape 45">
            <a:extLst>
              <a:ext uri="{FF2B5EF4-FFF2-40B4-BE49-F238E27FC236}">
                <a16:creationId xmlns:a16="http://schemas.microsoft.com/office/drawing/2014/main" id="{D9F9E3C8-545C-E88A-4728-8019BD62526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20" name="Shape 46">
            <a:extLst>
              <a:ext uri="{FF2B5EF4-FFF2-40B4-BE49-F238E27FC236}">
                <a16:creationId xmlns:a16="http://schemas.microsoft.com/office/drawing/2014/main" id="{56A13040-034F-7599-311B-E5C1B33B24A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315</xdr:row>
      <xdr:rowOff>3409</xdr:rowOff>
    </xdr:from>
    <xdr:ext cx="33655" cy="33655"/>
    <xdr:grpSp>
      <xdr:nvGrpSpPr>
        <xdr:cNvPr id="10121" name="Group 47">
          <a:extLst>
            <a:ext uri="{FF2B5EF4-FFF2-40B4-BE49-F238E27FC236}">
              <a16:creationId xmlns:a16="http://schemas.microsoft.com/office/drawing/2014/main" id="{8E5E2DF5-2B93-4FEE-8D2B-578C3FA72DC1}"/>
            </a:ext>
          </a:extLst>
        </xdr:cNvPr>
        <xdr:cNvGrpSpPr/>
      </xdr:nvGrpSpPr>
      <xdr:grpSpPr>
        <a:xfrm>
          <a:off x="4603072" y="60925934"/>
          <a:ext cx="33655" cy="33655"/>
          <a:chOff x="0" y="0"/>
          <a:chExt cx="33655" cy="33655"/>
        </a:xfrm>
      </xdr:grpSpPr>
      <xdr:sp macro="" textlink="">
        <xdr:nvSpPr>
          <xdr:cNvPr id="10122" name="Shape 48">
            <a:extLst>
              <a:ext uri="{FF2B5EF4-FFF2-40B4-BE49-F238E27FC236}">
                <a16:creationId xmlns:a16="http://schemas.microsoft.com/office/drawing/2014/main" id="{5759DD22-B0F6-3D82-70AE-82084031119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23" name="Shape 49">
            <a:extLst>
              <a:ext uri="{FF2B5EF4-FFF2-40B4-BE49-F238E27FC236}">
                <a16:creationId xmlns:a16="http://schemas.microsoft.com/office/drawing/2014/main" id="{B3BCBBDD-A6C5-3BD0-8944-7844712E06C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24" name="Shape 50">
            <a:extLst>
              <a:ext uri="{FF2B5EF4-FFF2-40B4-BE49-F238E27FC236}">
                <a16:creationId xmlns:a16="http://schemas.microsoft.com/office/drawing/2014/main" id="{6856CCF2-C4AB-1ADA-0BB5-93979410032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25" name="Shape 51">
            <a:extLst>
              <a:ext uri="{FF2B5EF4-FFF2-40B4-BE49-F238E27FC236}">
                <a16:creationId xmlns:a16="http://schemas.microsoft.com/office/drawing/2014/main" id="{32AA2A08-4CED-1F3C-55BE-86A661E60F3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26" name="Shape 52">
            <a:extLst>
              <a:ext uri="{FF2B5EF4-FFF2-40B4-BE49-F238E27FC236}">
                <a16:creationId xmlns:a16="http://schemas.microsoft.com/office/drawing/2014/main" id="{4F7DCAA2-8E81-4269-BBD0-CB121956C34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27" name="Shape 53">
            <a:extLst>
              <a:ext uri="{FF2B5EF4-FFF2-40B4-BE49-F238E27FC236}">
                <a16:creationId xmlns:a16="http://schemas.microsoft.com/office/drawing/2014/main" id="{38B32BEE-26A9-D335-BE62-D9A6F6A552F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28" name="Shape 54">
            <a:extLst>
              <a:ext uri="{FF2B5EF4-FFF2-40B4-BE49-F238E27FC236}">
                <a16:creationId xmlns:a16="http://schemas.microsoft.com/office/drawing/2014/main" id="{359EC689-B028-758E-6593-6623A123BCB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29" name="Shape 55">
            <a:extLst>
              <a:ext uri="{FF2B5EF4-FFF2-40B4-BE49-F238E27FC236}">
                <a16:creationId xmlns:a16="http://schemas.microsoft.com/office/drawing/2014/main" id="{B3CCC11D-7E42-A193-3515-ABDE242B012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30" name="Shape 56">
            <a:extLst>
              <a:ext uri="{FF2B5EF4-FFF2-40B4-BE49-F238E27FC236}">
                <a16:creationId xmlns:a16="http://schemas.microsoft.com/office/drawing/2014/main" id="{294CB28F-DF16-4CB3-1BC7-72CB72489AFD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31" name="Shape 57">
            <a:extLst>
              <a:ext uri="{FF2B5EF4-FFF2-40B4-BE49-F238E27FC236}">
                <a16:creationId xmlns:a16="http://schemas.microsoft.com/office/drawing/2014/main" id="{50337847-6CC0-95EF-B889-C2F68277962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32" name="Shape 58">
            <a:extLst>
              <a:ext uri="{FF2B5EF4-FFF2-40B4-BE49-F238E27FC236}">
                <a16:creationId xmlns:a16="http://schemas.microsoft.com/office/drawing/2014/main" id="{FB292CE7-A623-271B-767D-2CBA78FE6DA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33" name="Shape 59">
            <a:extLst>
              <a:ext uri="{FF2B5EF4-FFF2-40B4-BE49-F238E27FC236}">
                <a16:creationId xmlns:a16="http://schemas.microsoft.com/office/drawing/2014/main" id="{855350BC-623D-1CC4-78F7-3D444914BAD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34" name="Shape 60">
            <a:extLst>
              <a:ext uri="{FF2B5EF4-FFF2-40B4-BE49-F238E27FC236}">
                <a16:creationId xmlns:a16="http://schemas.microsoft.com/office/drawing/2014/main" id="{0FC4E789-C9D0-6267-3068-615ED7A108B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35" name="Shape 61">
            <a:extLst>
              <a:ext uri="{FF2B5EF4-FFF2-40B4-BE49-F238E27FC236}">
                <a16:creationId xmlns:a16="http://schemas.microsoft.com/office/drawing/2014/main" id="{9D8378D7-4623-0F28-86B1-C07899AB5FA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314</xdr:row>
      <xdr:rowOff>160844</xdr:rowOff>
    </xdr:from>
    <xdr:ext cx="33655" cy="33655"/>
    <xdr:grpSp>
      <xdr:nvGrpSpPr>
        <xdr:cNvPr id="10136" name="Group 62">
          <a:extLst>
            <a:ext uri="{FF2B5EF4-FFF2-40B4-BE49-F238E27FC236}">
              <a16:creationId xmlns:a16="http://schemas.microsoft.com/office/drawing/2014/main" id="{D06AF833-8F14-4427-9B1C-2FA898340343}"/>
            </a:ext>
          </a:extLst>
        </xdr:cNvPr>
        <xdr:cNvGrpSpPr/>
      </xdr:nvGrpSpPr>
      <xdr:grpSpPr>
        <a:xfrm>
          <a:off x="4603072" y="60914729"/>
          <a:ext cx="33655" cy="33655"/>
          <a:chOff x="0" y="0"/>
          <a:chExt cx="33655" cy="33655"/>
        </a:xfrm>
      </xdr:grpSpPr>
      <xdr:sp macro="" textlink="">
        <xdr:nvSpPr>
          <xdr:cNvPr id="10137" name="Shape 63">
            <a:extLst>
              <a:ext uri="{FF2B5EF4-FFF2-40B4-BE49-F238E27FC236}">
                <a16:creationId xmlns:a16="http://schemas.microsoft.com/office/drawing/2014/main" id="{79806F15-F16F-0042-8367-1DC54498865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38" name="Shape 64">
            <a:extLst>
              <a:ext uri="{FF2B5EF4-FFF2-40B4-BE49-F238E27FC236}">
                <a16:creationId xmlns:a16="http://schemas.microsoft.com/office/drawing/2014/main" id="{351DC013-FAB8-AB9A-008D-BCE35163E38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139" name="Shape 65">
            <a:extLst>
              <a:ext uri="{FF2B5EF4-FFF2-40B4-BE49-F238E27FC236}">
                <a16:creationId xmlns:a16="http://schemas.microsoft.com/office/drawing/2014/main" id="{C50FA6C0-D5E1-F83A-8AFD-E02083F2747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40" name="Shape 66">
            <a:extLst>
              <a:ext uri="{FF2B5EF4-FFF2-40B4-BE49-F238E27FC236}">
                <a16:creationId xmlns:a16="http://schemas.microsoft.com/office/drawing/2014/main" id="{60C6DCEA-53A5-4655-EBA2-492EDD93211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141" name="Shape 67">
            <a:extLst>
              <a:ext uri="{FF2B5EF4-FFF2-40B4-BE49-F238E27FC236}">
                <a16:creationId xmlns:a16="http://schemas.microsoft.com/office/drawing/2014/main" id="{0D69A8A2-726F-E1AD-CAEB-EAB7B647087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42" name="Shape 68">
            <a:extLst>
              <a:ext uri="{FF2B5EF4-FFF2-40B4-BE49-F238E27FC236}">
                <a16:creationId xmlns:a16="http://schemas.microsoft.com/office/drawing/2014/main" id="{98754157-0A3E-8027-63F4-9D8CC6BDCFB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143" name="Shape 69">
            <a:extLst>
              <a:ext uri="{FF2B5EF4-FFF2-40B4-BE49-F238E27FC236}">
                <a16:creationId xmlns:a16="http://schemas.microsoft.com/office/drawing/2014/main" id="{674767AE-525C-D224-278D-8D4D9525EE1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44" name="Shape 70">
            <a:extLst>
              <a:ext uri="{FF2B5EF4-FFF2-40B4-BE49-F238E27FC236}">
                <a16:creationId xmlns:a16="http://schemas.microsoft.com/office/drawing/2014/main" id="{9A63038B-E4F3-8B8C-94DC-2D911026B8A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145" name="Shape 71">
            <a:extLst>
              <a:ext uri="{FF2B5EF4-FFF2-40B4-BE49-F238E27FC236}">
                <a16:creationId xmlns:a16="http://schemas.microsoft.com/office/drawing/2014/main" id="{3710BC78-3B98-9747-A35C-950719C1296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46" name="Shape 72">
            <a:extLst>
              <a:ext uri="{FF2B5EF4-FFF2-40B4-BE49-F238E27FC236}">
                <a16:creationId xmlns:a16="http://schemas.microsoft.com/office/drawing/2014/main" id="{032FB1C8-770A-275A-2C3A-9456AB6601B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147" name="Shape 73">
            <a:extLst>
              <a:ext uri="{FF2B5EF4-FFF2-40B4-BE49-F238E27FC236}">
                <a16:creationId xmlns:a16="http://schemas.microsoft.com/office/drawing/2014/main" id="{91BCDD2F-DDBE-261E-D30B-ED3873116F4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48" name="Shape 74">
            <a:extLst>
              <a:ext uri="{FF2B5EF4-FFF2-40B4-BE49-F238E27FC236}">
                <a16:creationId xmlns:a16="http://schemas.microsoft.com/office/drawing/2014/main" id="{D696140E-41A5-3CFD-540D-619D4EEB775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149" name="Shape 75">
            <a:extLst>
              <a:ext uri="{FF2B5EF4-FFF2-40B4-BE49-F238E27FC236}">
                <a16:creationId xmlns:a16="http://schemas.microsoft.com/office/drawing/2014/main" id="{F61624B4-6360-DC4A-BF97-CA989A001F9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150" name="Shape 76">
            <a:extLst>
              <a:ext uri="{FF2B5EF4-FFF2-40B4-BE49-F238E27FC236}">
                <a16:creationId xmlns:a16="http://schemas.microsoft.com/office/drawing/2014/main" id="{9834B4BF-0CEB-E1E9-E8B1-C232C3132FF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327</xdr:row>
      <xdr:rowOff>2978</xdr:rowOff>
    </xdr:from>
    <xdr:ext cx="33655" cy="33655"/>
    <xdr:grpSp>
      <xdr:nvGrpSpPr>
        <xdr:cNvPr id="10151" name="Group 2">
          <a:extLst>
            <a:ext uri="{FF2B5EF4-FFF2-40B4-BE49-F238E27FC236}">
              <a16:creationId xmlns:a16="http://schemas.microsoft.com/office/drawing/2014/main" id="{A2421DF5-16AD-4D87-86CC-15088CCACEAC}"/>
            </a:ext>
          </a:extLst>
        </xdr:cNvPr>
        <xdr:cNvGrpSpPr/>
      </xdr:nvGrpSpPr>
      <xdr:grpSpPr>
        <a:xfrm>
          <a:off x="4603072" y="63248978"/>
          <a:ext cx="33655" cy="33655"/>
          <a:chOff x="0" y="0"/>
          <a:chExt cx="33655" cy="33655"/>
        </a:xfrm>
      </xdr:grpSpPr>
      <xdr:sp macro="" textlink="">
        <xdr:nvSpPr>
          <xdr:cNvPr id="10152" name="Shape 3">
            <a:extLst>
              <a:ext uri="{FF2B5EF4-FFF2-40B4-BE49-F238E27FC236}">
                <a16:creationId xmlns:a16="http://schemas.microsoft.com/office/drawing/2014/main" id="{D678F07E-8D7B-F5AD-9033-AADE4A7FDC2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53" name="Shape 4">
            <a:extLst>
              <a:ext uri="{FF2B5EF4-FFF2-40B4-BE49-F238E27FC236}">
                <a16:creationId xmlns:a16="http://schemas.microsoft.com/office/drawing/2014/main" id="{889E6E47-2E2A-0E8D-F917-6EB599F0980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54" name="Shape 5">
            <a:extLst>
              <a:ext uri="{FF2B5EF4-FFF2-40B4-BE49-F238E27FC236}">
                <a16:creationId xmlns:a16="http://schemas.microsoft.com/office/drawing/2014/main" id="{38A32C94-4168-50A7-8A1C-33A6C914737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55" name="Shape 6">
            <a:extLst>
              <a:ext uri="{FF2B5EF4-FFF2-40B4-BE49-F238E27FC236}">
                <a16:creationId xmlns:a16="http://schemas.microsoft.com/office/drawing/2014/main" id="{D1535FE4-3176-3923-89D5-DA3B8315C1D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56" name="Shape 7">
            <a:extLst>
              <a:ext uri="{FF2B5EF4-FFF2-40B4-BE49-F238E27FC236}">
                <a16:creationId xmlns:a16="http://schemas.microsoft.com/office/drawing/2014/main" id="{71542F94-F661-5AB5-A289-374AD3424AD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57" name="Shape 8">
            <a:extLst>
              <a:ext uri="{FF2B5EF4-FFF2-40B4-BE49-F238E27FC236}">
                <a16:creationId xmlns:a16="http://schemas.microsoft.com/office/drawing/2014/main" id="{84FE66A5-90EA-F0C5-D363-D9F2F7DE2CF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58" name="Shape 9">
            <a:extLst>
              <a:ext uri="{FF2B5EF4-FFF2-40B4-BE49-F238E27FC236}">
                <a16:creationId xmlns:a16="http://schemas.microsoft.com/office/drawing/2014/main" id="{948B721D-853D-231A-A38A-A90D646F5D4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59" name="Shape 10">
            <a:extLst>
              <a:ext uri="{FF2B5EF4-FFF2-40B4-BE49-F238E27FC236}">
                <a16:creationId xmlns:a16="http://schemas.microsoft.com/office/drawing/2014/main" id="{0BAC219A-C052-F14D-7373-F84DC6B026F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60" name="Shape 11">
            <a:extLst>
              <a:ext uri="{FF2B5EF4-FFF2-40B4-BE49-F238E27FC236}">
                <a16:creationId xmlns:a16="http://schemas.microsoft.com/office/drawing/2014/main" id="{ECE96927-B11F-CFDB-85B7-46443A5A62E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61" name="Shape 12">
            <a:extLst>
              <a:ext uri="{FF2B5EF4-FFF2-40B4-BE49-F238E27FC236}">
                <a16:creationId xmlns:a16="http://schemas.microsoft.com/office/drawing/2014/main" id="{93F93B20-1437-C094-7EBE-01C52F3EE46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62" name="Shape 13">
            <a:extLst>
              <a:ext uri="{FF2B5EF4-FFF2-40B4-BE49-F238E27FC236}">
                <a16:creationId xmlns:a16="http://schemas.microsoft.com/office/drawing/2014/main" id="{C45D660B-1C20-8885-4E1F-86178810D9A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63" name="Shape 14">
            <a:extLst>
              <a:ext uri="{FF2B5EF4-FFF2-40B4-BE49-F238E27FC236}">
                <a16:creationId xmlns:a16="http://schemas.microsoft.com/office/drawing/2014/main" id="{B5B35966-C245-77A3-326F-B32F93F7532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64" name="Shape 15">
            <a:extLst>
              <a:ext uri="{FF2B5EF4-FFF2-40B4-BE49-F238E27FC236}">
                <a16:creationId xmlns:a16="http://schemas.microsoft.com/office/drawing/2014/main" id="{96290700-0052-1D5B-7299-0CCD74E446C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65" name="Shape 16">
            <a:extLst>
              <a:ext uri="{FF2B5EF4-FFF2-40B4-BE49-F238E27FC236}">
                <a16:creationId xmlns:a16="http://schemas.microsoft.com/office/drawing/2014/main" id="{7F81695D-411E-3698-9F1E-1E374FC0140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327</xdr:row>
      <xdr:rowOff>3246</xdr:rowOff>
    </xdr:from>
    <xdr:ext cx="33655" cy="33655"/>
    <xdr:grpSp>
      <xdr:nvGrpSpPr>
        <xdr:cNvPr id="10166" name="Group 17">
          <a:extLst>
            <a:ext uri="{FF2B5EF4-FFF2-40B4-BE49-F238E27FC236}">
              <a16:creationId xmlns:a16="http://schemas.microsoft.com/office/drawing/2014/main" id="{7CDB83B1-0E5D-4E8B-A6EF-109F21DE2B68}"/>
            </a:ext>
          </a:extLst>
        </xdr:cNvPr>
        <xdr:cNvGrpSpPr/>
      </xdr:nvGrpSpPr>
      <xdr:grpSpPr>
        <a:xfrm>
          <a:off x="4603072" y="63249246"/>
          <a:ext cx="33655" cy="33655"/>
          <a:chOff x="0" y="0"/>
          <a:chExt cx="33655" cy="33655"/>
        </a:xfrm>
      </xdr:grpSpPr>
      <xdr:sp macro="" textlink="">
        <xdr:nvSpPr>
          <xdr:cNvPr id="10167" name="Shape 18">
            <a:extLst>
              <a:ext uri="{FF2B5EF4-FFF2-40B4-BE49-F238E27FC236}">
                <a16:creationId xmlns:a16="http://schemas.microsoft.com/office/drawing/2014/main" id="{4E63CD53-20B6-622C-1046-21EAD3B3E3C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68" name="Shape 19">
            <a:extLst>
              <a:ext uri="{FF2B5EF4-FFF2-40B4-BE49-F238E27FC236}">
                <a16:creationId xmlns:a16="http://schemas.microsoft.com/office/drawing/2014/main" id="{3BEFCDE0-BE3D-A4B8-ADEB-696E9BE2BB6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69" name="Shape 20">
            <a:extLst>
              <a:ext uri="{FF2B5EF4-FFF2-40B4-BE49-F238E27FC236}">
                <a16:creationId xmlns:a16="http://schemas.microsoft.com/office/drawing/2014/main" id="{57423927-0E74-C8F2-567C-0A20CD2B7B6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70" name="Shape 21">
            <a:extLst>
              <a:ext uri="{FF2B5EF4-FFF2-40B4-BE49-F238E27FC236}">
                <a16:creationId xmlns:a16="http://schemas.microsoft.com/office/drawing/2014/main" id="{94B46374-4B01-EFB6-8476-B820030A7E7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71" name="Shape 22">
            <a:extLst>
              <a:ext uri="{FF2B5EF4-FFF2-40B4-BE49-F238E27FC236}">
                <a16:creationId xmlns:a16="http://schemas.microsoft.com/office/drawing/2014/main" id="{DE915148-D13C-A2F9-BD29-1CB2C21990B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72" name="Shape 23">
            <a:extLst>
              <a:ext uri="{FF2B5EF4-FFF2-40B4-BE49-F238E27FC236}">
                <a16:creationId xmlns:a16="http://schemas.microsoft.com/office/drawing/2014/main" id="{E1D2C4CF-99CD-A205-D5B1-1812F24CC86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73" name="Shape 24">
            <a:extLst>
              <a:ext uri="{FF2B5EF4-FFF2-40B4-BE49-F238E27FC236}">
                <a16:creationId xmlns:a16="http://schemas.microsoft.com/office/drawing/2014/main" id="{FFB3D2FF-6834-0933-739F-E29F3589AA0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74" name="Shape 25">
            <a:extLst>
              <a:ext uri="{FF2B5EF4-FFF2-40B4-BE49-F238E27FC236}">
                <a16:creationId xmlns:a16="http://schemas.microsoft.com/office/drawing/2014/main" id="{7F3D2CAB-1C11-3CCF-BB35-5FA7B2A345B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75" name="Shape 26">
            <a:extLst>
              <a:ext uri="{FF2B5EF4-FFF2-40B4-BE49-F238E27FC236}">
                <a16:creationId xmlns:a16="http://schemas.microsoft.com/office/drawing/2014/main" id="{9344929C-C040-F5BA-5075-9DDA0999372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76" name="Shape 27">
            <a:extLst>
              <a:ext uri="{FF2B5EF4-FFF2-40B4-BE49-F238E27FC236}">
                <a16:creationId xmlns:a16="http://schemas.microsoft.com/office/drawing/2014/main" id="{B1EB04C6-3266-DE39-68E5-5104402EB7E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77" name="Shape 28">
            <a:extLst>
              <a:ext uri="{FF2B5EF4-FFF2-40B4-BE49-F238E27FC236}">
                <a16:creationId xmlns:a16="http://schemas.microsoft.com/office/drawing/2014/main" id="{AD4E4887-783F-AFFC-C284-5F17EDFFB10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78" name="Shape 29">
            <a:extLst>
              <a:ext uri="{FF2B5EF4-FFF2-40B4-BE49-F238E27FC236}">
                <a16:creationId xmlns:a16="http://schemas.microsoft.com/office/drawing/2014/main" id="{B9F87842-2F04-FC46-2387-4E1849526E1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79" name="Shape 30">
            <a:extLst>
              <a:ext uri="{FF2B5EF4-FFF2-40B4-BE49-F238E27FC236}">
                <a16:creationId xmlns:a16="http://schemas.microsoft.com/office/drawing/2014/main" id="{260BD40B-2789-09D8-0B8C-16F82F576A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80" name="Shape 31">
            <a:extLst>
              <a:ext uri="{FF2B5EF4-FFF2-40B4-BE49-F238E27FC236}">
                <a16:creationId xmlns:a16="http://schemas.microsoft.com/office/drawing/2014/main" id="{FD22B432-FFDD-6A58-F500-BDBED342012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326</xdr:row>
      <xdr:rowOff>160585</xdr:rowOff>
    </xdr:from>
    <xdr:ext cx="33655" cy="33655"/>
    <xdr:grpSp>
      <xdr:nvGrpSpPr>
        <xdr:cNvPr id="10181" name="Group 32">
          <a:extLst>
            <a:ext uri="{FF2B5EF4-FFF2-40B4-BE49-F238E27FC236}">
              <a16:creationId xmlns:a16="http://schemas.microsoft.com/office/drawing/2014/main" id="{C3106463-82FF-4F43-895C-32723B8CCE1A}"/>
            </a:ext>
          </a:extLst>
        </xdr:cNvPr>
        <xdr:cNvGrpSpPr/>
      </xdr:nvGrpSpPr>
      <xdr:grpSpPr>
        <a:xfrm>
          <a:off x="4603072" y="63237946"/>
          <a:ext cx="33655" cy="33655"/>
          <a:chOff x="0" y="0"/>
          <a:chExt cx="33655" cy="33655"/>
        </a:xfrm>
      </xdr:grpSpPr>
      <xdr:sp macro="" textlink="">
        <xdr:nvSpPr>
          <xdr:cNvPr id="10182" name="Shape 33">
            <a:extLst>
              <a:ext uri="{FF2B5EF4-FFF2-40B4-BE49-F238E27FC236}">
                <a16:creationId xmlns:a16="http://schemas.microsoft.com/office/drawing/2014/main" id="{A0629DEA-FADA-9A17-3CFA-A8C62665BFE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83" name="Shape 34">
            <a:extLst>
              <a:ext uri="{FF2B5EF4-FFF2-40B4-BE49-F238E27FC236}">
                <a16:creationId xmlns:a16="http://schemas.microsoft.com/office/drawing/2014/main" id="{C3E3E4D5-D48A-5EC0-367B-D0DFBEC3C42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84" name="Shape 35">
            <a:extLst>
              <a:ext uri="{FF2B5EF4-FFF2-40B4-BE49-F238E27FC236}">
                <a16:creationId xmlns:a16="http://schemas.microsoft.com/office/drawing/2014/main" id="{4012B169-4CD0-FB34-89B6-65ACAC66D65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85" name="Shape 36">
            <a:extLst>
              <a:ext uri="{FF2B5EF4-FFF2-40B4-BE49-F238E27FC236}">
                <a16:creationId xmlns:a16="http://schemas.microsoft.com/office/drawing/2014/main" id="{1F3E0732-A2D9-38FD-CABD-4D912AC8DF0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86" name="Shape 37">
            <a:extLst>
              <a:ext uri="{FF2B5EF4-FFF2-40B4-BE49-F238E27FC236}">
                <a16:creationId xmlns:a16="http://schemas.microsoft.com/office/drawing/2014/main" id="{2A905746-D78D-CE1C-5F28-049CE467510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87" name="Shape 38">
            <a:extLst>
              <a:ext uri="{FF2B5EF4-FFF2-40B4-BE49-F238E27FC236}">
                <a16:creationId xmlns:a16="http://schemas.microsoft.com/office/drawing/2014/main" id="{D11811D9-0383-9F99-F3A3-62774C7E2E6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88" name="Shape 39">
            <a:extLst>
              <a:ext uri="{FF2B5EF4-FFF2-40B4-BE49-F238E27FC236}">
                <a16:creationId xmlns:a16="http://schemas.microsoft.com/office/drawing/2014/main" id="{C27B3963-3597-F229-2D11-522A7105450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89" name="Shape 40">
            <a:extLst>
              <a:ext uri="{FF2B5EF4-FFF2-40B4-BE49-F238E27FC236}">
                <a16:creationId xmlns:a16="http://schemas.microsoft.com/office/drawing/2014/main" id="{AC9D4793-5F86-05DB-3E25-379F6A757EE3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90" name="Shape 41">
            <a:extLst>
              <a:ext uri="{FF2B5EF4-FFF2-40B4-BE49-F238E27FC236}">
                <a16:creationId xmlns:a16="http://schemas.microsoft.com/office/drawing/2014/main" id="{3A970521-8BC0-E36B-3215-4712B4C2CBB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91" name="Shape 42">
            <a:extLst>
              <a:ext uri="{FF2B5EF4-FFF2-40B4-BE49-F238E27FC236}">
                <a16:creationId xmlns:a16="http://schemas.microsoft.com/office/drawing/2014/main" id="{8F6A8062-1DCA-8F58-FC78-0F7FBA0DB0A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92" name="Shape 43">
            <a:extLst>
              <a:ext uri="{FF2B5EF4-FFF2-40B4-BE49-F238E27FC236}">
                <a16:creationId xmlns:a16="http://schemas.microsoft.com/office/drawing/2014/main" id="{FCACD9CA-5BFA-61D6-F77D-0EB9CE960D6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93" name="Shape 44">
            <a:extLst>
              <a:ext uri="{FF2B5EF4-FFF2-40B4-BE49-F238E27FC236}">
                <a16:creationId xmlns:a16="http://schemas.microsoft.com/office/drawing/2014/main" id="{42E8948B-127C-7BBA-D969-A5D76924A1D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94" name="Shape 45">
            <a:extLst>
              <a:ext uri="{FF2B5EF4-FFF2-40B4-BE49-F238E27FC236}">
                <a16:creationId xmlns:a16="http://schemas.microsoft.com/office/drawing/2014/main" id="{57C0AA59-8AE9-B9F4-9508-D5D897BADC6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95" name="Shape 46">
            <a:extLst>
              <a:ext uri="{FF2B5EF4-FFF2-40B4-BE49-F238E27FC236}">
                <a16:creationId xmlns:a16="http://schemas.microsoft.com/office/drawing/2014/main" id="{93BA6DA7-D809-6A38-9C8D-BAF54782846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327</xdr:row>
      <xdr:rowOff>3409</xdr:rowOff>
    </xdr:from>
    <xdr:ext cx="33655" cy="33655"/>
    <xdr:grpSp>
      <xdr:nvGrpSpPr>
        <xdr:cNvPr id="10196" name="Group 47">
          <a:extLst>
            <a:ext uri="{FF2B5EF4-FFF2-40B4-BE49-F238E27FC236}">
              <a16:creationId xmlns:a16="http://schemas.microsoft.com/office/drawing/2014/main" id="{0F8DF305-0BE1-4645-BCD9-07CE50CE8A59}"/>
            </a:ext>
          </a:extLst>
        </xdr:cNvPr>
        <xdr:cNvGrpSpPr/>
      </xdr:nvGrpSpPr>
      <xdr:grpSpPr>
        <a:xfrm>
          <a:off x="4603072" y="63249409"/>
          <a:ext cx="33655" cy="33655"/>
          <a:chOff x="0" y="0"/>
          <a:chExt cx="33655" cy="33655"/>
        </a:xfrm>
      </xdr:grpSpPr>
      <xdr:sp macro="" textlink="">
        <xdr:nvSpPr>
          <xdr:cNvPr id="10197" name="Shape 48">
            <a:extLst>
              <a:ext uri="{FF2B5EF4-FFF2-40B4-BE49-F238E27FC236}">
                <a16:creationId xmlns:a16="http://schemas.microsoft.com/office/drawing/2014/main" id="{2A89E21C-35B2-2FF8-0F9D-E7328017FF9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198" name="Shape 49">
            <a:extLst>
              <a:ext uri="{FF2B5EF4-FFF2-40B4-BE49-F238E27FC236}">
                <a16:creationId xmlns:a16="http://schemas.microsoft.com/office/drawing/2014/main" id="{0937533D-1D89-AE65-CA71-1A6BDF68736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199" name="Shape 50">
            <a:extLst>
              <a:ext uri="{FF2B5EF4-FFF2-40B4-BE49-F238E27FC236}">
                <a16:creationId xmlns:a16="http://schemas.microsoft.com/office/drawing/2014/main" id="{871C925A-D14B-E31E-8C18-CEB07D2895C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00" name="Shape 51">
            <a:extLst>
              <a:ext uri="{FF2B5EF4-FFF2-40B4-BE49-F238E27FC236}">
                <a16:creationId xmlns:a16="http://schemas.microsoft.com/office/drawing/2014/main" id="{02441522-C0FA-F07F-ACAB-2E086D2043F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01" name="Shape 52">
            <a:extLst>
              <a:ext uri="{FF2B5EF4-FFF2-40B4-BE49-F238E27FC236}">
                <a16:creationId xmlns:a16="http://schemas.microsoft.com/office/drawing/2014/main" id="{15BE0882-84A0-0871-6A12-57CCEAC3074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02" name="Shape 53">
            <a:extLst>
              <a:ext uri="{FF2B5EF4-FFF2-40B4-BE49-F238E27FC236}">
                <a16:creationId xmlns:a16="http://schemas.microsoft.com/office/drawing/2014/main" id="{7F73AE60-0231-52F9-32C9-9C51A796921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03" name="Shape 54">
            <a:extLst>
              <a:ext uri="{FF2B5EF4-FFF2-40B4-BE49-F238E27FC236}">
                <a16:creationId xmlns:a16="http://schemas.microsoft.com/office/drawing/2014/main" id="{8899637D-E611-FADE-A4B2-B6754D6FD25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04" name="Shape 55">
            <a:extLst>
              <a:ext uri="{FF2B5EF4-FFF2-40B4-BE49-F238E27FC236}">
                <a16:creationId xmlns:a16="http://schemas.microsoft.com/office/drawing/2014/main" id="{CD36FEB0-57AB-0053-D729-C9D9933079C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05" name="Shape 56">
            <a:extLst>
              <a:ext uri="{FF2B5EF4-FFF2-40B4-BE49-F238E27FC236}">
                <a16:creationId xmlns:a16="http://schemas.microsoft.com/office/drawing/2014/main" id="{3727818F-953D-415C-222C-4EC3799B645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06" name="Shape 57">
            <a:extLst>
              <a:ext uri="{FF2B5EF4-FFF2-40B4-BE49-F238E27FC236}">
                <a16:creationId xmlns:a16="http://schemas.microsoft.com/office/drawing/2014/main" id="{38E2A11E-5B3B-1376-037E-FA893DE738B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07" name="Shape 58">
            <a:extLst>
              <a:ext uri="{FF2B5EF4-FFF2-40B4-BE49-F238E27FC236}">
                <a16:creationId xmlns:a16="http://schemas.microsoft.com/office/drawing/2014/main" id="{9C161007-BF8D-7495-0483-1A33404BE70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08" name="Shape 59">
            <a:extLst>
              <a:ext uri="{FF2B5EF4-FFF2-40B4-BE49-F238E27FC236}">
                <a16:creationId xmlns:a16="http://schemas.microsoft.com/office/drawing/2014/main" id="{8A71692A-360C-46DD-8915-688F62DA8D3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09" name="Shape 60">
            <a:extLst>
              <a:ext uri="{FF2B5EF4-FFF2-40B4-BE49-F238E27FC236}">
                <a16:creationId xmlns:a16="http://schemas.microsoft.com/office/drawing/2014/main" id="{43DC5BEA-4336-029C-08F3-B77901D8557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10" name="Shape 61">
            <a:extLst>
              <a:ext uri="{FF2B5EF4-FFF2-40B4-BE49-F238E27FC236}">
                <a16:creationId xmlns:a16="http://schemas.microsoft.com/office/drawing/2014/main" id="{803F4FCF-8FC8-2FFA-E4F3-A8C4EFD7BEC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326</xdr:row>
      <xdr:rowOff>160844</xdr:rowOff>
    </xdr:from>
    <xdr:ext cx="33655" cy="33655"/>
    <xdr:grpSp>
      <xdr:nvGrpSpPr>
        <xdr:cNvPr id="10211" name="Group 62">
          <a:extLst>
            <a:ext uri="{FF2B5EF4-FFF2-40B4-BE49-F238E27FC236}">
              <a16:creationId xmlns:a16="http://schemas.microsoft.com/office/drawing/2014/main" id="{00F260CF-B3DD-46AE-A0B4-A9E936BAF2AF}"/>
            </a:ext>
          </a:extLst>
        </xdr:cNvPr>
        <xdr:cNvGrpSpPr/>
      </xdr:nvGrpSpPr>
      <xdr:grpSpPr>
        <a:xfrm>
          <a:off x="4603072" y="63238205"/>
          <a:ext cx="33655" cy="33655"/>
          <a:chOff x="0" y="0"/>
          <a:chExt cx="33655" cy="33655"/>
        </a:xfrm>
      </xdr:grpSpPr>
      <xdr:sp macro="" textlink="">
        <xdr:nvSpPr>
          <xdr:cNvPr id="10212" name="Shape 63">
            <a:extLst>
              <a:ext uri="{FF2B5EF4-FFF2-40B4-BE49-F238E27FC236}">
                <a16:creationId xmlns:a16="http://schemas.microsoft.com/office/drawing/2014/main" id="{3CABF9F2-63D8-D7C7-C2ED-EB3D68526C5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13" name="Shape 64">
            <a:extLst>
              <a:ext uri="{FF2B5EF4-FFF2-40B4-BE49-F238E27FC236}">
                <a16:creationId xmlns:a16="http://schemas.microsoft.com/office/drawing/2014/main" id="{F47E5C3D-DB87-C24E-6A99-3620DD1A4E2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14" name="Shape 65">
            <a:extLst>
              <a:ext uri="{FF2B5EF4-FFF2-40B4-BE49-F238E27FC236}">
                <a16:creationId xmlns:a16="http://schemas.microsoft.com/office/drawing/2014/main" id="{2E5F4CF9-90DC-9FE4-092D-1F3555CACAF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15" name="Shape 66">
            <a:extLst>
              <a:ext uri="{FF2B5EF4-FFF2-40B4-BE49-F238E27FC236}">
                <a16:creationId xmlns:a16="http://schemas.microsoft.com/office/drawing/2014/main" id="{48FD05A6-3982-01AE-7514-4370E89ED0C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16" name="Shape 67">
            <a:extLst>
              <a:ext uri="{FF2B5EF4-FFF2-40B4-BE49-F238E27FC236}">
                <a16:creationId xmlns:a16="http://schemas.microsoft.com/office/drawing/2014/main" id="{779F135B-100B-C1C1-0B6A-4173EF3B2EA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17" name="Shape 68">
            <a:extLst>
              <a:ext uri="{FF2B5EF4-FFF2-40B4-BE49-F238E27FC236}">
                <a16:creationId xmlns:a16="http://schemas.microsoft.com/office/drawing/2014/main" id="{9C45D9B1-DB7C-1AF8-8F63-FA2D73E9E66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18" name="Shape 69">
            <a:extLst>
              <a:ext uri="{FF2B5EF4-FFF2-40B4-BE49-F238E27FC236}">
                <a16:creationId xmlns:a16="http://schemas.microsoft.com/office/drawing/2014/main" id="{855CA29E-26C2-C434-2E26-CE102FD1253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19" name="Shape 70">
            <a:extLst>
              <a:ext uri="{FF2B5EF4-FFF2-40B4-BE49-F238E27FC236}">
                <a16:creationId xmlns:a16="http://schemas.microsoft.com/office/drawing/2014/main" id="{3E6F8E7D-89A3-E1A4-54D2-87137B8249C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20" name="Shape 71">
            <a:extLst>
              <a:ext uri="{FF2B5EF4-FFF2-40B4-BE49-F238E27FC236}">
                <a16:creationId xmlns:a16="http://schemas.microsoft.com/office/drawing/2014/main" id="{C7A393E7-9CEF-208B-B4E8-7EC399E2D7C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21" name="Shape 72">
            <a:extLst>
              <a:ext uri="{FF2B5EF4-FFF2-40B4-BE49-F238E27FC236}">
                <a16:creationId xmlns:a16="http://schemas.microsoft.com/office/drawing/2014/main" id="{233B4E5B-039B-23C7-26A2-2D1A69BD1A4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22" name="Shape 73">
            <a:extLst>
              <a:ext uri="{FF2B5EF4-FFF2-40B4-BE49-F238E27FC236}">
                <a16:creationId xmlns:a16="http://schemas.microsoft.com/office/drawing/2014/main" id="{A000E25A-C08B-3F10-4921-7B4CC6AA8F0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23" name="Shape 74">
            <a:extLst>
              <a:ext uri="{FF2B5EF4-FFF2-40B4-BE49-F238E27FC236}">
                <a16:creationId xmlns:a16="http://schemas.microsoft.com/office/drawing/2014/main" id="{9E1D0402-D922-1331-182F-BC448C20B80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24" name="Shape 75">
            <a:extLst>
              <a:ext uri="{FF2B5EF4-FFF2-40B4-BE49-F238E27FC236}">
                <a16:creationId xmlns:a16="http://schemas.microsoft.com/office/drawing/2014/main" id="{71624A98-AE46-5553-FA82-481FFA67319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25" name="Shape 76">
            <a:extLst>
              <a:ext uri="{FF2B5EF4-FFF2-40B4-BE49-F238E27FC236}">
                <a16:creationId xmlns:a16="http://schemas.microsoft.com/office/drawing/2014/main" id="{5FC7A193-7DFE-3506-6A90-17455A80DB8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338</xdr:row>
      <xdr:rowOff>2978</xdr:rowOff>
    </xdr:from>
    <xdr:ext cx="33655" cy="33655"/>
    <xdr:grpSp>
      <xdr:nvGrpSpPr>
        <xdr:cNvPr id="10226" name="Group 2">
          <a:extLst>
            <a:ext uri="{FF2B5EF4-FFF2-40B4-BE49-F238E27FC236}">
              <a16:creationId xmlns:a16="http://schemas.microsoft.com/office/drawing/2014/main" id="{2726DCCF-D03F-474F-AA7A-C18F0D25C479}"/>
            </a:ext>
          </a:extLst>
        </xdr:cNvPr>
        <xdr:cNvGrpSpPr/>
      </xdr:nvGrpSpPr>
      <xdr:grpSpPr>
        <a:xfrm>
          <a:off x="4603072" y="65403814"/>
          <a:ext cx="33655" cy="33655"/>
          <a:chOff x="0" y="0"/>
          <a:chExt cx="33655" cy="33655"/>
        </a:xfrm>
      </xdr:grpSpPr>
      <xdr:sp macro="" textlink="">
        <xdr:nvSpPr>
          <xdr:cNvPr id="10227" name="Shape 3">
            <a:extLst>
              <a:ext uri="{FF2B5EF4-FFF2-40B4-BE49-F238E27FC236}">
                <a16:creationId xmlns:a16="http://schemas.microsoft.com/office/drawing/2014/main" id="{857CCD44-96DF-1DFA-D56C-114E4836D2F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28" name="Shape 4">
            <a:extLst>
              <a:ext uri="{FF2B5EF4-FFF2-40B4-BE49-F238E27FC236}">
                <a16:creationId xmlns:a16="http://schemas.microsoft.com/office/drawing/2014/main" id="{0D40BFAB-C80B-0178-1CD7-31039D8599E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29" name="Shape 5">
            <a:extLst>
              <a:ext uri="{FF2B5EF4-FFF2-40B4-BE49-F238E27FC236}">
                <a16:creationId xmlns:a16="http://schemas.microsoft.com/office/drawing/2014/main" id="{DAD0A170-E032-60D3-F3FC-6540F0F257D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30" name="Shape 6">
            <a:extLst>
              <a:ext uri="{FF2B5EF4-FFF2-40B4-BE49-F238E27FC236}">
                <a16:creationId xmlns:a16="http://schemas.microsoft.com/office/drawing/2014/main" id="{93A1C38F-8CD9-C768-A8AB-6A60A381C0D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31" name="Shape 7">
            <a:extLst>
              <a:ext uri="{FF2B5EF4-FFF2-40B4-BE49-F238E27FC236}">
                <a16:creationId xmlns:a16="http://schemas.microsoft.com/office/drawing/2014/main" id="{1C09BAB0-8DDF-CA8C-197B-694DD0B19C8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32" name="Shape 8">
            <a:extLst>
              <a:ext uri="{FF2B5EF4-FFF2-40B4-BE49-F238E27FC236}">
                <a16:creationId xmlns:a16="http://schemas.microsoft.com/office/drawing/2014/main" id="{9E23F8B1-757D-4C34-DB09-4C01CEC4DFD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33" name="Shape 9">
            <a:extLst>
              <a:ext uri="{FF2B5EF4-FFF2-40B4-BE49-F238E27FC236}">
                <a16:creationId xmlns:a16="http://schemas.microsoft.com/office/drawing/2014/main" id="{0D9531B7-B5C1-B43F-D970-1511A57B8A5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34" name="Shape 10">
            <a:extLst>
              <a:ext uri="{FF2B5EF4-FFF2-40B4-BE49-F238E27FC236}">
                <a16:creationId xmlns:a16="http://schemas.microsoft.com/office/drawing/2014/main" id="{C02821E9-07DA-12F4-B0BE-CE7D819B170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35" name="Shape 11">
            <a:extLst>
              <a:ext uri="{FF2B5EF4-FFF2-40B4-BE49-F238E27FC236}">
                <a16:creationId xmlns:a16="http://schemas.microsoft.com/office/drawing/2014/main" id="{0797DB8D-1F62-B4F7-EFA9-496BFADF483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36" name="Shape 12">
            <a:extLst>
              <a:ext uri="{FF2B5EF4-FFF2-40B4-BE49-F238E27FC236}">
                <a16:creationId xmlns:a16="http://schemas.microsoft.com/office/drawing/2014/main" id="{50A24305-DD33-6B01-8F82-12987A12AF1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37" name="Shape 13">
            <a:extLst>
              <a:ext uri="{FF2B5EF4-FFF2-40B4-BE49-F238E27FC236}">
                <a16:creationId xmlns:a16="http://schemas.microsoft.com/office/drawing/2014/main" id="{FD0CD590-402F-7BB7-8F1D-D20D25DD2E7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38" name="Shape 14">
            <a:extLst>
              <a:ext uri="{FF2B5EF4-FFF2-40B4-BE49-F238E27FC236}">
                <a16:creationId xmlns:a16="http://schemas.microsoft.com/office/drawing/2014/main" id="{61A9BEA0-ADDE-CD73-3B16-D2C7282BBF8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39" name="Shape 15">
            <a:extLst>
              <a:ext uri="{FF2B5EF4-FFF2-40B4-BE49-F238E27FC236}">
                <a16:creationId xmlns:a16="http://schemas.microsoft.com/office/drawing/2014/main" id="{44AEE967-6F72-96E7-E1C8-C83D8AEBDBA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40" name="Shape 16">
            <a:extLst>
              <a:ext uri="{FF2B5EF4-FFF2-40B4-BE49-F238E27FC236}">
                <a16:creationId xmlns:a16="http://schemas.microsoft.com/office/drawing/2014/main" id="{00712CC9-0526-709A-5172-5EB0878D796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338</xdr:row>
      <xdr:rowOff>3246</xdr:rowOff>
    </xdr:from>
    <xdr:ext cx="33655" cy="33655"/>
    <xdr:grpSp>
      <xdr:nvGrpSpPr>
        <xdr:cNvPr id="10241" name="Group 17">
          <a:extLst>
            <a:ext uri="{FF2B5EF4-FFF2-40B4-BE49-F238E27FC236}">
              <a16:creationId xmlns:a16="http://schemas.microsoft.com/office/drawing/2014/main" id="{6336D0CE-FE9D-4D50-BC96-7D764E6EE84F}"/>
            </a:ext>
          </a:extLst>
        </xdr:cNvPr>
        <xdr:cNvGrpSpPr/>
      </xdr:nvGrpSpPr>
      <xdr:grpSpPr>
        <a:xfrm>
          <a:off x="4603072" y="65404082"/>
          <a:ext cx="33655" cy="33655"/>
          <a:chOff x="0" y="0"/>
          <a:chExt cx="33655" cy="33655"/>
        </a:xfrm>
      </xdr:grpSpPr>
      <xdr:sp macro="" textlink="">
        <xdr:nvSpPr>
          <xdr:cNvPr id="10242" name="Shape 18">
            <a:extLst>
              <a:ext uri="{FF2B5EF4-FFF2-40B4-BE49-F238E27FC236}">
                <a16:creationId xmlns:a16="http://schemas.microsoft.com/office/drawing/2014/main" id="{5A02944B-7D31-DE0F-9C42-C79831060A7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43" name="Shape 19">
            <a:extLst>
              <a:ext uri="{FF2B5EF4-FFF2-40B4-BE49-F238E27FC236}">
                <a16:creationId xmlns:a16="http://schemas.microsoft.com/office/drawing/2014/main" id="{432D7565-731D-FBE9-41D8-397D0DAECEB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44" name="Shape 20">
            <a:extLst>
              <a:ext uri="{FF2B5EF4-FFF2-40B4-BE49-F238E27FC236}">
                <a16:creationId xmlns:a16="http://schemas.microsoft.com/office/drawing/2014/main" id="{EEFE936C-BEC7-1B96-213B-BA067CE6F17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45" name="Shape 21">
            <a:extLst>
              <a:ext uri="{FF2B5EF4-FFF2-40B4-BE49-F238E27FC236}">
                <a16:creationId xmlns:a16="http://schemas.microsoft.com/office/drawing/2014/main" id="{9FC1FC8E-DDF9-B353-06BF-504C9BA2FCE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46" name="Shape 22">
            <a:extLst>
              <a:ext uri="{FF2B5EF4-FFF2-40B4-BE49-F238E27FC236}">
                <a16:creationId xmlns:a16="http://schemas.microsoft.com/office/drawing/2014/main" id="{B616B65A-447A-0026-2EFF-1CFAF6823E4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47" name="Shape 23">
            <a:extLst>
              <a:ext uri="{FF2B5EF4-FFF2-40B4-BE49-F238E27FC236}">
                <a16:creationId xmlns:a16="http://schemas.microsoft.com/office/drawing/2014/main" id="{556D19DA-E49D-3CB1-D751-976C6E1D6C5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48" name="Shape 24">
            <a:extLst>
              <a:ext uri="{FF2B5EF4-FFF2-40B4-BE49-F238E27FC236}">
                <a16:creationId xmlns:a16="http://schemas.microsoft.com/office/drawing/2014/main" id="{0C7A53F7-6209-3FDD-94FE-F6F2DB2D17B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49" name="Shape 25">
            <a:extLst>
              <a:ext uri="{FF2B5EF4-FFF2-40B4-BE49-F238E27FC236}">
                <a16:creationId xmlns:a16="http://schemas.microsoft.com/office/drawing/2014/main" id="{A3224117-BEC9-25F3-AD54-3B92480704F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50" name="Shape 26">
            <a:extLst>
              <a:ext uri="{FF2B5EF4-FFF2-40B4-BE49-F238E27FC236}">
                <a16:creationId xmlns:a16="http://schemas.microsoft.com/office/drawing/2014/main" id="{41502782-D2A1-F47C-642C-075F9EF83D7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51" name="Shape 27">
            <a:extLst>
              <a:ext uri="{FF2B5EF4-FFF2-40B4-BE49-F238E27FC236}">
                <a16:creationId xmlns:a16="http://schemas.microsoft.com/office/drawing/2014/main" id="{F32F0D90-2841-D469-CE5D-892B63EFA4D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52" name="Shape 28">
            <a:extLst>
              <a:ext uri="{FF2B5EF4-FFF2-40B4-BE49-F238E27FC236}">
                <a16:creationId xmlns:a16="http://schemas.microsoft.com/office/drawing/2014/main" id="{61F34ADE-D8EA-EE3A-1787-63EE52CDE61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53" name="Shape 29">
            <a:extLst>
              <a:ext uri="{FF2B5EF4-FFF2-40B4-BE49-F238E27FC236}">
                <a16:creationId xmlns:a16="http://schemas.microsoft.com/office/drawing/2014/main" id="{D5E3F754-BCF8-B7A7-3277-DD07715857D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54" name="Shape 30">
            <a:extLst>
              <a:ext uri="{FF2B5EF4-FFF2-40B4-BE49-F238E27FC236}">
                <a16:creationId xmlns:a16="http://schemas.microsoft.com/office/drawing/2014/main" id="{9D5E9B9F-2AE2-FB8A-E437-AC6F386B1CC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55" name="Shape 31">
            <a:extLst>
              <a:ext uri="{FF2B5EF4-FFF2-40B4-BE49-F238E27FC236}">
                <a16:creationId xmlns:a16="http://schemas.microsoft.com/office/drawing/2014/main" id="{8A34D9A8-86D4-070B-FCEC-4244BAB6745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337</xdr:row>
      <xdr:rowOff>160585</xdr:rowOff>
    </xdr:from>
    <xdr:ext cx="33655" cy="33655"/>
    <xdr:grpSp>
      <xdr:nvGrpSpPr>
        <xdr:cNvPr id="10256" name="Group 32">
          <a:extLst>
            <a:ext uri="{FF2B5EF4-FFF2-40B4-BE49-F238E27FC236}">
              <a16:creationId xmlns:a16="http://schemas.microsoft.com/office/drawing/2014/main" id="{63B7E323-7434-4143-B910-3B5A24D92EE5}"/>
            </a:ext>
          </a:extLst>
        </xdr:cNvPr>
        <xdr:cNvGrpSpPr/>
      </xdr:nvGrpSpPr>
      <xdr:grpSpPr>
        <a:xfrm>
          <a:off x="4603072" y="65392782"/>
          <a:ext cx="33655" cy="33655"/>
          <a:chOff x="0" y="0"/>
          <a:chExt cx="33655" cy="33655"/>
        </a:xfrm>
      </xdr:grpSpPr>
      <xdr:sp macro="" textlink="">
        <xdr:nvSpPr>
          <xdr:cNvPr id="10257" name="Shape 33">
            <a:extLst>
              <a:ext uri="{FF2B5EF4-FFF2-40B4-BE49-F238E27FC236}">
                <a16:creationId xmlns:a16="http://schemas.microsoft.com/office/drawing/2014/main" id="{8ECBA90D-51C5-6E42-327E-5A76B258885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58" name="Shape 34">
            <a:extLst>
              <a:ext uri="{FF2B5EF4-FFF2-40B4-BE49-F238E27FC236}">
                <a16:creationId xmlns:a16="http://schemas.microsoft.com/office/drawing/2014/main" id="{BE258A5E-10F9-D9B1-266D-3C6472A5B9D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59" name="Shape 35">
            <a:extLst>
              <a:ext uri="{FF2B5EF4-FFF2-40B4-BE49-F238E27FC236}">
                <a16:creationId xmlns:a16="http://schemas.microsoft.com/office/drawing/2014/main" id="{96F92AEA-8B48-214C-F117-E5902DB5AFF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60" name="Shape 36">
            <a:extLst>
              <a:ext uri="{FF2B5EF4-FFF2-40B4-BE49-F238E27FC236}">
                <a16:creationId xmlns:a16="http://schemas.microsoft.com/office/drawing/2014/main" id="{CC3F3B90-CE69-C1E5-60A2-1CE30326057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61" name="Shape 37">
            <a:extLst>
              <a:ext uri="{FF2B5EF4-FFF2-40B4-BE49-F238E27FC236}">
                <a16:creationId xmlns:a16="http://schemas.microsoft.com/office/drawing/2014/main" id="{E1DBE1D3-AD1B-F4BE-CFE2-4A19B41225D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62" name="Shape 38">
            <a:extLst>
              <a:ext uri="{FF2B5EF4-FFF2-40B4-BE49-F238E27FC236}">
                <a16:creationId xmlns:a16="http://schemas.microsoft.com/office/drawing/2014/main" id="{9F250B26-733B-CC63-DE2A-30CBEB20D81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63" name="Shape 39">
            <a:extLst>
              <a:ext uri="{FF2B5EF4-FFF2-40B4-BE49-F238E27FC236}">
                <a16:creationId xmlns:a16="http://schemas.microsoft.com/office/drawing/2014/main" id="{3228ADF4-6B5E-9915-E9FA-2140A4B8D60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64" name="Shape 40">
            <a:extLst>
              <a:ext uri="{FF2B5EF4-FFF2-40B4-BE49-F238E27FC236}">
                <a16:creationId xmlns:a16="http://schemas.microsoft.com/office/drawing/2014/main" id="{2D902AC5-2AFB-E044-CEFB-3C54B933E95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65" name="Shape 41">
            <a:extLst>
              <a:ext uri="{FF2B5EF4-FFF2-40B4-BE49-F238E27FC236}">
                <a16:creationId xmlns:a16="http://schemas.microsoft.com/office/drawing/2014/main" id="{B3045D7D-8FA8-AECC-ACC3-0E6513DFB86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66" name="Shape 42">
            <a:extLst>
              <a:ext uri="{FF2B5EF4-FFF2-40B4-BE49-F238E27FC236}">
                <a16:creationId xmlns:a16="http://schemas.microsoft.com/office/drawing/2014/main" id="{734D39CE-5891-A4FD-1C8E-9B3CAC5739C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67" name="Shape 43">
            <a:extLst>
              <a:ext uri="{FF2B5EF4-FFF2-40B4-BE49-F238E27FC236}">
                <a16:creationId xmlns:a16="http://schemas.microsoft.com/office/drawing/2014/main" id="{399F3C7F-A7ED-A455-E11F-C0EF7AE63C0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68" name="Shape 44">
            <a:extLst>
              <a:ext uri="{FF2B5EF4-FFF2-40B4-BE49-F238E27FC236}">
                <a16:creationId xmlns:a16="http://schemas.microsoft.com/office/drawing/2014/main" id="{95AB7B1D-A0AE-DAF6-6082-EB55F4F86C8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69" name="Shape 45">
            <a:extLst>
              <a:ext uri="{FF2B5EF4-FFF2-40B4-BE49-F238E27FC236}">
                <a16:creationId xmlns:a16="http://schemas.microsoft.com/office/drawing/2014/main" id="{0B2CABB7-008F-9933-0140-DEB68BED959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70" name="Shape 46">
            <a:extLst>
              <a:ext uri="{FF2B5EF4-FFF2-40B4-BE49-F238E27FC236}">
                <a16:creationId xmlns:a16="http://schemas.microsoft.com/office/drawing/2014/main" id="{F09341B8-B2BA-5485-541C-F509BCF79B9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338</xdr:row>
      <xdr:rowOff>3409</xdr:rowOff>
    </xdr:from>
    <xdr:ext cx="33655" cy="33655"/>
    <xdr:grpSp>
      <xdr:nvGrpSpPr>
        <xdr:cNvPr id="10271" name="Group 47">
          <a:extLst>
            <a:ext uri="{FF2B5EF4-FFF2-40B4-BE49-F238E27FC236}">
              <a16:creationId xmlns:a16="http://schemas.microsoft.com/office/drawing/2014/main" id="{E45E5CA5-E4A0-4440-A0E3-5D97236E76CD}"/>
            </a:ext>
          </a:extLst>
        </xdr:cNvPr>
        <xdr:cNvGrpSpPr/>
      </xdr:nvGrpSpPr>
      <xdr:grpSpPr>
        <a:xfrm>
          <a:off x="4603072" y="65404245"/>
          <a:ext cx="33655" cy="33655"/>
          <a:chOff x="0" y="0"/>
          <a:chExt cx="33655" cy="33655"/>
        </a:xfrm>
      </xdr:grpSpPr>
      <xdr:sp macro="" textlink="">
        <xdr:nvSpPr>
          <xdr:cNvPr id="10272" name="Shape 48">
            <a:extLst>
              <a:ext uri="{FF2B5EF4-FFF2-40B4-BE49-F238E27FC236}">
                <a16:creationId xmlns:a16="http://schemas.microsoft.com/office/drawing/2014/main" id="{0F0779F6-2E24-3C85-D4D5-EA63A8CC7C9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73" name="Shape 49">
            <a:extLst>
              <a:ext uri="{FF2B5EF4-FFF2-40B4-BE49-F238E27FC236}">
                <a16:creationId xmlns:a16="http://schemas.microsoft.com/office/drawing/2014/main" id="{03558FE2-68F7-7528-271F-3810AE94D2C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74" name="Shape 50">
            <a:extLst>
              <a:ext uri="{FF2B5EF4-FFF2-40B4-BE49-F238E27FC236}">
                <a16:creationId xmlns:a16="http://schemas.microsoft.com/office/drawing/2014/main" id="{46FF6D35-FC31-550E-AAB0-835EDFB185C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75" name="Shape 51">
            <a:extLst>
              <a:ext uri="{FF2B5EF4-FFF2-40B4-BE49-F238E27FC236}">
                <a16:creationId xmlns:a16="http://schemas.microsoft.com/office/drawing/2014/main" id="{11CD5007-8060-EB5A-3254-31478CDD19F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76" name="Shape 52">
            <a:extLst>
              <a:ext uri="{FF2B5EF4-FFF2-40B4-BE49-F238E27FC236}">
                <a16:creationId xmlns:a16="http://schemas.microsoft.com/office/drawing/2014/main" id="{0DA67A87-D4E6-FD1F-1C43-63B41B69F67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77" name="Shape 53">
            <a:extLst>
              <a:ext uri="{FF2B5EF4-FFF2-40B4-BE49-F238E27FC236}">
                <a16:creationId xmlns:a16="http://schemas.microsoft.com/office/drawing/2014/main" id="{F191CB5A-04B9-D9F0-762B-96031416899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78" name="Shape 54">
            <a:extLst>
              <a:ext uri="{FF2B5EF4-FFF2-40B4-BE49-F238E27FC236}">
                <a16:creationId xmlns:a16="http://schemas.microsoft.com/office/drawing/2014/main" id="{24E1E211-A76B-C66A-A0A4-9248EA2C850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79" name="Shape 55">
            <a:extLst>
              <a:ext uri="{FF2B5EF4-FFF2-40B4-BE49-F238E27FC236}">
                <a16:creationId xmlns:a16="http://schemas.microsoft.com/office/drawing/2014/main" id="{23D7425E-9D23-19DC-79DD-F270DF448DF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80" name="Shape 56">
            <a:extLst>
              <a:ext uri="{FF2B5EF4-FFF2-40B4-BE49-F238E27FC236}">
                <a16:creationId xmlns:a16="http://schemas.microsoft.com/office/drawing/2014/main" id="{5921346E-A28C-B65A-4B5C-06426A35036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81" name="Shape 57">
            <a:extLst>
              <a:ext uri="{FF2B5EF4-FFF2-40B4-BE49-F238E27FC236}">
                <a16:creationId xmlns:a16="http://schemas.microsoft.com/office/drawing/2014/main" id="{78853490-3BB8-222D-55E4-4A6004DE576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82" name="Shape 58">
            <a:extLst>
              <a:ext uri="{FF2B5EF4-FFF2-40B4-BE49-F238E27FC236}">
                <a16:creationId xmlns:a16="http://schemas.microsoft.com/office/drawing/2014/main" id="{968BB2B2-8A92-F488-F1FC-49FBA3165A8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83" name="Shape 59">
            <a:extLst>
              <a:ext uri="{FF2B5EF4-FFF2-40B4-BE49-F238E27FC236}">
                <a16:creationId xmlns:a16="http://schemas.microsoft.com/office/drawing/2014/main" id="{D57C4CB2-2631-B020-E7BA-15A9D9016C2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84" name="Shape 60">
            <a:extLst>
              <a:ext uri="{FF2B5EF4-FFF2-40B4-BE49-F238E27FC236}">
                <a16:creationId xmlns:a16="http://schemas.microsoft.com/office/drawing/2014/main" id="{73C7C7FD-750B-ACC9-D851-C7E54624BA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285" name="Shape 61">
            <a:extLst>
              <a:ext uri="{FF2B5EF4-FFF2-40B4-BE49-F238E27FC236}">
                <a16:creationId xmlns:a16="http://schemas.microsoft.com/office/drawing/2014/main" id="{9D6C6F92-D88C-D867-C3D8-08BBD17A9A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337</xdr:row>
      <xdr:rowOff>160844</xdr:rowOff>
    </xdr:from>
    <xdr:ext cx="33655" cy="33655"/>
    <xdr:grpSp>
      <xdr:nvGrpSpPr>
        <xdr:cNvPr id="10286" name="Group 62">
          <a:extLst>
            <a:ext uri="{FF2B5EF4-FFF2-40B4-BE49-F238E27FC236}">
              <a16:creationId xmlns:a16="http://schemas.microsoft.com/office/drawing/2014/main" id="{9DFBF1D8-8067-430B-B201-EEB9C47813C6}"/>
            </a:ext>
          </a:extLst>
        </xdr:cNvPr>
        <xdr:cNvGrpSpPr/>
      </xdr:nvGrpSpPr>
      <xdr:grpSpPr>
        <a:xfrm>
          <a:off x="4603072" y="65393041"/>
          <a:ext cx="33655" cy="33655"/>
          <a:chOff x="0" y="0"/>
          <a:chExt cx="33655" cy="33655"/>
        </a:xfrm>
      </xdr:grpSpPr>
      <xdr:sp macro="" textlink="">
        <xdr:nvSpPr>
          <xdr:cNvPr id="10287" name="Shape 63">
            <a:extLst>
              <a:ext uri="{FF2B5EF4-FFF2-40B4-BE49-F238E27FC236}">
                <a16:creationId xmlns:a16="http://schemas.microsoft.com/office/drawing/2014/main" id="{FE5A7F55-2D32-4C46-B450-7C7E1704B10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88" name="Shape 64">
            <a:extLst>
              <a:ext uri="{FF2B5EF4-FFF2-40B4-BE49-F238E27FC236}">
                <a16:creationId xmlns:a16="http://schemas.microsoft.com/office/drawing/2014/main" id="{37B4FFB0-47B6-3CB3-DF16-0865EB5EC1A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89" name="Shape 65">
            <a:extLst>
              <a:ext uri="{FF2B5EF4-FFF2-40B4-BE49-F238E27FC236}">
                <a16:creationId xmlns:a16="http://schemas.microsoft.com/office/drawing/2014/main" id="{7A9784A3-2417-BC78-2B0D-C4B9D84FF3F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90" name="Shape 66">
            <a:extLst>
              <a:ext uri="{FF2B5EF4-FFF2-40B4-BE49-F238E27FC236}">
                <a16:creationId xmlns:a16="http://schemas.microsoft.com/office/drawing/2014/main" id="{FDD4E69F-EDC5-31D3-C91B-BFF04435C5B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91" name="Shape 67">
            <a:extLst>
              <a:ext uri="{FF2B5EF4-FFF2-40B4-BE49-F238E27FC236}">
                <a16:creationId xmlns:a16="http://schemas.microsoft.com/office/drawing/2014/main" id="{C79FC150-C0C5-6984-66C2-CEBB7815608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92" name="Shape 68">
            <a:extLst>
              <a:ext uri="{FF2B5EF4-FFF2-40B4-BE49-F238E27FC236}">
                <a16:creationId xmlns:a16="http://schemas.microsoft.com/office/drawing/2014/main" id="{A6D6F53B-198B-10C8-46C1-F98AFC96DAB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93" name="Shape 69">
            <a:extLst>
              <a:ext uri="{FF2B5EF4-FFF2-40B4-BE49-F238E27FC236}">
                <a16:creationId xmlns:a16="http://schemas.microsoft.com/office/drawing/2014/main" id="{D80AFB77-8821-32B3-F69F-0C0349ADFB9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94" name="Shape 70">
            <a:extLst>
              <a:ext uri="{FF2B5EF4-FFF2-40B4-BE49-F238E27FC236}">
                <a16:creationId xmlns:a16="http://schemas.microsoft.com/office/drawing/2014/main" id="{49BC2958-D776-033F-A976-4EEC8B35AB6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95" name="Shape 71">
            <a:extLst>
              <a:ext uri="{FF2B5EF4-FFF2-40B4-BE49-F238E27FC236}">
                <a16:creationId xmlns:a16="http://schemas.microsoft.com/office/drawing/2014/main" id="{A1521F56-2C3A-7DBF-DB78-A00AD5C6093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96" name="Shape 72">
            <a:extLst>
              <a:ext uri="{FF2B5EF4-FFF2-40B4-BE49-F238E27FC236}">
                <a16:creationId xmlns:a16="http://schemas.microsoft.com/office/drawing/2014/main" id="{A0C26EBF-5B22-0881-4D57-71CBA5EE920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97" name="Shape 73">
            <a:extLst>
              <a:ext uri="{FF2B5EF4-FFF2-40B4-BE49-F238E27FC236}">
                <a16:creationId xmlns:a16="http://schemas.microsoft.com/office/drawing/2014/main" id="{B1E08463-CE55-9B3F-767C-20E6E1330E5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298" name="Shape 74">
            <a:extLst>
              <a:ext uri="{FF2B5EF4-FFF2-40B4-BE49-F238E27FC236}">
                <a16:creationId xmlns:a16="http://schemas.microsoft.com/office/drawing/2014/main" id="{6D0FF8CF-2461-476B-D5C8-776682E78A2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299" name="Shape 75">
            <a:extLst>
              <a:ext uri="{FF2B5EF4-FFF2-40B4-BE49-F238E27FC236}">
                <a16:creationId xmlns:a16="http://schemas.microsoft.com/office/drawing/2014/main" id="{29949244-608B-FF65-E248-C26A75C599B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300" name="Shape 76">
            <a:extLst>
              <a:ext uri="{FF2B5EF4-FFF2-40B4-BE49-F238E27FC236}">
                <a16:creationId xmlns:a16="http://schemas.microsoft.com/office/drawing/2014/main" id="{EADD9665-526D-471D-0B72-563D9A42D4C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349</xdr:row>
      <xdr:rowOff>2978</xdr:rowOff>
    </xdr:from>
    <xdr:ext cx="33655" cy="33655"/>
    <xdr:grpSp>
      <xdr:nvGrpSpPr>
        <xdr:cNvPr id="10301" name="Group 2">
          <a:extLst>
            <a:ext uri="{FF2B5EF4-FFF2-40B4-BE49-F238E27FC236}">
              <a16:creationId xmlns:a16="http://schemas.microsoft.com/office/drawing/2014/main" id="{66AB6285-2100-47F1-9D34-DDE75E07E0C2}"/>
            </a:ext>
          </a:extLst>
        </xdr:cNvPr>
        <xdr:cNvGrpSpPr/>
      </xdr:nvGrpSpPr>
      <xdr:grpSpPr>
        <a:xfrm>
          <a:off x="4603072" y="67558650"/>
          <a:ext cx="33655" cy="33655"/>
          <a:chOff x="0" y="0"/>
          <a:chExt cx="33655" cy="33655"/>
        </a:xfrm>
      </xdr:grpSpPr>
      <xdr:sp macro="" textlink="">
        <xdr:nvSpPr>
          <xdr:cNvPr id="10302" name="Shape 3">
            <a:extLst>
              <a:ext uri="{FF2B5EF4-FFF2-40B4-BE49-F238E27FC236}">
                <a16:creationId xmlns:a16="http://schemas.microsoft.com/office/drawing/2014/main" id="{88BF8929-BBDF-640A-AFEC-F5C99D579CA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03" name="Shape 4">
            <a:extLst>
              <a:ext uri="{FF2B5EF4-FFF2-40B4-BE49-F238E27FC236}">
                <a16:creationId xmlns:a16="http://schemas.microsoft.com/office/drawing/2014/main" id="{82D7725E-D9E4-1E8A-DFE6-243B912E33E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04" name="Shape 5">
            <a:extLst>
              <a:ext uri="{FF2B5EF4-FFF2-40B4-BE49-F238E27FC236}">
                <a16:creationId xmlns:a16="http://schemas.microsoft.com/office/drawing/2014/main" id="{56BFA90B-DCF8-23BC-1A71-014DA2766AB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05" name="Shape 6">
            <a:extLst>
              <a:ext uri="{FF2B5EF4-FFF2-40B4-BE49-F238E27FC236}">
                <a16:creationId xmlns:a16="http://schemas.microsoft.com/office/drawing/2014/main" id="{7D633F57-281C-397C-B965-BD9057019BC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06" name="Shape 7">
            <a:extLst>
              <a:ext uri="{FF2B5EF4-FFF2-40B4-BE49-F238E27FC236}">
                <a16:creationId xmlns:a16="http://schemas.microsoft.com/office/drawing/2014/main" id="{56222C48-0201-375E-9EAF-9CC963B9888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07" name="Shape 8">
            <a:extLst>
              <a:ext uri="{FF2B5EF4-FFF2-40B4-BE49-F238E27FC236}">
                <a16:creationId xmlns:a16="http://schemas.microsoft.com/office/drawing/2014/main" id="{638EA68F-2AEE-C48F-61BF-DB00B927007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08" name="Shape 9">
            <a:extLst>
              <a:ext uri="{FF2B5EF4-FFF2-40B4-BE49-F238E27FC236}">
                <a16:creationId xmlns:a16="http://schemas.microsoft.com/office/drawing/2014/main" id="{7F7C79EF-5B6A-0E7D-72FB-E3AE21117E2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09" name="Shape 10">
            <a:extLst>
              <a:ext uri="{FF2B5EF4-FFF2-40B4-BE49-F238E27FC236}">
                <a16:creationId xmlns:a16="http://schemas.microsoft.com/office/drawing/2014/main" id="{4BCB0469-8A3F-428A-C8AF-DC002955E36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10" name="Shape 11">
            <a:extLst>
              <a:ext uri="{FF2B5EF4-FFF2-40B4-BE49-F238E27FC236}">
                <a16:creationId xmlns:a16="http://schemas.microsoft.com/office/drawing/2014/main" id="{A4D40BFA-64BD-4513-B591-4FAFBC6FE3E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11" name="Shape 12">
            <a:extLst>
              <a:ext uri="{FF2B5EF4-FFF2-40B4-BE49-F238E27FC236}">
                <a16:creationId xmlns:a16="http://schemas.microsoft.com/office/drawing/2014/main" id="{25325274-497B-EEEE-2647-CDEA847C8F8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12" name="Shape 13">
            <a:extLst>
              <a:ext uri="{FF2B5EF4-FFF2-40B4-BE49-F238E27FC236}">
                <a16:creationId xmlns:a16="http://schemas.microsoft.com/office/drawing/2014/main" id="{F22169EC-C66F-F7B9-F055-D281CA5CBD6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13" name="Shape 14">
            <a:extLst>
              <a:ext uri="{FF2B5EF4-FFF2-40B4-BE49-F238E27FC236}">
                <a16:creationId xmlns:a16="http://schemas.microsoft.com/office/drawing/2014/main" id="{C8FF68E5-DFCB-4F08-840C-C5DE928B0EC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14" name="Shape 15">
            <a:extLst>
              <a:ext uri="{FF2B5EF4-FFF2-40B4-BE49-F238E27FC236}">
                <a16:creationId xmlns:a16="http://schemas.microsoft.com/office/drawing/2014/main" id="{617E262D-B0E9-86C9-5B36-4B6841318E4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15" name="Shape 16">
            <a:extLst>
              <a:ext uri="{FF2B5EF4-FFF2-40B4-BE49-F238E27FC236}">
                <a16:creationId xmlns:a16="http://schemas.microsoft.com/office/drawing/2014/main" id="{1B93E258-BA0B-8248-1217-FC1F70ABC23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349</xdr:row>
      <xdr:rowOff>3246</xdr:rowOff>
    </xdr:from>
    <xdr:ext cx="33655" cy="33655"/>
    <xdr:grpSp>
      <xdr:nvGrpSpPr>
        <xdr:cNvPr id="10316" name="Group 17">
          <a:extLst>
            <a:ext uri="{FF2B5EF4-FFF2-40B4-BE49-F238E27FC236}">
              <a16:creationId xmlns:a16="http://schemas.microsoft.com/office/drawing/2014/main" id="{549FC607-F47D-4BB3-A235-EA104A11A490}"/>
            </a:ext>
          </a:extLst>
        </xdr:cNvPr>
        <xdr:cNvGrpSpPr/>
      </xdr:nvGrpSpPr>
      <xdr:grpSpPr>
        <a:xfrm>
          <a:off x="4603072" y="67558918"/>
          <a:ext cx="33655" cy="33655"/>
          <a:chOff x="0" y="0"/>
          <a:chExt cx="33655" cy="33655"/>
        </a:xfrm>
      </xdr:grpSpPr>
      <xdr:sp macro="" textlink="">
        <xdr:nvSpPr>
          <xdr:cNvPr id="10317" name="Shape 18">
            <a:extLst>
              <a:ext uri="{FF2B5EF4-FFF2-40B4-BE49-F238E27FC236}">
                <a16:creationId xmlns:a16="http://schemas.microsoft.com/office/drawing/2014/main" id="{15AE9BED-42DD-C8D9-D138-CCE7A7EA937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18" name="Shape 19">
            <a:extLst>
              <a:ext uri="{FF2B5EF4-FFF2-40B4-BE49-F238E27FC236}">
                <a16:creationId xmlns:a16="http://schemas.microsoft.com/office/drawing/2014/main" id="{3D2335FE-255C-03A0-62E3-1945EF9298F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19" name="Shape 20">
            <a:extLst>
              <a:ext uri="{FF2B5EF4-FFF2-40B4-BE49-F238E27FC236}">
                <a16:creationId xmlns:a16="http://schemas.microsoft.com/office/drawing/2014/main" id="{8D87979F-662D-B17C-A827-5A2B93552C3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20" name="Shape 21">
            <a:extLst>
              <a:ext uri="{FF2B5EF4-FFF2-40B4-BE49-F238E27FC236}">
                <a16:creationId xmlns:a16="http://schemas.microsoft.com/office/drawing/2014/main" id="{5A643413-7B0D-7B2F-A04A-B527F5BC275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21" name="Shape 22">
            <a:extLst>
              <a:ext uri="{FF2B5EF4-FFF2-40B4-BE49-F238E27FC236}">
                <a16:creationId xmlns:a16="http://schemas.microsoft.com/office/drawing/2014/main" id="{1E398864-A879-A339-BC32-9BE004C6471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22" name="Shape 23">
            <a:extLst>
              <a:ext uri="{FF2B5EF4-FFF2-40B4-BE49-F238E27FC236}">
                <a16:creationId xmlns:a16="http://schemas.microsoft.com/office/drawing/2014/main" id="{D4F84E99-7CFA-FE21-3B97-82738DFC5A3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23" name="Shape 24">
            <a:extLst>
              <a:ext uri="{FF2B5EF4-FFF2-40B4-BE49-F238E27FC236}">
                <a16:creationId xmlns:a16="http://schemas.microsoft.com/office/drawing/2014/main" id="{186F83BA-EB1A-F507-CF09-81E5B14A36B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24" name="Shape 25">
            <a:extLst>
              <a:ext uri="{FF2B5EF4-FFF2-40B4-BE49-F238E27FC236}">
                <a16:creationId xmlns:a16="http://schemas.microsoft.com/office/drawing/2014/main" id="{5B39762E-0540-36D8-1AD0-BDE831BE76D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25" name="Shape 26">
            <a:extLst>
              <a:ext uri="{FF2B5EF4-FFF2-40B4-BE49-F238E27FC236}">
                <a16:creationId xmlns:a16="http://schemas.microsoft.com/office/drawing/2014/main" id="{92CE1545-469B-58CF-A94F-4673638DA96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26" name="Shape 27">
            <a:extLst>
              <a:ext uri="{FF2B5EF4-FFF2-40B4-BE49-F238E27FC236}">
                <a16:creationId xmlns:a16="http://schemas.microsoft.com/office/drawing/2014/main" id="{1BAE78F5-4CA5-0A27-A264-0E64B57A160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27" name="Shape 28">
            <a:extLst>
              <a:ext uri="{FF2B5EF4-FFF2-40B4-BE49-F238E27FC236}">
                <a16:creationId xmlns:a16="http://schemas.microsoft.com/office/drawing/2014/main" id="{2961F097-DFAA-8E13-8B01-47F628A14EA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28" name="Shape 29">
            <a:extLst>
              <a:ext uri="{FF2B5EF4-FFF2-40B4-BE49-F238E27FC236}">
                <a16:creationId xmlns:a16="http://schemas.microsoft.com/office/drawing/2014/main" id="{1D7CB3CC-756F-BA3C-274D-C8810CA2D68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29" name="Shape 30">
            <a:extLst>
              <a:ext uri="{FF2B5EF4-FFF2-40B4-BE49-F238E27FC236}">
                <a16:creationId xmlns:a16="http://schemas.microsoft.com/office/drawing/2014/main" id="{0E3F8E9A-88FB-7675-20BB-C0BC7F4DED1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30" name="Shape 31">
            <a:extLst>
              <a:ext uri="{FF2B5EF4-FFF2-40B4-BE49-F238E27FC236}">
                <a16:creationId xmlns:a16="http://schemas.microsoft.com/office/drawing/2014/main" id="{1517CF36-C452-C143-9DBF-C54CE4E8574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349</xdr:row>
      <xdr:rowOff>3703</xdr:rowOff>
    </xdr:from>
    <xdr:ext cx="33655" cy="33655"/>
    <xdr:grpSp>
      <xdr:nvGrpSpPr>
        <xdr:cNvPr id="10331" name="Group 32">
          <a:extLst>
            <a:ext uri="{FF2B5EF4-FFF2-40B4-BE49-F238E27FC236}">
              <a16:creationId xmlns:a16="http://schemas.microsoft.com/office/drawing/2014/main" id="{1D164E53-7893-4DB3-B762-B163664CA5CA}"/>
            </a:ext>
          </a:extLst>
        </xdr:cNvPr>
        <xdr:cNvGrpSpPr/>
      </xdr:nvGrpSpPr>
      <xdr:grpSpPr>
        <a:xfrm>
          <a:off x="4603072" y="67559375"/>
          <a:ext cx="33655" cy="33655"/>
          <a:chOff x="0" y="0"/>
          <a:chExt cx="33655" cy="33655"/>
        </a:xfrm>
      </xdr:grpSpPr>
      <xdr:sp macro="" textlink="">
        <xdr:nvSpPr>
          <xdr:cNvPr id="10332" name="Shape 33">
            <a:extLst>
              <a:ext uri="{FF2B5EF4-FFF2-40B4-BE49-F238E27FC236}">
                <a16:creationId xmlns:a16="http://schemas.microsoft.com/office/drawing/2014/main" id="{30116079-A733-02B2-74D0-D56BD78F72C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33" name="Shape 34">
            <a:extLst>
              <a:ext uri="{FF2B5EF4-FFF2-40B4-BE49-F238E27FC236}">
                <a16:creationId xmlns:a16="http://schemas.microsoft.com/office/drawing/2014/main" id="{B11917A7-5D43-A31A-F4AC-58F53F9A5A5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34" name="Shape 35">
            <a:extLst>
              <a:ext uri="{FF2B5EF4-FFF2-40B4-BE49-F238E27FC236}">
                <a16:creationId xmlns:a16="http://schemas.microsoft.com/office/drawing/2014/main" id="{749F42FF-A6A4-DD22-7B62-5BAEC846F95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35" name="Shape 36">
            <a:extLst>
              <a:ext uri="{FF2B5EF4-FFF2-40B4-BE49-F238E27FC236}">
                <a16:creationId xmlns:a16="http://schemas.microsoft.com/office/drawing/2014/main" id="{6D0166DE-9BE2-DC65-F430-7180C7272FA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36" name="Shape 37">
            <a:extLst>
              <a:ext uri="{FF2B5EF4-FFF2-40B4-BE49-F238E27FC236}">
                <a16:creationId xmlns:a16="http://schemas.microsoft.com/office/drawing/2014/main" id="{40FDBF5A-C25E-64BF-304B-A803ED42C45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37" name="Shape 38">
            <a:extLst>
              <a:ext uri="{FF2B5EF4-FFF2-40B4-BE49-F238E27FC236}">
                <a16:creationId xmlns:a16="http://schemas.microsoft.com/office/drawing/2014/main" id="{D6847415-783B-7859-07F8-4D883DCDF75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38" name="Shape 39">
            <a:extLst>
              <a:ext uri="{FF2B5EF4-FFF2-40B4-BE49-F238E27FC236}">
                <a16:creationId xmlns:a16="http://schemas.microsoft.com/office/drawing/2014/main" id="{2566FD19-B3BB-0600-73B9-E8989E05FDA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39" name="Shape 40">
            <a:extLst>
              <a:ext uri="{FF2B5EF4-FFF2-40B4-BE49-F238E27FC236}">
                <a16:creationId xmlns:a16="http://schemas.microsoft.com/office/drawing/2014/main" id="{9E27C0AF-7663-010E-CAD1-309494AF512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40" name="Shape 41">
            <a:extLst>
              <a:ext uri="{FF2B5EF4-FFF2-40B4-BE49-F238E27FC236}">
                <a16:creationId xmlns:a16="http://schemas.microsoft.com/office/drawing/2014/main" id="{198D02E0-1174-592D-12C5-20099DEAB69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41" name="Shape 42">
            <a:extLst>
              <a:ext uri="{FF2B5EF4-FFF2-40B4-BE49-F238E27FC236}">
                <a16:creationId xmlns:a16="http://schemas.microsoft.com/office/drawing/2014/main" id="{1D20F28B-2CF4-9004-024B-B085864990D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42" name="Shape 43">
            <a:extLst>
              <a:ext uri="{FF2B5EF4-FFF2-40B4-BE49-F238E27FC236}">
                <a16:creationId xmlns:a16="http://schemas.microsoft.com/office/drawing/2014/main" id="{049DCBD0-FA57-84FF-714B-E898707A4FE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43" name="Shape 44">
            <a:extLst>
              <a:ext uri="{FF2B5EF4-FFF2-40B4-BE49-F238E27FC236}">
                <a16:creationId xmlns:a16="http://schemas.microsoft.com/office/drawing/2014/main" id="{86764BD2-13CE-05CD-8CC6-54BE8182F64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44" name="Shape 45">
            <a:extLst>
              <a:ext uri="{FF2B5EF4-FFF2-40B4-BE49-F238E27FC236}">
                <a16:creationId xmlns:a16="http://schemas.microsoft.com/office/drawing/2014/main" id="{DDDD2873-7619-00D8-68A3-39E8FD24742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45" name="Shape 46">
            <a:extLst>
              <a:ext uri="{FF2B5EF4-FFF2-40B4-BE49-F238E27FC236}">
                <a16:creationId xmlns:a16="http://schemas.microsoft.com/office/drawing/2014/main" id="{8A9C40B5-C750-35F1-7347-FB72E93ACC5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349</xdr:row>
      <xdr:rowOff>3409</xdr:rowOff>
    </xdr:from>
    <xdr:ext cx="33655" cy="33655"/>
    <xdr:grpSp>
      <xdr:nvGrpSpPr>
        <xdr:cNvPr id="10346" name="Group 47">
          <a:extLst>
            <a:ext uri="{FF2B5EF4-FFF2-40B4-BE49-F238E27FC236}">
              <a16:creationId xmlns:a16="http://schemas.microsoft.com/office/drawing/2014/main" id="{506D99E9-4B2F-4F99-8005-BBC5356C0281}"/>
            </a:ext>
          </a:extLst>
        </xdr:cNvPr>
        <xdr:cNvGrpSpPr/>
      </xdr:nvGrpSpPr>
      <xdr:grpSpPr>
        <a:xfrm>
          <a:off x="4603072" y="67559081"/>
          <a:ext cx="33655" cy="33655"/>
          <a:chOff x="0" y="0"/>
          <a:chExt cx="33655" cy="33655"/>
        </a:xfrm>
      </xdr:grpSpPr>
      <xdr:sp macro="" textlink="">
        <xdr:nvSpPr>
          <xdr:cNvPr id="10347" name="Shape 48">
            <a:extLst>
              <a:ext uri="{FF2B5EF4-FFF2-40B4-BE49-F238E27FC236}">
                <a16:creationId xmlns:a16="http://schemas.microsoft.com/office/drawing/2014/main" id="{99F79231-52C7-CDEA-537D-31953891A3E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48" name="Shape 49">
            <a:extLst>
              <a:ext uri="{FF2B5EF4-FFF2-40B4-BE49-F238E27FC236}">
                <a16:creationId xmlns:a16="http://schemas.microsoft.com/office/drawing/2014/main" id="{D4CFA593-F098-4FFF-4D4C-BD7859775F1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49" name="Shape 50">
            <a:extLst>
              <a:ext uri="{FF2B5EF4-FFF2-40B4-BE49-F238E27FC236}">
                <a16:creationId xmlns:a16="http://schemas.microsoft.com/office/drawing/2014/main" id="{6D25C957-D6E2-BBD3-644B-911623AB36E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50" name="Shape 51">
            <a:extLst>
              <a:ext uri="{FF2B5EF4-FFF2-40B4-BE49-F238E27FC236}">
                <a16:creationId xmlns:a16="http://schemas.microsoft.com/office/drawing/2014/main" id="{DC03B5C6-85CA-D7A0-956B-CAF0BC4F8EC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51" name="Shape 52">
            <a:extLst>
              <a:ext uri="{FF2B5EF4-FFF2-40B4-BE49-F238E27FC236}">
                <a16:creationId xmlns:a16="http://schemas.microsoft.com/office/drawing/2014/main" id="{819877DB-E900-F4C5-68FC-03F69675BBE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52" name="Shape 53">
            <a:extLst>
              <a:ext uri="{FF2B5EF4-FFF2-40B4-BE49-F238E27FC236}">
                <a16:creationId xmlns:a16="http://schemas.microsoft.com/office/drawing/2014/main" id="{962878BF-2C73-1C7E-2FA4-BAD2C2215CF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53" name="Shape 54">
            <a:extLst>
              <a:ext uri="{FF2B5EF4-FFF2-40B4-BE49-F238E27FC236}">
                <a16:creationId xmlns:a16="http://schemas.microsoft.com/office/drawing/2014/main" id="{E72FAB75-D481-AABC-2536-991B424BD183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54" name="Shape 55">
            <a:extLst>
              <a:ext uri="{FF2B5EF4-FFF2-40B4-BE49-F238E27FC236}">
                <a16:creationId xmlns:a16="http://schemas.microsoft.com/office/drawing/2014/main" id="{187A3AAE-AE79-9690-29EA-418EEA27597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55" name="Shape 56">
            <a:extLst>
              <a:ext uri="{FF2B5EF4-FFF2-40B4-BE49-F238E27FC236}">
                <a16:creationId xmlns:a16="http://schemas.microsoft.com/office/drawing/2014/main" id="{D3028290-9D78-8090-E025-8AD20CEAD4A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56" name="Shape 57">
            <a:extLst>
              <a:ext uri="{FF2B5EF4-FFF2-40B4-BE49-F238E27FC236}">
                <a16:creationId xmlns:a16="http://schemas.microsoft.com/office/drawing/2014/main" id="{2E3A5C41-CFCD-A031-366A-3884B037148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57" name="Shape 58">
            <a:extLst>
              <a:ext uri="{FF2B5EF4-FFF2-40B4-BE49-F238E27FC236}">
                <a16:creationId xmlns:a16="http://schemas.microsoft.com/office/drawing/2014/main" id="{603C1732-4828-7138-A2A1-9D64963FC97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58" name="Shape 59">
            <a:extLst>
              <a:ext uri="{FF2B5EF4-FFF2-40B4-BE49-F238E27FC236}">
                <a16:creationId xmlns:a16="http://schemas.microsoft.com/office/drawing/2014/main" id="{AEDE15A2-586D-5D44-C35D-50051EFE3F8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59" name="Shape 60">
            <a:extLst>
              <a:ext uri="{FF2B5EF4-FFF2-40B4-BE49-F238E27FC236}">
                <a16:creationId xmlns:a16="http://schemas.microsoft.com/office/drawing/2014/main" id="{A9F560AA-7AC2-B2C6-8E79-2126F0B6534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60" name="Shape 61">
            <a:extLst>
              <a:ext uri="{FF2B5EF4-FFF2-40B4-BE49-F238E27FC236}">
                <a16:creationId xmlns:a16="http://schemas.microsoft.com/office/drawing/2014/main" id="{89ED1F84-8271-C7BD-5E6B-BA4653C057F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349</xdr:row>
      <xdr:rowOff>3962</xdr:rowOff>
    </xdr:from>
    <xdr:ext cx="33655" cy="33655"/>
    <xdr:grpSp>
      <xdr:nvGrpSpPr>
        <xdr:cNvPr id="10361" name="Group 62">
          <a:extLst>
            <a:ext uri="{FF2B5EF4-FFF2-40B4-BE49-F238E27FC236}">
              <a16:creationId xmlns:a16="http://schemas.microsoft.com/office/drawing/2014/main" id="{F011CE99-8BC9-46A0-890F-ADFF3C55FFAE}"/>
            </a:ext>
          </a:extLst>
        </xdr:cNvPr>
        <xdr:cNvGrpSpPr/>
      </xdr:nvGrpSpPr>
      <xdr:grpSpPr>
        <a:xfrm>
          <a:off x="4603072" y="67559634"/>
          <a:ext cx="33655" cy="33655"/>
          <a:chOff x="0" y="0"/>
          <a:chExt cx="33655" cy="33655"/>
        </a:xfrm>
      </xdr:grpSpPr>
      <xdr:sp macro="" textlink="">
        <xdr:nvSpPr>
          <xdr:cNvPr id="10362" name="Shape 63">
            <a:extLst>
              <a:ext uri="{FF2B5EF4-FFF2-40B4-BE49-F238E27FC236}">
                <a16:creationId xmlns:a16="http://schemas.microsoft.com/office/drawing/2014/main" id="{8761DF14-0227-EA91-8338-E4ADF950537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63" name="Shape 64">
            <a:extLst>
              <a:ext uri="{FF2B5EF4-FFF2-40B4-BE49-F238E27FC236}">
                <a16:creationId xmlns:a16="http://schemas.microsoft.com/office/drawing/2014/main" id="{72752F69-F489-703E-7365-53CA5C6ED37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364" name="Shape 65">
            <a:extLst>
              <a:ext uri="{FF2B5EF4-FFF2-40B4-BE49-F238E27FC236}">
                <a16:creationId xmlns:a16="http://schemas.microsoft.com/office/drawing/2014/main" id="{40F32AB2-9B4F-3A63-F6EE-AF69481C11C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65" name="Shape 66">
            <a:extLst>
              <a:ext uri="{FF2B5EF4-FFF2-40B4-BE49-F238E27FC236}">
                <a16:creationId xmlns:a16="http://schemas.microsoft.com/office/drawing/2014/main" id="{468AA2E3-88FD-C3E8-3B86-304B282671A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366" name="Shape 67">
            <a:extLst>
              <a:ext uri="{FF2B5EF4-FFF2-40B4-BE49-F238E27FC236}">
                <a16:creationId xmlns:a16="http://schemas.microsoft.com/office/drawing/2014/main" id="{35FD2C5B-0F9F-D0F2-EFC1-F7521C9A7A9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67" name="Shape 68">
            <a:extLst>
              <a:ext uri="{FF2B5EF4-FFF2-40B4-BE49-F238E27FC236}">
                <a16:creationId xmlns:a16="http://schemas.microsoft.com/office/drawing/2014/main" id="{0FB2562F-752C-7BF8-079F-545EADAF256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368" name="Shape 69">
            <a:extLst>
              <a:ext uri="{FF2B5EF4-FFF2-40B4-BE49-F238E27FC236}">
                <a16:creationId xmlns:a16="http://schemas.microsoft.com/office/drawing/2014/main" id="{12098A08-B1B4-C1BB-E3A9-13AD1EC6D3F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69" name="Shape 70">
            <a:extLst>
              <a:ext uri="{FF2B5EF4-FFF2-40B4-BE49-F238E27FC236}">
                <a16:creationId xmlns:a16="http://schemas.microsoft.com/office/drawing/2014/main" id="{BB4C5121-E597-37FD-1968-FFC2ED8ABD1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370" name="Shape 71">
            <a:extLst>
              <a:ext uri="{FF2B5EF4-FFF2-40B4-BE49-F238E27FC236}">
                <a16:creationId xmlns:a16="http://schemas.microsoft.com/office/drawing/2014/main" id="{5CFDFF44-7FBE-AB70-02E7-9745BF66171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71" name="Shape 72">
            <a:extLst>
              <a:ext uri="{FF2B5EF4-FFF2-40B4-BE49-F238E27FC236}">
                <a16:creationId xmlns:a16="http://schemas.microsoft.com/office/drawing/2014/main" id="{CCD7612C-BADA-FFAA-DA54-702A5532FB4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372" name="Shape 73">
            <a:extLst>
              <a:ext uri="{FF2B5EF4-FFF2-40B4-BE49-F238E27FC236}">
                <a16:creationId xmlns:a16="http://schemas.microsoft.com/office/drawing/2014/main" id="{23E7454F-DB5D-E403-CAAC-6A27E3B15B8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73" name="Shape 74">
            <a:extLst>
              <a:ext uri="{FF2B5EF4-FFF2-40B4-BE49-F238E27FC236}">
                <a16:creationId xmlns:a16="http://schemas.microsoft.com/office/drawing/2014/main" id="{1EED5AF5-12BE-EF0C-D43B-43389D69739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374" name="Shape 75">
            <a:extLst>
              <a:ext uri="{FF2B5EF4-FFF2-40B4-BE49-F238E27FC236}">
                <a16:creationId xmlns:a16="http://schemas.microsoft.com/office/drawing/2014/main" id="{6EB21000-CCED-11C6-E132-DAC85F465B5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375" name="Shape 76">
            <a:extLst>
              <a:ext uri="{FF2B5EF4-FFF2-40B4-BE49-F238E27FC236}">
                <a16:creationId xmlns:a16="http://schemas.microsoft.com/office/drawing/2014/main" id="{1D2A93CE-C915-53C1-68AB-9A694F494C9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349</xdr:row>
      <xdr:rowOff>2978</xdr:rowOff>
    </xdr:from>
    <xdr:ext cx="33655" cy="33655"/>
    <xdr:grpSp>
      <xdr:nvGrpSpPr>
        <xdr:cNvPr id="10376" name="Group 2">
          <a:extLst>
            <a:ext uri="{FF2B5EF4-FFF2-40B4-BE49-F238E27FC236}">
              <a16:creationId xmlns:a16="http://schemas.microsoft.com/office/drawing/2014/main" id="{67D9B731-1E1B-4AAE-8FF8-FF49E4213747}"/>
            </a:ext>
          </a:extLst>
        </xdr:cNvPr>
        <xdr:cNvGrpSpPr/>
      </xdr:nvGrpSpPr>
      <xdr:grpSpPr>
        <a:xfrm>
          <a:off x="4603072" y="67558650"/>
          <a:ext cx="33655" cy="33655"/>
          <a:chOff x="0" y="0"/>
          <a:chExt cx="33655" cy="33655"/>
        </a:xfrm>
      </xdr:grpSpPr>
      <xdr:sp macro="" textlink="">
        <xdr:nvSpPr>
          <xdr:cNvPr id="10377" name="Shape 3">
            <a:extLst>
              <a:ext uri="{FF2B5EF4-FFF2-40B4-BE49-F238E27FC236}">
                <a16:creationId xmlns:a16="http://schemas.microsoft.com/office/drawing/2014/main" id="{7C8DF32F-2AFD-C38C-FD9B-6D53ACB1BA2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78" name="Shape 4">
            <a:extLst>
              <a:ext uri="{FF2B5EF4-FFF2-40B4-BE49-F238E27FC236}">
                <a16:creationId xmlns:a16="http://schemas.microsoft.com/office/drawing/2014/main" id="{A99AA7C2-0864-54D6-BB45-02C5DDDB013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79" name="Shape 5">
            <a:extLst>
              <a:ext uri="{FF2B5EF4-FFF2-40B4-BE49-F238E27FC236}">
                <a16:creationId xmlns:a16="http://schemas.microsoft.com/office/drawing/2014/main" id="{A2965FFC-28D4-66C1-F87D-2A463EFBBDD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80" name="Shape 6">
            <a:extLst>
              <a:ext uri="{FF2B5EF4-FFF2-40B4-BE49-F238E27FC236}">
                <a16:creationId xmlns:a16="http://schemas.microsoft.com/office/drawing/2014/main" id="{4EE7CD65-2A0C-9458-15CE-BD68020843A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81" name="Shape 7">
            <a:extLst>
              <a:ext uri="{FF2B5EF4-FFF2-40B4-BE49-F238E27FC236}">
                <a16:creationId xmlns:a16="http://schemas.microsoft.com/office/drawing/2014/main" id="{925AFCFC-74D0-1E98-0013-1A4643759B89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82" name="Shape 8">
            <a:extLst>
              <a:ext uri="{FF2B5EF4-FFF2-40B4-BE49-F238E27FC236}">
                <a16:creationId xmlns:a16="http://schemas.microsoft.com/office/drawing/2014/main" id="{83B32AB8-7858-41FD-B5A8-DBC1AC23D59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83" name="Shape 9">
            <a:extLst>
              <a:ext uri="{FF2B5EF4-FFF2-40B4-BE49-F238E27FC236}">
                <a16:creationId xmlns:a16="http://schemas.microsoft.com/office/drawing/2014/main" id="{7AA0CEB2-6CA0-094C-C43E-71BE8F0EAC2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84" name="Shape 10">
            <a:extLst>
              <a:ext uri="{FF2B5EF4-FFF2-40B4-BE49-F238E27FC236}">
                <a16:creationId xmlns:a16="http://schemas.microsoft.com/office/drawing/2014/main" id="{252E44C1-0EA8-61D3-F20B-7EF643EDA36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85" name="Shape 11">
            <a:extLst>
              <a:ext uri="{FF2B5EF4-FFF2-40B4-BE49-F238E27FC236}">
                <a16:creationId xmlns:a16="http://schemas.microsoft.com/office/drawing/2014/main" id="{7A3AB79E-248F-6CF6-2D8E-7CD47A5D677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86" name="Shape 12">
            <a:extLst>
              <a:ext uri="{FF2B5EF4-FFF2-40B4-BE49-F238E27FC236}">
                <a16:creationId xmlns:a16="http://schemas.microsoft.com/office/drawing/2014/main" id="{AB457B17-7C78-CB3A-8A72-9F83A77921A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87" name="Shape 13">
            <a:extLst>
              <a:ext uri="{FF2B5EF4-FFF2-40B4-BE49-F238E27FC236}">
                <a16:creationId xmlns:a16="http://schemas.microsoft.com/office/drawing/2014/main" id="{7B8544AB-6205-BF4A-27A9-1A287A22A79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88" name="Shape 14">
            <a:extLst>
              <a:ext uri="{FF2B5EF4-FFF2-40B4-BE49-F238E27FC236}">
                <a16:creationId xmlns:a16="http://schemas.microsoft.com/office/drawing/2014/main" id="{79E0EC37-5B0D-ABB2-4B4A-11FB3A149B6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89" name="Shape 15">
            <a:extLst>
              <a:ext uri="{FF2B5EF4-FFF2-40B4-BE49-F238E27FC236}">
                <a16:creationId xmlns:a16="http://schemas.microsoft.com/office/drawing/2014/main" id="{A0F402B7-DBD7-CD58-2756-E0B934C512F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90" name="Shape 16">
            <a:extLst>
              <a:ext uri="{FF2B5EF4-FFF2-40B4-BE49-F238E27FC236}">
                <a16:creationId xmlns:a16="http://schemas.microsoft.com/office/drawing/2014/main" id="{FADE9CE7-C0A4-292A-4956-C9095442049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349</xdr:row>
      <xdr:rowOff>3246</xdr:rowOff>
    </xdr:from>
    <xdr:ext cx="33655" cy="33655"/>
    <xdr:grpSp>
      <xdr:nvGrpSpPr>
        <xdr:cNvPr id="10391" name="Group 17">
          <a:extLst>
            <a:ext uri="{FF2B5EF4-FFF2-40B4-BE49-F238E27FC236}">
              <a16:creationId xmlns:a16="http://schemas.microsoft.com/office/drawing/2014/main" id="{D161B3D7-AFCF-4F78-B093-AEDF71370558}"/>
            </a:ext>
          </a:extLst>
        </xdr:cNvPr>
        <xdr:cNvGrpSpPr/>
      </xdr:nvGrpSpPr>
      <xdr:grpSpPr>
        <a:xfrm>
          <a:off x="4603072" y="67558918"/>
          <a:ext cx="33655" cy="33655"/>
          <a:chOff x="0" y="0"/>
          <a:chExt cx="33655" cy="33655"/>
        </a:xfrm>
      </xdr:grpSpPr>
      <xdr:sp macro="" textlink="">
        <xdr:nvSpPr>
          <xdr:cNvPr id="10392" name="Shape 18">
            <a:extLst>
              <a:ext uri="{FF2B5EF4-FFF2-40B4-BE49-F238E27FC236}">
                <a16:creationId xmlns:a16="http://schemas.microsoft.com/office/drawing/2014/main" id="{945958A8-F802-7220-A9D6-99EFD95954F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93" name="Shape 19">
            <a:extLst>
              <a:ext uri="{FF2B5EF4-FFF2-40B4-BE49-F238E27FC236}">
                <a16:creationId xmlns:a16="http://schemas.microsoft.com/office/drawing/2014/main" id="{0D1FBB76-344B-BADC-2AEE-5464B3C6D3E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94" name="Shape 20">
            <a:extLst>
              <a:ext uri="{FF2B5EF4-FFF2-40B4-BE49-F238E27FC236}">
                <a16:creationId xmlns:a16="http://schemas.microsoft.com/office/drawing/2014/main" id="{BC692733-1E91-5E5D-17D8-AF5B3B7C205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95" name="Shape 21">
            <a:extLst>
              <a:ext uri="{FF2B5EF4-FFF2-40B4-BE49-F238E27FC236}">
                <a16:creationId xmlns:a16="http://schemas.microsoft.com/office/drawing/2014/main" id="{084DB69F-A43F-12B4-ED43-0128B5985A9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96" name="Shape 22">
            <a:extLst>
              <a:ext uri="{FF2B5EF4-FFF2-40B4-BE49-F238E27FC236}">
                <a16:creationId xmlns:a16="http://schemas.microsoft.com/office/drawing/2014/main" id="{2A147773-523F-25FA-8AB7-FA5D0D8297E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97" name="Shape 23">
            <a:extLst>
              <a:ext uri="{FF2B5EF4-FFF2-40B4-BE49-F238E27FC236}">
                <a16:creationId xmlns:a16="http://schemas.microsoft.com/office/drawing/2014/main" id="{871B2DC3-CB9E-EF0D-0CB2-4756321E8A8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398" name="Shape 24">
            <a:extLst>
              <a:ext uri="{FF2B5EF4-FFF2-40B4-BE49-F238E27FC236}">
                <a16:creationId xmlns:a16="http://schemas.microsoft.com/office/drawing/2014/main" id="{E7035789-5047-4EC1-D703-0676E10F16C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399" name="Shape 25">
            <a:extLst>
              <a:ext uri="{FF2B5EF4-FFF2-40B4-BE49-F238E27FC236}">
                <a16:creationId xmlns:a16="http://schemas.microsoft.com/office/drawing/2014/main" id="{316B9257-5BD5-5E1E-EDCF-69248982E4D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00" name="Shape 26">
            <a:extLst>
              <a:ext uri="{FF2B5EF4-FFF2-40B4-BE49-F238E27FC236}">
                <a16:creationId xmlns:a16="http://schemas.microsoft.com/office/drawing/2014/main" id="{BCA8B435-8BD3-8896-3DA7-21C60E0B903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01" name="Shape 27">
            <a:extLst>
              <a:ext uri="{FF2B5EF4-FFF2-40B4-BE49-F238E27FC236}">
                <a16:creationId xmlns:a16="http://schemas.microsoft.com/office/drawing/2014/main" id="{283CE1C3-3D61-40DD-E645-02038240000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02" name="Shape 28">
            <a:extLst>
              <a:ext uri="{FF2B5EF4-FFF2-40B4-BE49-F238E27FC236}">
                <a16:creationId xmlns:a16="http://schemas.microsoft.com/office/drawing/2014/main" id="{52E114AC-9463-1BCE-6ADF-619C179C5E0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03" name="Shape 29">
            <a:extLst>
              <a:ext uri="{FF2B5EF4-FFF2-40B4-BE49-F238E27FC236}">
                <a16:creationId xmlns:a16="http://schemas.microsoft.com/office/drawing/2014/main" id="{2706E1C6-BC0E-0644-76A4-4D1A62441DB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04" name="Shape 30">
            <a:extLst>
              <a:ext uri="{FF2B5EF4-FFF2-40B4-BE49-F238E27FC236}">
                <a16:creationId xmlns:a16="http://schemas.microsoft.com/office/drawing/2014/main" id="{FD2999B3-A824-B7F2-8165-7C377E3530D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05" name="Shape 31">
            <a:extLst>
              <a:ext uri="{FF2B5EF4-FFF2-40B4-BE49-F238E27FC236}">
                <a16:creationId xmlns:a16="http://schemas.microsoft.com/office/drawing/2014/main" id="{10E80C08-669C-3E26-FAD6-CC4A67C66E6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349</xdr:row>
      <xdr:rowOff>3703</xdr:rowOff>
    </xdr:from>
    <xdr:ext cx="33655" cy="33655"/>
    <xdr:grpSp>
      <xdr:nvGrpSpPr>
        <xdr:cNvPr id="10406" name="Group 32">
          <a:extLst>
            <a:ext uri="{FF2B5EF4-FFF2-40B4-BE49-F238E27FC236}">
              <a16:creationId xmlns:a16="http://schemas.microsoft.com/office/drawing/2014/main" id="{F9F4C90D-5C6D-49AF-953E-4FD31953C05D}"/>
            </a:ext>
          </a:extLst>
        </xdr:cNvPr>
        <xdr:cNvGrpSpPr/>
      </xdr:nvGrpSpPr>
      <xdr:grpSpPr>
        <a:xfrm>
          <a:off x="4603072" y="67559375"/>
          <a:ext cx="33655" cy="33655"/>
          <a:chOff x="0" y="0"/>
          <a:chExt cx="33655" cy="33655"/>
        </a:xfrm>
      </xdr:grpSpPr>
      <xdr:sp macro="" textlink="">
        <xdr:nvSpPr>
          <xdr:cNvPr id="10407" name="Shape 33">
            <a:extLst>
              <a:ext uri="{FF2B5EF4-FFF2-40B4-BE49-F238E27FC236}">
                <a16:creationId xmlns:a16="http://schemas.microsoft.com/office/drawing/2014/main" id="{10A658C3-403E-DD92-BA78-F9238AD6B25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08" name="Shape 34">
            <a:extLst>
              <a:ext uri="{FF2B5EF4-FFF2-40B4-BE49-F238E27FC236}">
                <a16:creationId xmlns:a16="http://schemas.microsoft.com/office/drawing/2014/main" id="{3312BB1D-4C33-E9C7-AC8A-86CF73F654E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09" name="Shape 35">
            <a:extLst>
              <a:ext uri="{FF2B5EF4-FFF2-40B4-BE49-F238E27FC236}">
                <a16:creationId xmlns:a16="http://schemas.microsoft.com/office/drawing/2014/main" id="{D06484E4-92B5-238F-AC56-261A5BD5399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10" name="Shape 36">
            <a:extLst>
              <a:ext uri="{FF2B5EF4-FFF2-40B4-BE49-F238E27FC236}">
                <a16:creationId xmlns:a16="http://schemas.microsoft.com/office/drawing/2014/main" id="{AF1F45C6-3378-F652-C84B-9E36A81A563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11" name="Shape 37">
            <a:extLst>
              <a:ext uri="{FF2B5EF4-FFF2-40B4-BE49-F238E27FC236}">
                <a16:creationId xmlns:a16="http://schemas.microsoft.com/office/drawing/2014/main" id="{81FBD075-622F-7461-6DEB-F86686EE588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12" name="Shape 38">
            <a:extLst>
              <a:ext uri="{FF2B5EF4-FFF2-40B4-BE49-F238E27FC236}">
                <a16:creationId xmlns:a16="http://schemas.microsoft.com/office/drawing/2014/main" id="{940B4AD9-5021-9A34-2862-F0BB6296484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13" name="Shape 39">
            <a:extLst>
              <a:ext uri="{FF2B5EF4-FFF2-40B4-BE49-F238E27FC236}">
                <a16:creationId xmlns:a16="http://schemas.microsoft.com/office/drawing/2014/main" id="{49BDFF6E-C749-EE1E-56CE-4F64C8750D5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14" name="Shape 40">
            <a:extLst>
              <a:ext uri="{FF2B5EF4-FFF2-40B4-BE49-F238E27FC236}">
                <a16:creationId xmlns:a16="http://schemas.microsoft.com/office/drawing/2014/main" id="{08F5A61A-D4A5-3D66-4759-F2C074CBF92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15" name="Shape 41">
            <a:extLst>
              <a:ext uri="{FF2B5EF4-FFF2-40B4-BE49-F238E27FC236}">
                <a16:creationId xmlns:a16="http://schemas.microsoft.com/office/drawing/2014/main" id="{36D61A2E-D5FD-B206-F329-E4DB9761E12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16" name="Shape 42">
            <a:extLst>
              <a:ext uri="{FF2B5EF4-FFF2-40B4-BE49-F238E27FC236}">
                <a16:creationId xmlns:a16="http://schemas.microsoft.com/office/drawing/2014/main" id="{AA2D4520-6580-B0AD-4266-994538C6A0E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17" name="Shape 43">
            <a:extLst>
              <a:ext uri="{FF2B5EF4-FFF2-40B4-BE49-F238E27FC236}">
                <a16:creationId xmlns:a16="http://schemas.microsoft.com/office/drawing/2014/main" id="{6BF2D4F1-0803-AA63-0142-BBE509392D3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18" name="Shape 44">
            <a:extLst>
              <a:ext uri="{FF2B5EF4-FFF2-40B4-BE49-F238E27FC236}">
                <a16:creationId xmlns:a16="http://schemas.microsoft.com/office/drawing/2014/main" id="{5EDE8570-AB9D-8F4F-84B8-F5EBAF91981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19" name="Shape 45">
            <a:extLst>
              <a:ext uri="{FF2B5EF4-FFF2-40B4-BE49-F238E27FC236}">
                <a16:creationId xmlns:a16="http://schemas.microsoft.com/office/drawing/2014/main" id="{7F5FF649-6471-D64B-45E2-CFFDD8FCBA3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20" name="Shape 46">
            <a:extLst>
              <a:ext uri="{FF2B5EF4-FFF2-40B4-BE49-F238E27FC236}">
                <a16:creationId xmlns:a16="http://schemas.microsoft.com/office/drawing/2014/main" id="{77355F47-F42E-336F-75DF-89A521332A2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349</xdr:row>
      <xdr:rowOff>3409</xdr:rowOff>
    </xdr:from>
    <xdr:ext cx="33655" cy="33655"/>
    <xdr:grpSp>
      <xdr:nvGrpSpPr>
        <xdr:cNvPr id="10421" name="Group 47">
          <a:extLst>
            <a:ext uri="{FF2B5EF4-FFF2-40B4-BE49-F238E27FC236}">
              <a16:creationId xmlns:a16="http://schemas.microsoft.com/office/drawing/2014/main" id="{B3A85F93-FDE8-426B-BE2C-745BE431F225}"/>
            </a:ext>
          </a:extLst>
        </xdr:cNvPr>
        <xdr:cNvGrpSpPr/>
      </xdr:nvGrpSpPr>
      <xdr:grpSpPr>
        <a:xfrm>
          <a:off x="4603072" y="67559081"/>
          <a:ext cx="33655" cy="33655"/>
          <a:chOff x="0" y="0"/>
          <a:chExt cx="33655" cy="33655"/>
        </a:xfrm>
      </xdr:grpSpPr>
      <xdr:sp macro="" textlink="">
        <xdr:nvSpPr>
          <xdr:cNvPr id="10422" name="Shape 48">
            <a:extLst>
              <a:ext uri="{FF2B5EF4-FFF2-40B4-BE49-F238E27FC236}">
                <a16:creationId xmlns:a16="http://schemas.microsoft.com/office/drawing/2014/main" id="{00BDC864-B174-30D1-EB14-78678C536C6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23" name="Shape 49">
            <a:extLst>
              <a:ext uri="{FF2B5EF4-FFF2-40B4-BE49-F238E27FC236}">
                <a16:creationId xmlns:a16="http://schemas.microsoft.com/office/drawing/2014/main" id="{008A064E-BCA6-37F3-B4F9-ABA349E918A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24" name="Shape 50">
            <a:extLst>
              <a:ext uri="{FF2B5EF4-FFF2-40B4-BE49-F238E27FC236}">
                <a16:creationId xmlns:a16="http://schemas.microsoft.com/office/drawing/2014/main" id="{A25C5BDC-3377-C373-D218-A302D6D9F63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25" name="Shape 51">
            <a:extLst>
              <a:ext uri="{FF2B5EF4-FFF2-40B4-BE49-F238E27FC236}">
                <a16:creationId xmlns:a16="http://schemas.microsoft.com/office/drawing/2014/main" id="{B5C3CE0D-86B5-1DC8-4330-D369D1DAA7D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26" name="Shape 52">
            <a:extLst>
              <a:ext uri="{FF2B5EF4-FFF2-40B4-BE49-F238E27FC236}">
                <a16:creationId xmlns:a16="http://schemas.microsoft.com/office/drawing/2014/main" id="{EA3A2FCA-A6BB-D602-680B-377F4738C17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27" name="Shape 53">
            <a:extLst>
              <a:ext uri="{FF2B5EF4-FFF2-40B4-BE49-F238E27FC236}">
                <a16:creationId xmlns:a16="http://schemas.microsoft.com/office/drawing/2014/main" id="{CBBF0E29-7957-F8B6-305C-15DE9E7CE28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28" name="Shape 54">
            <a:extLst>
              <a:ext uri="{FF2B5EF4-FFF2-40B4-BE49-F238E27FC236}">
                <a16:creationId xmlns:a16="http://schemas.microsoft.com/office/drawing/2014/main" id="{1A8DD198-EF91-6282-2DBF-92DE52305926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29" name="Shape 55">
            <a:extLst>
              <a:ext uri="{FF2B5EF4-FFF2-40B4-BE49-F238E27FC236}">
                <a16:creationId xmlns:a16="http://schemas.microsoft.com/office/drawing/2014/main" id="{11348531-348C-5A75-5F79-A47FAB8BDD9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30" name="Shape 56">
            <a:extLst>
              <a:ext uri="{FF2B5EF4-FFF2-40B4-BE49-F238E27FC236}">
                <a16:creationId xmlns:a16="http://schemas.microsoft.com/office/drawing/2014/main" id="{314716C0-401E-EBB9-E44E-5E53A575C36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31" name="Shape 57">
            <a:extLst>
              <a:ext uri="{FF2B5EF4-FFF2-40B4-BE49-F238E27FC236}">
                <a16:creationId xmlns:a16="http://schemas.microsoft.com/office/drawing/2014/main" id="{35788E97-0163-CDC2-8A8A-2D924310EE1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32" name="Shape 58">
            <a:extLst>
              <a:ext uri="{FF2B5EF4-FFF2-40B4-BE49-F238E27FC236}">
                <a16:creationId xmlns:a16="http://schemas.microsoft.com/office/drawing/2014/main" id="{9E431798-8FAA-CBFF-A86F-8C1714296F8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33" name="Shape 59">
            <a:extLst>
              <a:ext uri="{FF2B5EF4-FFF2-40B4-BE49-F238E27FC236}">
                <a16:creationId xmlns:a16="http://schemas.microsoft.com/office/drawing/2014/main" id="{C60C0A36-2246-9B92-A7AB-429B301E714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34" name="Shape 60">
            <a:extLst>
              <a:ext uri="{FF2B5EF4-FFF2-40B4-BE49-F238E27FC236}">
                <a16:creationId xmlns:a16="http://schemas.microsoft.com/office/drawing/2014/main" id="{C4DE771C-C187-3A45-14AA-22D6E74BC56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35" name="Shape 61">
            <a:extLst>
              <a:ext uri="{FF2B5EF4-FFF2-40B4-BE49-F238E27FC236}">
                <a16:creationId xmlns:a16="http://schemas.microsoft.com/office/drawing/2014/main" id="{6A295354-95CA-6BBF-7531-8671FF4A366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349</xdr:row>
      <xdr:rowOff>3962</xdr:rowOff>
    </xdr:from>
    <xdr:ext cx="33655" cy="33655"/>
    <xdr:grpSp>
      <xdr:nvGrpSpPr>
        <xdr:cNvPr id="10436" name="Group 62">
          <a:extLst>
            <a:ext uri="{FF2B5EF4-FFF2-40B4-BE49-F238E27FC236}">
              <a16:creationId xmlns:a16="http://schemas.microsoft.com/office/drawing/2014/main" id="{EFA1D9F9-65B7-4E65-9B3D-FF6FB328C277}"/>
            </a:ext>
          </a:extLst>
        </xdr:cNvPr>
        <xdr:cNvGrpSpPr/>
      </xdr:nvGrpSpPr>
      <xdr:grpSpPr>
        <a:xfrm>
          <a:off x="4603072" y="67559634"/>
          <a:ext cx="33655" cy="33655"/>
          <a:chOff x="0" y="0"/>
          <a:chExt cx="33655" cy="33655"/>
        </a:xfrm>
      </xdr:grpSpPr>
      <xdr:sp macro="" textlink="">
        <xdr:nvSpPr>
          <xdr:cNvPr id="10437" name="Shape 63">
            <a:extLst>
              <a:ext uri="{FF2B5EF4-FFF2-40B4-BE49-F238E27FC236}">
                <a16:creationId xmlns:a16="http://schemas.microsoft.com/office/drawing/2014/main" id="{984A6A5C-740A-F761-E988-A24D8DA95E5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38" name="Shape 64">
            <a:extLst>
              <a:ext uri="{FF2B5EF4-FFF2-40B4-BE49-F238E27FC236}">
                <a16:creationId xmlns:a16="http://schemas.microsoft.com/office/drawing/2014/main" id="{0B3307FC-BBF6-597D-0165-F9D6BAD449F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439" name="Shape 65">
            <a:extLst>
              <a:ext uri="{FF2B5EF4-FFF2-40B4-BE49-F238E27FC236}">
                <a16:creationId xmlns:a16="http://schemas.microsoft.com/office/drawing/2014/main" id="{1DBC79C3-0014-FA39-399E-1F5A32F3EE2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40" name="Shape 66">
            <a:extLst>
              <a:ext uri="{FF2B5EF4-FFF2-40B4-BE49-F238E27FC236}">
                <a16:creationId xmlns:a16="http://schemas.microsoft.com/office/drawing/2014/main" id="{9416E2D6-1112-7DDC-6FD2-A1714A46105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441" name="Shape 67">
            <a:extLst>
              <a:ext uri="{FF2B5EF4-FFF2-40B4-BE49-F238E27FC236}">
                <a16:creationId xmlns:a16="http://schemas.microsoft.com/office/drawing/2014/main" id="{E40BF0A7-A454-62CD-ED09-99998820F1C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42" name="Shape 68">
            <a:extLst>
              <a:ext uri="{FF2B5EF4-FFF2-40B4-BE49-F238E27FC236}">
                <a16:creationId xmlns:a16="http://schemas.microsoft.com/office/drawing/2014/main" id="{16A78DA7-A988-D9EE-48EB-7EB52326CEA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443" name="Shape 69">
            <a:extLst>
              <a:ext uri="{FF2B5EF4-FFF2-40B4-BE49-F238E27FC236}">
                <a16:creationId xmlns:a16="http://schemas.microsoft.com/office/drawing/2014/main" id="{D27724F8-5D7B-46BA-E529-066D9737229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44" name="Shape 70">
            <a:extLst>
              <a:ext uri="{FF2B5EF4-FFF2-40B4-BE49-F238E27FC236}">
                <a16:creationId xmlns:a16="http://schemas.microsoft.com/office/drawing/2014/main" id="{28DD81E8-5849-20F3-F3F6-90D46FCEAC9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445" name="Shape 71">
            <a:extLst>
              <a:ext uri="{FF2B5EF4-FFF2-40B4-BE49-F238E27FC236}">
                <a16:creationId xmlns:a16="http://schemas.microsoft.com/office/drawing/2014/main" id="{D4AFB1D6-B2B4-77FC-3C50-4337F2E2326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46" name="Shape 72">
            <a:extLst>
              <a:ext uri="{FF2B5EF4-FFF2-40B4-BE49-F238E27FC236}">
                <a16:creationId xmlns:a16="http://schemas.microsoft.com/office/drawing/2014/main" id="{C93DA244-641A-625E-39E5-41F2DCD1FF6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447" name="Shape 73">
            <a:extLst>
              <a:ext uri="{FF2B5EF4-FFF2-40B4-BE49-F238E27FC236}">
                <a16:creationId xmlns:a16="http://schemas.microsoft.com/office/drawing/2014/main" id="{ED44B01B-3B12-84EF-5925-F44E997C4C4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48" name="Shape 74">
            <a:extLst>
              <a:ext uri="{FF2B5EF4-FFF2-40B4-BE49-F238E27FC236}">
                <a16:creationId xmlns:a16="http://schemas.microsoft.com/office/drawing/2014/main" id="{525AC3F4-822F-2BAF-990B-124CFE99360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449" name="Shape 75">
            <a:extLst>
              <a:ext uri="{FF2B5EF4-FFF2-40B4-BE49-F238E27FC236}">
                <a16:creationId xmlns:a16="http://schemas.microsoft.com/office/drawing/2014/main" id="{7872B684-D74C-6E7F-D85E-A56ADCCD1BE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450" name="Shape 76">
            <a:extLst>
              <a:ext uri="{FF2B5EF4-FFF2-40B4-BE49-F238E27FC236}">
                <a16:creationId xmlns:a16="http://schemas.microsoft.com/office/drawing/2014/main" id="{5D69B431-0E67-9070-EF08-707EB21ACA7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368</xdr:row>
      <xdr:rowOff>2978</xdr:rowOff>
    </xdr:from>
    <xdr:ext cx="33655" cy="33655"/>
    <xdr:grpSp>
      <xdr:nvGrpSpPr>
        <xdr:cNvPr id="10451" name="Group 2">
          <a:extLst>
            <a:ext uri="{FF2B5EF4-FFF2-40B4-BE49-F238E27FC236}">
              <a16:creationId xmlns:a16="http://schemas.microsoft.com/office/drawing/2014/main" id="{76CA9190-6DF2-4F3D-A588-C6C5C438799C}"/>
            </a:ext>
          </a:extLst>
        </xdr:cNvPr>
        <xdr:cNvGrpSpPr/>
      </xdr:nvGrpSpPr>
      <xdr:grpSpPr>
        <a:xfrm>
          <a:off x="4603072" y="70893962"/>
          <a:ext cx="33655" cy="33655"/>
          <a:chOff x="0" y="0"/>
          <a:chExt cx="33655" cy="33655"/>
        </a:xfrm>
      </xdr:grpSpPr>
      <xdr:sp macro="" textlink="">
        <xdr:nvSpPr>
          <xdr:cNvPr id="10452" name="Shape 3">
            <a:extLst>
              <a:ext uri="{FF2B5EF4-FFF2-40B4-BE49-F238E27FC236}">
                <a16:creationId xmlns:a16="http://schemas.microsoft.com/office/drawing/2014/main" id="{755DB25E-D13E-B213-3D70-8E54724CEA8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53" name="Shape 4">
            <a:extLst>
              <a:ext uri="{FF2B5EF4-FFF2-40B4-BE49-F238E27FC236}">
                <a16:creationId xmlns:a16="http://schemas.microsoft.com/office/drawing/2014/main" id="{EFAC4653-A499-C47D-9B0A-9261BB63DA2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54" name="Shape 5">
            <a:extLst>
              <a:ext uri="{FF2B5EF4-FFF2-40B4-BE49-F238E27FC236}">
                <a16:creationId xmlns:a16="http://schemas.microsoft.com/office/drawing/2014/main" id="{853DADE9-B786-82B3-9144-C2184A6775A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55" name="Shape 6">
            <a:extLst>
              <a:ext uri="{FF2B5EF4-FFF2-40B4-BE49-F238E27FC236}">
                <a16:creationId xmlns:a16="http://schemas.microsoft.com/office/drawing/2014/main" id="{FC4586F8-6EB1-F5CA-69BD-F4B3DF245B7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56" name="Shape 7">
            <a:extLst>
              <a:ext uri="{FF2B5EF4-FFF2-40B4-BE49-F238E27FC236}">
                <a16:creationId xmlns:a16="http://schemas.microsoft.com/office/drawing/2014/main" id="{C44A9EF1-EA58-FC5F-3AF8-99CC382AE5A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57" name="Shape 8">
            <a:extLst>
              <a:ext uri="{FF2B5EF4-FFF2-40B4-BE49-F238E27FC236}">
                <a16:creationId xmlns:a16="http://schemas.microsoft.com/office/drawing/2014/main" id="{8868741C-FC06-1B9F-64A8-8F816260F10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58" name="Shape 9">
            <a:extLst>
              <a:ext uri="{FF2B5EF4-FFF2-40B4-BE49-F238E27FC236}">
                <a16:creationId xmlns:a16="http://schemas.microsoft.com/office/drawing/2014/main" id="{2FDD8FE9-156A-3E16-0CD6-C262888EECD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59" name="Shape 10">
            <a:extLst>
              <a:ext uri="{FF2B5EF4-FFF2-40B4-BE49-F238E27FC236}">
                <a16:creationId xmlns:a16="http://schemas.microsoft.com/office/drawing/2014/main" id="{45100418-FD88-A454-3B56-57BC2A6E24A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60" name="Shape 11">
            <a:extLst>
              <a:ext uri="{FF2B5EF4-FFF2-40B4-BE49-F238E27FC236}">
                <a16:creationId xmlns:a16="http://schemas.microsoft.com/office/drawing/2014/main" id="{276D299A-39BB-AEF0-AAF9-4F0376C1026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61" name="Shape 12">
            <a:extLst>
              <a:ext uri="{FF2B5EF4-FFF2-40B4-BE49-F238E27FC236}">
                <a16:creationId xmlns:a16="http://schemas.microsoft.com/office/drawing/2014/main" id="{399F181C-A5E9-0426-2AEB-5430C2746D8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62" name="Shape 13">
            <a:extLst>
              <a:ext uri="{FF2B5EF4-FFF2-40B4-BE49-F238E27FC236}">
                <a16:creationId xmlns:a16="http://schemas.microsoft.com/office/drawing/2014/main" id="{63B07016-563C-1ACC-8F65-801DAACD78B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63" name="Shape 14">
            <a:extLst>
              <a:ext uri="{FF2B5EF4-FFF2-40B4-BE49-F238E27FC236}">
                <a16:creationId xmlns:a16="http://schemas.microsoft.com/office/drawing/2014/main" id="{CC10B7B4-B493-5F23-E07E-A3C4EFC08D8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64" name="Shape 15">
            <a:extLst>
              <a:ext uri="{FF2B5EF4-FFF2-40B4-BE49-F238E27FC236}">
                <a16:creationId xmlns:a16="http://schemas.microsoft.com/office/drawing/2014/main" id="{07653F9C-2878-30D6-01E2-C9BF876AD7E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65" name="Shape 16">
            <a:extLst>
              <a:ext uri="{FF2B5EF4-FFF2-40B4-BE49-F238E27FC236}">
                <a16:creationId xmlns:a16="http://schemas.microsoft.com/office/drawing/2014/main" id="{0D4E935A-8C18-612C-20AF-DA63FD17C8D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368</xdr:row>
      <xdr:rowOff>3246</xdr:rowOff>
    </xdr:from>
    <xdr:ext cx="33655" cy="33655"/>
    <xdr:grpSp>
      <xdr:nvGrpSpPr>
        <xdr:cNvPr id="10466" name="Group 17">
          <a:extLst>
            <a:ext uri="{FF2B5EF4-FFF2-40B4-BE49-F238E27FC236}">
              <a16:creationId xmlns:a16="http://schemas.microsoft.com/office/drawing/2014/main" id="{891F7480-5D47-4D16-9375-0085B8474E2C}"/>
            </a:ext>
          </a:extLst>
        </xdr:cNvPr>
        <xdr:cNvGrpSpPr/>
      </xdr:nvGrpSpPr>
      <xdr:grpSpPr>
        <a:xfrm>
          <a:off x="4603072" y="70894230"/>
          <a:ext cx="33655" cy="33655"/>
          <a:chOff x="0" y="0"/>
          <a:chExt cx="33655" cy="33655"/>
        </a:xfrm>
      </xdr:grpSpPr>
      <xdr:sp macro="" textlink="">
        <xdr:nvSpPr>
          <xdr:cNvPr id="10467" name="Shape 18">
            <a:extLst>
              <a:ext uri="{FF2B5EF4-FFF2-40B4-BE49-F238E27FC236}">
                <a16:creationId xmlns:a16="http://schemas.microsoft.com/office/drawing/2014/main" id="{411130B9-349D-4687-03D0-2A563EE9894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68" name="Shape 19">
            <a:extLst>
              <a:ext uri="{FF2B5EF4-FFF2-40B4-BE49-F238E27FC236}">
                <a16:creationId xmlns:a16="http://schemas.microsoft.com/office/drawing/2014/main" id="{AAEFF876-8406-3E4C-CD25-019382A0B8D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69" name="Shape 20">
            <a:extLst>
              <a:ext uri="{FF2B5EF4-FFF2-40B4-BE49-F238E27FC236}">
                <a16:creationId xmlns:a16="http://schemas.microsoft.com/office/drawing/2014/main" id="{81E52BF5-5B5A-12A8-8C3C-60B19A23BD5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70" name="Shape 21">
            <a:extLst>
              <a:ext uri="{FF2B5EF4-FFF2-40B4-BE49-F238E27FC236}">
                <a16:creationId xmlns:a16="http://schemas.microsoft.com/office/drawing/2014/main" id="{1ED6142C-C5BC-F90C-4E8B-331782BBA77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71" name="Shape 22">
            <a:extLst>
              <a:ext uri="{FF2B5EF4-FFF2-40B4-BE49-F238E27FC236}">
                <a16:creationId xmlns:a16="http://schemas.microsoft.com/office/drawing/2014/main" id="{A9CA4817-0E9C-1869-1B6D-BFEA8E65B5B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72" name="Shape 23">
            <a:extLst>
              <a:ext uri="{FF2B5EF4-FFF2-40B4-BE49-F238E27FC236}">
                <a16:creationId xmlns:a16="http://schemas.microsoft.com/office/drawing/2014/main" id="{58CB1935-9997-EE89-DE00-32CB4E7214D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73" name="Shape 24">
            <a:extLst>
              <a:ext uri="{FF2B5EF4-FFF2-40B4-BE49-F238E27FC236}">
                <a16:creationId xmlns:a16="http://schemas.microsoft.com/office/drawing/2014/main" id="{0778224B-377A-AD63-1812-7C01FF5A51C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74" name="Shape 25">
            <a:extLst>
              <a:ext uri="{FF2B5EF4-FFF2-40B4-BE49-F238E27FC236}">
                <a16:creationId xmlns:a16="http://schemas.microsoft.com/office/drawing/2014/main" id="{6868BF41-05FD-4457-0E13-6FD244F933E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75" name="Shape 26">
            <a:extLst>
              <a:ext uri="{FF2B5EF4-FFF2-40B4-BE49-F238E27FC236}">
                <a16:creationId xmlns:a16="http://schemas.microsoft.com/office/drawing/2014/main" id="{23F3D99F-1821-F444-B8E7-38A87A825B9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76" name="Shape 27">
            <a:extLst>
              <a:ext uri="{FF2B5EF4-FFF2-40B4-BE49-F238E27FC236}">
                <a16:creationId xmlns:a16="http://schemas.microsoft.com/office/drawing/2014/main" id="{0F05BD27-5F88-35C1-13A3-1F2BCF0EFD1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77" name="Shape 28">
            <a:extLst>
              <a:ext uri="{FF2B5EF4-FFF2-40B4-BE49-F238E27FC236}">
                <a16:creationId xmlns:a16="http://schemas.microsoft.com/office/drawing/2014/main" id="{2994780C-F038-4D84-D43C-1AFA355E13B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78" name="Shape 29">
            <a:extLst>
              <a:ext uri="{FF2B5EF4-FFF2-40B4-BE49-F238E27FC236}">
                <a16:creationId xmlns:a16="http://schemas.microsoft.com/office/drawing/2014/main" id="{CB5743E4-B5D8-4350-E168-B16F3D96C78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79" name="Shape 30">
            <a:extLst>
              <a:ext uri="{FF2B5EF4-FFF2-40B4-BE49-F238E27FC236}">
                <a16:creationId xmlns:a16="http://schemas.microsoft.com/office/drawing/2014/main" id="{F7D5924B-67C4-C69A-E9F0-A677405DB0E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80" name="Shape 31">
            <a:extLst>
              <a:ext uri="{FF2B5EF4-FFF2-40B4-BE49-F238E27FC236}">
                <a16:creationId xmlns:a16="http://schemas.microsoft.com/office/drawing/2014/main" id="{71693162-ABC3-15A7-0D21-8AD0E513143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368</xdr:row>
      <xdr:rowOff>3703</xdr:rowOff>
    </xdr:from>
    <xdr:ext cx="33655" cy="33655"/>
    <xdr:grpSp>
      <xdr:nvGrpSpPr>
        <xdr:cNvPr id="10481" name="Group 32">
          <a:extLst>
            <a:ext uri="{FF2B5EF4-FFF2-40B4-BE49-F238E27FC236}">
              <a16:creationId xmlns:a16="http://schemas.microsoft.com/office/drawing/2014/main" id="{ABEB3B82-B46B-460C-834F-F2C638F9B853}"/>
            </a:ext>
          </a:extLst>
        </xdr:cNvPr>
        <xdr:cNvGrpSpPr/>
      </xdr:nvGrpSpPr>
      <xdr:grpSpPr>
        <a:xfrm>
          <a:off x="4603072" y="70894687"/>
          <a:ext cx="33655" cy="33655"/>
          <a:chOff x="0" y="0"/>
          <a:chExt cx="33655" cy="33655"/>
        </a:xfrm>
      </xdr:grpSpPr>
      <xdr:sp macro="" textlink="">
        <xdr:nvSpPr>
          <xdr:cNvPr id="10482" name="Shape 33">
            <a:extLst>
              <a:ext uri="{FF2B5EF4-FFF2-40B4-BE49-F238E27FC236}">
                <a16:creationId xmlns:a16="http://schemas.microsoft.com/office/drawing/2014/main" id="{64146652-FB3D-005E-6EE3-FB3EE62041C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83" name="Shape 34">
            <a:extLst>
              <a:ext uri="{FF2B5EF4-FFF2-40B4-BE49-F238E27FC236}">
                <a16:creationId xmlns:a16="http://schemas.microsoft.com/office/drawing/2014/main" id="{2C01E2B0-B138-F48D-AF95-DCAF6069C6F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84" name="Shape 35">
            <a:extLst>
              <a:ext uri="{FF2B5EF4-FFF2-40B4-BE49-F238E27FC236}">
                <a16:creationId xmlns:a16="http://schemas.microsoft.com/office/drawing/2014/main" id="{71F32A14-8117-136C-F4DF-E9685136A3F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85" name="Shape 36">
            <a:extLst>
              <a:ext uri="{FF2B5EF4-FFF2-40B4-BE49-F238E27FC236}">
                <a16:creationId xmlns:a16="http://schemas.microsoft.com/office/drawing/2014/main" id="{0A0085EB-553E-8F3D-5B37-245ECEE8FC5F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86" name="Shape 37">
            <a:extLst>
              <a:ext uri="{FF2B5EF4-FFF2-40B4-BE49-F238E27FC236}">
                <a16:creationId xmlns:a16="http://schemas.microsoft.com/office/drawing/2014/main" id="{08DE2448-596B-8DC1-B6C5-7229EAAB1DB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87" name="Shape 38">
            <a:extLst>
              <a:ext uri="{FF2B5EF4-FFF2-40B4-BE49-F238E27FC236}">
                <a16:creationId xmlns:a16="http://schemas.microsoft.com/office/drawing/2014/main" id="{C4803632-0C24-FF5F-8187-A5CE1DB1B97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88" name="Shape 39">
            <a:extLst>
              <a:ext uri="{FF2B5EF4-FFF2-40B4-BE49-F238E27FC236}">
                <a16:creationId xmlns:a16="http://schemas.microsoft.com/office/drawing/2014/main" id="{5AB91DCC-9C62-08B8-DE6B-7527EEF34E7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89" name="Shape 40">
            <a:extLst>
              <a:ext uri="{FF2B5EF4-FFF2-40B4-BE49-F238E27FC236}">
                <a16:creationId xmlns:a16="http://schemas.microsoft.com/office/drawing/2014/main" id="{643A4C88-16E3-CE44-BBCF-C7B9F49CD55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90" name="Shape 41">
            <a:extLst>
              <a:ext uri="{FF2B5EF4-FFF2-40B4-BE49-F238E27FC236}">
                <a16:creationId xmlns:a16="http://schemas.microsoft.com/office/drawing/2014/main" id="{B26D248B-9761-3F08-1A27-9D933F7B5F7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91" name="Shape 42">
            <a:extLst>
              <a:ext uri="{FF2B5EF4-FFF2-40B4-BE49-F238E27FC236}">
                <a16:creationId xmlns:a16="http://schemas.microsoft.com/office/drawing/2014/main" id="{0ED79580-7A5A-D80B-8260-EDA66F066FF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92" name="Shape 43">
            <a:extLst>
              <a:ext uri="{FF2B5EF4-FFF2-40B4-BE49-F238E27FC236}">
                <a16:creationId xmlns:a16="http://schemas.microsoft.com/office/drawing/2014/main" id="{43A15DAB-3D47-4CC9-4418-0F2760A7C62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93" name="Shape 44">
            <a:extLst>
              <a:ext uri="{FF2B5EF4-FFF2-40B4-BE49-F238E27FC236}">
                <a16:creationId xmlns:a16="http://schemas.microsoft.com/office/drawing/2014/main" id="{55A816DF-EC06-8E45-B6C1-DDD1B6714C1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94" name="Shape 45">
            <a:extLst>
              <a:ext uri="{FF2B5EF4-FFF2-40B4-BE49-F238E27FC236}">
                <a16:creationId xmlns:a16="http://schemas.microsoft.com/office/drawing/2014/main" id="{273FD8E0-90E3-AC59-7D3E-B02347A7B7C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95" name="Shape 46">
            <a:extLst>
              <a:ext uri="{FF2B5EF4-FFF2-40B4-BE49-F238E27FC236}">
                <a16:creationId xmlns:a16="http://schemas.microsoft.com/office/drawing/2014/main" id="{9BE59CDB-8743-8621-2D19-EB67FEBE11D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368</xdr:row>
      <xdr:rowOff>3409</xdr:rowOff>
    </xdr:from>
    <xdr:ext cx="33655" cy="33655"/>
    <xdr:grpSp>
      <xdr:nvGrpSpPr>
        <xdr:cNvPr id="10496" name="Group 47">
          <a:extLst>
            <a:ext uri="{FF2B5EF4-FFF2-40B4-BE49-F238E27FC236}">
              <a16:creationId xmlns:a16="http://schemas.microsoft.com/office/drawing/2014/main" id="{5E87A888-F7B9-45F6-ABC2-C176AC890155}"/>
            </a:ext>
          </a:extLst>
        </xdr:cNvPr>
        <xdr:cNvGrpSpPr/>
      </xdr:nvGrpSpPr>
      <xdr:grpSpPr>
        <a:xfrm>
          <a:off x="4603072" y="70894393"/>
          <a:ext cx="33655" cy="33655"/>
          <a:chOff x="0" y="0"/>
          <a:chExt cx="33655" cy="33655"/>
        </a:xfrm>
      </xdr:grpSpPr>
      <xdr:sp macro="" textlink="">
        <xdr:nvSpPr>
          <xdr:cNvPr id="10497" name="Shape 48">
            <a:extLst>
              <a:ext uri="{FF2B5EF4-FFF2-40B4-BE49-F238E27FC236}">
                <a16:creationId xmlns:a16="http://schemas.microsoft.com/office/drawing/2014/main" id="{3CD1CA4D-BD47-1D31-C37B-E445E6E7029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498" name="Shape 49">
            <a:extLst>
              <a:ext uri="{FF2B5EF4-FFF2-40B4-BE49-F238E27FC236}">
                <a16:creationId xmlns:a16="http://schemas.microsoft.com/office/drawing/2014/main" id="{CBF283DC-2B7D-71F4-BBD4-21D553A1A63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499" name="Shape 50">
            <a:extLst>
              <a:ext uri="{FF2B5EF4-FFF2-40B4-BE49-F238E27FC236}">
                <a16:creationId xmlns:a16="http://schemas.microsoft.com/office/drawing/2014/main" id="{A1B6E433-4297-8F99-AAE3-35128D27B4E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00" name="Shape 51">
            <a:extLst>
              <a:ext uri="{FF2B5EF4-FFF2-40B4-BE49-F238E27FC236}">
                <a16:creationId xmlns:a16="http://schemas.microsoft.com/office/drawing/2014/main" id="{11542039-3B0A-8160-3246-2392F3BA2F5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01" name="Shape 52">
            <a:extLst>
              <a:ext uri="{FF2B5EF4-FFF2-40B4-BE49-F238E27FC236}">
                <a16:creationId xmlns:a16="http://schemas.microsoft.com/office/drawing/2014/main" id="{51E53CCC-21A5-B6F6-D1D0-2DE0961A716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02" name="Shape 53">
            <a:extLst>
              <a:ext uri="{FF2B5EF4-FFF2-40B4-BE49-F238E27FC236}">
                <a16:creationId xmlns:a16="http://schemas.microsoft.com/office/drawing/2014/main" id="{5D4DC10C-8CA9-2B04-ABE8-44B88B4410B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03" name="Shape 54">
            <a:extLst>
              <a:ext uri="{FF2B5EF4-FFF2-40B4-BE49-F238E27FC236}">
                <a16:creationId xmlns:a16="http://schemas.microsoft.com/office/drawing/2014/main" id="{188086C8-3774-321D-177D-018C196CDD0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04" name="Shape 55">
            <a:extLst>
              <a:ext uri="{FF2B5EF4-FFF2-40B4-BE49-F238E27FC236}">
                <a16:creationId xmlns:a16="http://schemas.microsoft.com/office/drawing/2014/main" id="{C0B76DFC-D2BD-E7B5-0C7D-BEDA277B4D4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05" name="Shape 56">
            <a:extLst>
              <a:ext uri="{FF2B5EF4-FFF2-40B4-BE49-F238E27FC236}">
                <a16:creationId xmlns:a16="http://schemas.microsoft.com/office/drawing/2014/main" id="{152CB2D4-4325-FE1E-8417-D6DB64B43D4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06" name="Shape 57">
            <a:extLst>
              <a:ext uri="{FF2B5EF4-FFF2-40B4-BE49-F238E27FC236}">
                <a16:creationId xmlns:a16="http://schemas.microsoft.com/office/drawing/2014/main" id="{9DAE0B4D-93FD-D6D7-6323-83FDBC69AA9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07" name="Shape 58">
            <a:extLst>
              <a:ext uri="{FF2B5EF4-FFF2-40B4-BE49-F238E27FC236}">
                <a16:creationId xmlns:a16="http://schemas.microsoft.com/office/drawing/2014/main" id="{8833AC30-F536-DF22-69FD-CD79FDB77B7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08" name="Shape 59">
            <a:extLst>
              <a:ext uri="{FF2B5EF4-FFF2-40B4-BE49-F238E27FC236}">
                <a16:creationId xmlns:a16="http://schemas.microsoft.com/office/drawing/2014/main" id="{94C1A4F3-9002-8BE8-3357-65612EE6853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09" name="Shape 60">
            <a:extLst>
              <a:ext uri="{FF2B5EF4-FFF2-40B4-BE49-F238E27FC236}">
                <a16:creationId xmlns:a16="http://schemas.microsoft.com/office/drawing/2014/main" id="{B2FA15D7-736F-69C8-357E-10084DB89F9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10" name="Shape 61">
            <a:extLst>
              <a:ext uri="{FF2B5EF4-FFF2-40B4-BE49-F238E27FC236}">
                <a16:creationId xmlns:a16="http://schemas.microsoft.com/office/drawing/2014/main" id="{CE8BFBF6-0865-38C8-2D2B-2BE9B2C3A8B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368</xdr:row>
      <xdr:rowOff>3962</xdr:rowOff>
    </xdr:from>
    <xdr:ext cx="33655" cy="33655"/>
    <xdr:grpSp>
      <xdr:nvGrpSpPr>
        <xdr:cNvPr id="10511" name="Group 62">
          <a:extLst>
            <a:ext uri="{FF2B5EF4-FFF2-40B4-BE49-F238E27FC236}">
              <a16:creationId xmlns:a16="http://schemas.microsoft.com/office/drawing/2014/main" id="{2AF0460A-6CF9-45E5-97F6-B2F1DC6B46E1}"/>
            </a:ext>
          </a:extLst>
        </xdr:cNvPr>
        <xdr:cNvGrpSpPr/>
      </xdr:nvGrpSpPr>
      <xdr:grpSpPr>
        <a:xfrm>
          <a:off x="4603072" y="70894946"/>
          <a:ext cx="33655" cy="33655"/>
          <a:chOff x="0" y="0"/>
          <a:chExt cx="33655" cy="33655"/>
        </a:xfrm>
      </xdr:grpSpPr>
      <xdr:sp macro="" textlink="">
        <xdr:nvSpPr>
          <xdr:cNvPr id="10512" name="Shape 63">
            <a:extLst>
              <a:ext uri="{FF2B5EF4-FFF2-40B4-BE49-F238E27FC236}">
                <a16:creationId xmlns:a16="http://schemas.microsoft.com/office/drawing/2014/main" id="{F017FD42-92D1-D2AC-DA2A-CBD25505FC2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13" name="Shape 64">
            <a:extLst>
              <a:ext uri="{FF2B5EF4-FFF2-40B4-BE49-F238E27FC236}">
                <a16:creationId xmlns:a16="http://schemas.microsoft.com/office/drawing/2014/main" id="{27471A98-9959-7896-1DFF-AA48EC18687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14" name="Shape 65">
            <a:extLst>
              <a:ext uri="{FF2B5EF4-FFF2-40B4-BE49-F238E27FC236}">
                <a16:creationId xmlns:a16="http://schemas.microsoft.com/office/drawing/2014/main" id="{10C359D4-7DC5-2EE6-DEA4-3C1D612A28A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15" name="Shape 66">
            <a:extLst>
              <a:ext uri="{FF2B5EF4-FFF2-40B4-BE49-F238E27FC236}">
                <a16:creationId xmlns:a16="http://schemas.microsoft.com/office/drawing/2014/main" id="{5BD1247A-2F36-FD1F-DA57-4FD7BFAF063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16" name="Shape 67">
            <a:extLst>
              <a:ext uri="{FF2B5EF4-FFF2-40B4-BE49-F238E27FC236}">
                <a16:creationId xmlns:a16="http://schemas.microsoft.com/office/drawing/2014/main" id="{380F691E-3656-4027-6554-16585CBF23A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17" name="Shape 68">
            <a:extLst>
              <a:ext uri="{FF2B5EF4-FFF2-40B4-BE49-F238E27FC236}">
                <a16:creationId xmlns:a16="http://schemas.microsoft.com/office/drawing/2014/main" id="{8D63A48B-9761-0AC1-48FF-13F331822B8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18" name="Shape 69">
            <a:extLst>
              <a:ext uri="{FF2B5EF4-FFF2-40B4-BE49-F238E27FC236}">
                <a16:creationId xmlns:a16="http://schemas.microsoft.com/office/drawing/2014/main" id="{07DD5AA6-E38E-DA93-6B78-9505C9B597F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19" name="Shape 70">
            <a:extLst>
              <a:ext uri="{FF2B5EF4-FFF2-40B4-BE49-F238E27FC236}">
                <a16:creationId xmlns:a16="http://schemas.microsoft.com/office/drawing/2014/main" id="{33258C2B-DA12-46F9-0252-BFD5697066C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20" name="Shape 71">
            <a:extLst>
              <a:ext uri="{FF2B5EF4-FFF2-40B4-BE49-F238E27FC236}">
                <a16:creationId xmlns:a16="http://schemas.microsoft.com/office/drawing/2014/main" id="{19F6223D-550D-1D7D-B80C-4A65B8826F3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21" name="Shape 72">
            <a:extLst>
              <a:ext uri="{FF2B5EF4-FFF2-40B4-BE49-F238E27FC236}">
                <a16:creationId xmlns:a16="http://schemas.microsoft.com/office/drawing/2014/main" id="{0BCB037B-5540-BA19-9AF5-6FFF8917983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22" name="Shape 73">
            <a:extLst>
              <a:ext uri="{FF2B5EF4-FFF2-40B4-BE49-F238E27FC236}">
                <a16:creationId xmlns:a16="http://schemas.microsoft.com/office/drawing/2014/main" id="{67074D8D-081B-304E-B38F-C8609727BA9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23" name="Shape 74">
            <a:extLst>
              <a:ext uri="{FF2B5EF4-FFF2-40B4-BE49-F238E27FC236}">
                <a16:creationId xmlns:a16="http://schemas.microsoft.com/office/drawing/2014/main" id="{0BF2CABB-1D1A-EB77-D5FF-AA6ECCEA34B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24" name="Shape 75">
            <a:extLst>
              <a:ext uri="{FF2B5EF4-FFF2-40B4-BE49-F238E27FC236}">
                <a16:creationId xmlns:a16="http://schemas.microsoft.com/office/drawing/2014/main" id="{C4523428-4C32-9951-967F-21BEF7E04F3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25" name="Shape 76">
            <a:extLst>
              <a:ext uri="{FF2B5EF4-FFF2-40B4-BE49-F238E27FC236}">
                <a16:creationId xmlns:a16="http://schemas.microsoft.com/office/drawing/2014/main" id="{20E74350-4700-9253-B8E0-1F908AF94E6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368</xdr:row>
      <xdr:rowOff>2978</xdr:rowOff>
    </xdr:from>
    <xdr:ext cx="33655" cy="33655"/>
    <xdr:grpSp>
      <xdr:nvGrpSpPr>
        <xdr:cNvPr id="10526" name="Group 2">
          <a:extLst>
            <a:ext uri="{FF2B5EF4-FFF2-40B4-BE49-F238E27FC236}">
              <a16:creationId xmlns:a16="http://schemas.microsoft.com/office/drawing/2014/main" id="{60EE301A-7C9A-4A65-AB18-CFDBEC1F2978}"/>
            </a:ext>
          </a:extLst>
        </xdr:cNvPr>
        <xdr:cNvGrpSpPr/>
      </xdr:nvGrpSpPr>
      <xdr:grpSpPr>
        <a:xfrm>
          <a:off x="4603072" y="70893962"/>
          <a:ext cx="33655" cy="33655"/>
          <a:chOff x="0" y="0"/>
          <a:chExt cx="33655" cy="33655"/>
        </a:xfrm>
      </xdr:grpSpPr>
      <xdr:sp macro="" textlink="">
        <xdr:nvSpPr>
          <xdr:cNvPr id="10527" name="Shape 3">
            <a:extLst>
              <a:ext uri="{FF2B5EF4-FFF2-40B4-BE49-F238E27FC236}">
                <a16:creationId xmlns:a16="http://schemas.microsoft.com/office/drawing/2014/main" id="{68891D96-2569-22E7-4A42-374BCBADD1B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28" name="Shape 4">
            <a:extLst>
              <a:ext uri="{FF2B5EF4-FFF2-40B4-BE49-F238E27FC236}">
                <a16:creationId xmlns:a16="http://schemas.microsoft.com/office/drawing/2014/main" id="{96A89352-078D-5742-3729-4CCCFC68D7A0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29" name="Shape 5">
            <a:extLst>
              <a:ext uri="{FF2B5EF4-FFF2-40B4-BE49-F238E27FC236}">
                <a16:creationId xmlns:a16="http://schemas.microsoft.com/office/drawing/2014/main" id="{366C8077-5CC6-87AF-1678-A99C1601CAB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30" name="Shape 6">
            <a:extLst>
              <a:ext uri="{FF2B5EF4-FFF2-40B4-BE49-F238E27FC236}">
                <a16:creationId xmlns:a16="http://schemas.microsoft.com/office/drawing/2014/main" id="{9FB38245-E58F-B83F-3900-02F3791287D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31" name="Shape 7">
            <a:extLst>
              <a:ext uri="{FF2B5EF4-FFF2-40B4-BE49-F238E27FC236}">
                <a16:creationId xmlns:a16="http://schemas.microsoft.com/office/drawing/2014/main" id="{FEA81EF2-F93F-44FD-582C-E31C20BE7340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32" name="Shape 8">
            <a:extLst>
              <a:ext uri="{FF2B5EF4-FFF2-40B4-BE49-F238E27FC236}">
                <a16:creationId xmlns:a16="http://schemas.microsoft.com/office/drawing/2014/main" id="{54941218-32E5-078F-C0E9-46E65D29991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33" name="Shape 9">
            <a:extLst>
              <a:ext uri="{FF2B5EF4-FFF2-40B4-BE49-F238E27FC236}">
                <a16:creationId xmlns:a16="http://schemas.microsoft.com/office/drawing/2014/main" id="{920E6C72-2B4D-4C22-525B-EF010C63BB4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34" name="Shape 10">
            <a:extLst>
              <a:ext uri="{FF2B5EF4-FFF2-40B4-BE49-F238E27FC236}">
                <a16:creationId xmlns:a16="http://schemas.microsoft.com/office/drawing/2014/main" id="{ABF2DF57-0359-BF4D-D422-7040BE96B5F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35" name="Shape 11">
            <a:extLst>
              <a:ext uri="{FF2B5EF4-FFF2-40B4-BE49-F238E27FC236}">
                <a16:creationId xmlns:a16="http://schemas.microsoft.com/office/drawing/2014/main" id="{E8FA3B6D-8F22-C9E0-3CB1-2FF340E04E3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36" name="Shape 12">
            <a:extLst>
              <a:ext uri="{FF2B5EF4-FFF2-40B4-BE49-F238E27FC236}">
                <a16:creationId xmlns:a16="http://schemas.microsoft.com/office/drawing/2014/main" id="{641F4C62-2B3F-EF5A-8E2B-4325E2AAEB3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37" name="Shape 13">
            <a:extLst>
              <a:ext uri="{FF2B5EF4-FFF2-40B4-BE49-F238E27FC236}">
                <a16:creationId xmlns:a16="http://schemas.microsoft.com/office/drawing/2014/main" id="{56800439-FD98-0786-A42D-CD13D0F9A54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38" name="Shape 14">
            <a:extLst>
              <a:ext uri="{FF2B5EF4-FFF2-40B4-BE49-F238E27FC236}">
                <a16:creationId xmlns:a16="http://schemas.microsoft.com/office/drawing/2014/main" id="{90F99B06-B96D-8A7D-26D6-9846D0F45A1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39" name="Shape 15">
            <a:extLst>
              <a:ext uri="{FF2B5EF4-FFF2-40B4-BE49-F238E27FC236}">
                <a16:creationId xmlns:a16="http://schemas.microsoft.com/office/drawing/2014/main" id="{DDD134B4-3A01-5C1D-1508-277927EEF28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40" name="Shape 16">
            <a:extLst>
              <a:ext uri="{FF2B5EF4-FFF2-40B4-BE49-F238E27FC236}">
                <a16:creationId xmlns:a16="http://schemas.microsoft.com/office/drawing/2014/main" id="{F9223DCC-53CC-3BDB-C558-4DA56D8FC93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368</xdr:row>
      <xdr:rowOff>3246</xdr:rowOff>
    </xdr:from>
    <xdr:ext cx="33655" cy="33655"/>
    <xdr:grpSp>
      <xdr:nvGrpSpPr>
        <xdr:cNvPr id="10541" name="Group 17">
          <a:extLst>
            <a:ext uri="{FF2B5EF4-FFF2-40B4-BE49-F238E27FC236}">
              <a16:creationId xmlns:a16="http://schemas.microsoft.com/office/drawing/2014/main" id="{313EB337-08B5-4846-9DC6-20BD7A8E83B1}"/>
            </a:ext>
          </a:extLst>
        </xdr:cNvPr>
        <xdr:cNvGrpSpPr/>
      </xdr:nvGrpSpPr>
      <xdr:grpSpPr>
        <a:xfrm>
          <a:off x="4603072" y="70894230"/>
          <a:ext cx="33655" cy="33655"/>
          <a:chOff x="0" y="0"/>
          <a:chExt cx="33655" cy="33655"/>
        </a:xfrm>
      </xdr:grpSpPr>
      <xdr:sp macro="" textlink="">
        <xdr:nvSpPr>
          <xdr:cNvPr id="10542" name="Shape 18">
            <a:extLst>
              <a:ext uri="{FF2B5EF4-FFF2-40B4-BE49-F238E27FC236}">
                <a16:creationId xmlns:a16="http://schemas.microsoft.com/office/drawing/2014/main" id="{EF8FA0F6-E26D-706A-EF1E-E242E786FC4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43" name="Shape 19">
            <a:extLst>
              <a:ext uri="{FF2B5EF4-FFF2-40B4-BE49-F238E27FC236}">
                <a16:creationId xmlns:a16="http://schemas.microsoft.com/office/drawing/2014/main" id="{7807A088-6563-721D-C749-D16E4B5E8A2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44" name="Shape 20">
            <a:extLst>
              <a:ext uri="{FF2B5EF4-FFF2-40B4-BE49-F238E27FC236}">
                <a16:creationId xmlns:a16="http://schemas.microsoft.com/office/drawing/2014/main" id="{0443A26D-4A13-E1DB-DC77-1CC6C3C021A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45" name="Shape 21">
            <a:extLst>
              <a:ext uri="{FF2B5EF4-FFF2-40B4-BE49-F238E27FC236}">
                <a16:creationId xmlns:a16="http://schemas.microsoft.com/office/drawing/2014/main" id="{AF65EB43-0368-B316-C229-77C554B182A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46" name="Shape 22">
            <a:extLst>
              <a:ext uri="{FF2B5EF4-FFF2-40B4-BE49-F238E27FC236}">
                <a16:creationId xmlns:a16="http://schemas.microsoft.com/office/drawing/2014/main" id="{FD6A1ABC-AA7F-9705-1FC6-8D835A19889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47" name="Shape 23">
            <a:extLst>
              <a:ext uri="{FF2B5EF4-FFF2-40B4-BE49-F238E27FC236}">
                <a16:creationId xmlns:a16="http://schemas.microsoft.com/office/drawing/2014/main" id="{5A40602B-D8E2-F6AE-802F-154BA6592AA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48" name="Shape 24">
            <a:extLst>
              <a:ext uri="{FF2B5EF4-FFF2-40B4-BE49-F238E27FC236}">
                <a16:creationId xmlns:a16="http://schemas.microsoft.com/office/drawing/2014/main" id="{06DEF8D7-C8B9-6695-8E26-06B08B39FB1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49" name="Shape 25">
            <a:extLst>
              <a:ext uri="{FF2B5EF4-FFF2-40B4-BE49-F238E27FC236}">
                <a16:creationId xmlns:a16="http://schemas.microsoft.com/office/drawing/2014/main" id="{C0BD04F8-150D-02E1-2BB2-858D6FE47EF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50" name="Shape 26">
            <a:extLst>
              <a:ext uri="{FF2B5EF4-FFF2-40B4-BE49-F238E27FC236}">
                <a16:creationId xmlns:a16="http://schemas.microsoft.com/office/drawing/2014/main" id="{704FF7B5-D948-2EBE-8C3D-3BA9D4C2F92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51" name="Shape 27">
            <a:extLst>
              <a:ext uri="{FF2B5EF4-FFF2-40B4-BE49-F238E27FC236}">
                <a16:creationId xmlns:a16="http://schemas.microsoft.com/office/drawing/2014/main" id="{C899534E-21A2-E5DE-D7B8-5D3B403B3E4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52" name="Shape 28">
            <a:extLst>
              <a:ext uri="{FF2B5EF4-FFF2-40B4-BE49-F238E27FC236}">
                <a16:creationId xmlns:a16="http://schemas.microsoft.com/office/drawing/2014/main" id="{A0FE376A-86E1-9047-4FED-779855A1F160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53" name="Shape 29">
            <a:extLst>
              <a:ext uri="{FF2B5EF4-FFF2-40B4-BE49-F238E27FC236}">
                <a16:creationId xmlns:a16="http://schemas.microsoft.com/office/drawing/2014/main" id="{AFA0922A-6466-BD23-7A18-8A14073A38F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54" name="Shape 30">
            <a:extLst>
              <a:ext uri="{FF2B5EF4-FFF2-40B4-BE49-F238E27FC236}">
                <a16:creationId xmlns:a16="http://schemas.microsoft.com/office/drawing/2014/main" id="{25C4383B-6EB9-E48C-C59B-66C5749BEB1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55" name="Shape 31">
            <a:extLst>
              <a:ext uri="{FF2B5EF4-FFF2-40B4-BE49-F238E27FC236}">
                <a16:creationId xmlns:a16="http://schemas.microsoft.com/office/drawing/2014/main" id="{75DAFE60-5175-04B9-1238-E94F4579979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368</xdr:row>
      <xdr:rowOff>3703</xdr:rowOff>
    </xdr:from>
    <xdr:ext cx="33655" cy="33655"/>
    <xdr:grpSp>
      <xdr:nvGrpSpPr>
        <xdr:cNvPr id="10556" name="Group 32">
          <a:extLst>
            <a:ext uri="{FF2B5EF4-FFF2-40B4-BE49-F238E27FC236}">
              <a16:creationId xmlns:a16="http://schemas.microsoft.com/office/drawing/2014/main" id="{CB679494-2D01-4D8A-85A1-13468D0C1482}"/>
            </a:ext>
          </a:extLst>
        </xdr:cNvPr>
        <xdr:cNvGrpSpPr/>
      </xdr:nvGrpSpPr>
      <xdr:grpSpPr>
        <a:xfrm>
          <a:off x="4603072" y="70894687"/>
          <a:ext cx="33655" cy="33655"/>
          <a:chOff x="0" y="0"/>
          <a:chExt cx="33655" cy="33655"/>
        </a:xfrm>
      </xdr:grpSpPr>
      <xdr:sp macro="" textlink="">
        <xdr:nvSpPr>
          <xdr:cNvPr id="10557" name="Shape 33">
            <a:extLst>
              <a:ext uri="{FF2B5EF4-FFF2-40B4-BE49-F238E27FC236}">
                <a16:creationId xmlns:a16="http://schemas.microsoft.com/office/drawing/2014/main" id="{AC48A28D-3735-A066-4CBF-9BD41BBD5B8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58" name="Shape 34">
            <a:extLst>
              <a:ext uri="{FF2B5EF4-FFF2-40B4-BE49-F238E27FC236}">
                <a16:creationId xmlns:a16="http://schemas.microsoft.com/office/drawing/2014/main" id="{552AA8F1-B5AE-A738-4665-8266EFAE287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59" name="Shape 35">
            <a:extLst>
              <a:ext uri="{FF2B5EF4-FFF2-40B4-BE49-F238E27FC236}">
                <a16:creationId xmlns:a16="http://schemas.microsoft.com/office/drawing/2014/main" id="{6CA5C495-19E7-0E56-1ACA-1774FA2C6AF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60" name="Shape 36">
            <a:extLst>
              <a:ext uri="{FF2B5EF4-FFF2-40B4-BE49-F238E27FC236}">
                <a16:creationId xmlns:a16="http://schemas.microsoft.com/office/drawing/2014/main" id="{294C8BFB-3A68-31F3-E294-2FFE1B96B146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61" name="Shape 37">
            <a:extLst>
              <a:ext uri="{FF2B5EF4-FFF2-40B4-BE49-F238E27FC236}">
                <a16:creationId xmlns:a16="http://schemas.microsoft.com/office/drawing/2014/main" id="{60217282-2027-CF7E-A8CA-EBA9540998B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62" name="Shape 38">
            <a:extLst>
              <a:ext uri="{FF2B5EF4-FFF2-40B4-BE49-F238E27FC236}">
                <a16:creationId xmlns:a16="http://schemas.microsoft.com/office/drawing/2014/main" id="{6906D392-6B54-7586-9400-0B567B6C240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63" name="Shape 39">
            <a:extLst>
              <a:ext uri="{FF2B5EF4-FFF2-40B4-BE49-F238E27FC236}">
                <a16:creationId xmlns:a16="http://schemas.microsoft.com/office/drawing/2014/main" id="{33421000-FD8E-BCFF-903F-D5C7C597D76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64" name="Shape 40">
            <a:extLst>
              <a:ext uri="{FF2B5EF4-FFF2-40B4-BE49-F238E27FC236}">
                <a16:creationId xmlns:a16="http://schemas.microsoft.com/office/drawing/2014/main" id="{1C6DA257-40F3-961D-76CF-2CBB08E5D3A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65" name="Shape 41">
            <a:extLst>
              <a:ext uri="{FF2B5EF4-FFF2-40B4-BE49-F238E27FC236}">
                <a16:creationId xmlns:a16="http://schemas.microsoft.com/office/drawing/2014/main" id="{DAFAB7B8-34EB-4360-C805-237282CEBD1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66" name="Shape 42">
            <a:extLst>
              <a:ext uri="{FF2B5EF4-FFF2-40B4-BE49-F238E27FC236}">
                <a16:creationId xmlns:a16="http://schemas.microsoft.com/office/drawing/2014/main" id="{F79C5FB3-7052-A6E7-F6F9-372C7F77477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67" name="Shape 43">
            <a:extLst>
              <a:ext uri="{FF2B5EF4-FFF2-40B4-BE49-F238E27FC236}">
                <a16:creationId xmlns:a16="http://schemas.microsoft.com/office/drawing/2014/main" id="{51EA4A96-0C8E-3892-C89C-4ECFFCCB2BB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68" name="Shape 44">
            <a:extLst>
              <a:ext uri="{FF2B5EF4-FFF2-40B4-BE49-F238E27FC236}">
                <a16:creationId xmlns:a16="http://schemas.microsoft.com/office/drawing/2014/main" id="{450BA33F-D590-6E91-67D1-CEAA1198F67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69" name="Shape 45">
            <a:extLst>
              <a:ext uri="{FF2B5EF4-FFF2-40B4-BE49-F238E27FC236}">
                <a16:creationId xmlns:a16="http://schemas.microsoft.com/office/drawing/2014/main" id="{F2DC6129-38F8-8EDE-5CF2-91EEC5CC34D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70" name="Shape 46">
            <a:extLst>
              <a:ext uri="{FF2B5EF4-FFF2-40B4-BE49-F238E27FC236}">
                <a16:creationId xmlns:a16="http://schemas.microsoft.com/office/drawing/2014/main" id="{C9AE3782-28A4-90DC-C707-5547D3D0888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368</xdr:row>
      <xdr:rowOff>3409</xdr:rowOff>
    </xdr:from>
    <xdr:ext cx="33655" cy="33655"/>
    <xdr:grpSp>
      <xdr:nvGrpSpPr>
        <xdr:cNvPr id="10571" name="Group 47">
          <a:extLst>
            <a:ext uri="{FF2B5EF4-FFF2-40B4-BE49-F238E27FC236}">
              <a16:creationId xmlns:a16="http://schemas.microsoft.com/office/drawing/2014/main" id="{810F3924-F247-48F0-A751-FF39A1DE7B27}"/>
            </a:ext>
          </a:extLst>
        </xdr:cNvPr>
        <xdr:cNvGrpSpPr/>
      </xdr:nvGrpSpPr>
      <xdr:grpSpPr>
        <a:xfrm>
          <a:off x="4603072" y="70894393"/>
          <a:ext cx="33655" cy="33655"/>
          <a:chOff x="0" y="0"/>
          <a:chExt cx="33655" cy="33655"/>
        </a:xfrm>
      </xdr:grpSpPr>
      <xdr:sp macro="" textlink="">
        <xdr:nvSpPr>
          <xdr:cNvPr id="10572" name="Shape 48">
            <a:extLst>
              <a:ext uri="{FF2B5EF4-FFF2-40B4-BE49-F238E27FC236}">
                <a16:creationId xmlns:a16="http://schemas.microsoft.com/office/drawing/2014/main" id="{9C425AE7-6972-F3DF-6EA5-F3A929E5A01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73" name="Shape 49">
            <a:extLst>
              <a:ext uri="{FF2B5EF4-FFF2-40B4-BE49-F238E27FC236}">
                <a16:creationId xmlns:a16="http://schemas.microsoft.com/office/drawing/2014/main" id="{844E3EEA-5193-98FA-5D62-7A079F315CD1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74" name="Shape 50">
            <a:extLst>
              <a:ext uri="{FF2B5EF4-FFF2-40B4-BE49-F238E27FC236}">
                <a16:creationId xmlns:a16="http://schemas.microsoft.com/office/drawing/2014/main" id="{450388EE-F6EE-1112-3917-36199E0566D8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75" name="Shape 51">
            <a:extLst>
              <a:ext uri="{FF2B5EF4-FFF2-40B4-BE49-F238E27FC236}">
                <a16:creationId xmlns:a16="http://schemas.microsoft.com/office/drawing/2014/main" id="{E2E5A8FE-77F5-570F-DE14-2933F13B34F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76" name="Shape 52">
            <a:extLst>
              <a:ext uri="{FF2B5EF4-FFF2-40B4-BE49-F238E27FC236}">
                <a16:creationId xmlns:a16="http://schemas.microsoft.com/office/drawing/2014/main" id="{3199E0D9-BEAF-1CB4-F86E-C7DD69B58C6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77" name="Shape 53">
            <a:extLst>
              <a:ext uri="{FF2B5EF4-FFF2-40B4-BE49-F238E27FC236}">
                <a16:creationId xmlns:a16="http://schemas.microsoft.com/office/drawing/2014/main" id="{B6DF8D8A-C1B4-AE06-4DC7-8CE47947866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78" name="Shape 54">
            <a:extLst>
              <a:ext uri="{FF2B5EF4-FFF2-40B4-BE49-F238E27FC236}">
                <a16:creationId xmlns:a16="http://schemas.microsoft.com/office/drawing/2014/main" id="{44265C7B-B652-627E-6490-58E97215327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79" name="Shape 55">
            <a:extLst>
              <a:ext uri="{FF2B5EF4-FFF2-40B4-BE49-F238E27FC236}">
                <a16:creationId xmlns:a16="http://schemas.microsoft.com/office/drawing/2014/main" id="{F706146F-2AAB-C4B4-73BB-A123EFA210E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80" name="Shape 56">
            <a:extLst>
              <a:ext uri="{FF2B5EF4-FFF2-40B4-BE49-F238E27FC236}">
                <a16:creationId xmlns:a16="http://schemas.microsoft.com/office/drawing/2014/main" id="{2834E0FD-3F56-0640-B7D4-D67361AFFD1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81" name="Shape 57">
            <a:extLst>
              <a:ext uri="{FF2B5EF4-FFF2-40B4-BE49-F238E27FC236}">
                <a16:creationId xmlns:a16="http://schemas.microsoft.com/office/drawing/2014/main" id="{5D02B117-4848-13CA-4FE6-64634DD0196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82" name="Shape 58">
            <a:extLst>
              <a:ext uri="{FF2B5EF4-FFF2-40B4-BE49-F238E27FC236}">
                <a16:creationId xmlns:a16="http://schemas.microsoft.com/office/drawing/2014/main" id="{953BFB25-6ED2-0C2F-83AA-7E34446F88C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83" name="Shape 59">
            <a:extLst>
              <a:ext uri="{FF2B5EF4-FFF2-40B4-BE49-F238E27FC236}">
                <a16:creationId xmlns:a16="http://schemas.microsoft.com/office/drawing/2014/main" id="{C496C3E1-F43F-FE72-A8E7-7DC525D73F2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84" name="Shape 60">
            <a:extLst>
              <a:ext uri="{FF2B5EF4-FFF2-40B4-BE49-F238E27FC236}">
                <a16:creationId xmlns:a16="http://schemas.microsoft.com/office/drawing/2014/main" id="{FFABB6FB-793B-5BF0-3FD4-4964CB9A0EA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585" name="Shape 61">
            <a:extLst>
              <a:ext uri="{FF2B5EF4-FFF2-40B4-BE49-F238E27FC236}">
                <a16:creationId xmlns:a16="http://schemas.microsoft.com/office/drawing/2014/main" id="{E2CFD68A-DB20-367E-C58C-EE5154D00D0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368</xdr:row>
      <xdr:rowOff>3962</xdr:rowOff>
    </xdr:from>
    <xdr:ext cx="33655" cy="33655"/>
    <xdr:grpSp>
      <xdr:nvGrpSpPr>
        <xdr:cNvPr id="10586" name="Group 62">
          <a:extLst>
            <a:ext uri="{FF2B5EF4-FFF2-40B4-BE49-F238E27FC236}">
              <a16:creationId xmlns:a16="http://schemas.microsoft.com/office/drawing/2014/main" id="{FC61776F-53C7-4304-8D77-F74F6710CC24}"/>
            </a:ext>
          </a:extLst>
        </xdr:cNvPr>
        <xdr:cNvGrpSpPr/>
      </xdr:nvGrpSpPr>
      <xdr:grpSpPr>
        <a:xfrm>
          <a:off x="4603072" y="70894946"/>
          <a:ext cx="33655" cy="33655"/>
          <a:chOff x="0" y="0"/>
          <a:chExt cx="33655" cy="33655"/>
        </a:xfrm>
      </xdr:grpSpPr>
      <xdr:sp macro="" textlink="">
        <xdr:nvSpPr>
          <xdr:cNvPr id="10587" name="Shape 63">
            <a:extLst>
              <a:ext uri="{FF2B5EF4-FFF2-40B4-BE49-F238E27FC236}">
                <a16:creationId xmlns:a16="http://schemas.microsoft.com/office/drawing/2014/main" id="{684C423A-5B0F-4130-2124-B2B90ED2ADE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88" name="Shape 64">
            <a:extLst>
              <a:ext uri="{FF2B5EF4-FFF2-40B4-BE49-F238E27FC236}">
                <a16:creationId xmlns:a16="http://schemas.microsoft.com/office/drawing/2014/main" id="{7BAD9A3E-CAFB-8BE2-F00F-2DCC67BC3C0E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89" name="Shape 65">
            <a:extLst>
              <a:ext uri="{FF2B5EF4-FFF2-40B4-BE49-F238E27FC236}">
                <a16:creationId xmlns:a16="http://schemas.microsoft.com/office/drawing/2014/main" id="{AAC84A93-AA34-76B4-1078-7532D8C075F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90" name="Shape 66">
            <a:extLst>
              <a:ext uri="{FF2B5EF4-FFF2-40B4-BE49-F238E27FC236}">
                <a16:creationId xmlns:a16="http://schemas.microsoft.com/office/drawing/2014/main" id="{00423ACB-316D-A1CD-B602-10C334ED952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91" name="Shape 67">
            <a:extLst>
              <a:ext uri="{FF2B5EF4-FFF2-40B4-BE49-F238E27FC236}">
                <a16:creationId xmlns:a16="http://schemas.microsoft.com/office/drawing/2014/main" id="{14CD4308-8349-FA7C-831A-10207F084B4D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92" name="Shape 68">
            <a:extLst>
              <a:ext uri="{FF2B5EF4-FFF2-40B4-BE49-F238E27FC236}">
                <a16:creationId xmlns:a16="http://schemas.microsoft.com/office/drawing/2014/main" id="{0DA048B6-BB4F-48CB-561E-47A471D9D94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93" name="Shape 69">
            <a:extLst>
              <a:ext uri="{FF2B5EF4-FFF2-40B4-BE49-F238E27FC236}">
                <a16:creationId xmlns:a16="http://schemas.microsoft.com/office/drawing/2014/main" id="{C4924559-7249-7922-F700-5C638DB3EFE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94" name="Shape 70">
            <a:extLst>
              <a:ext uri="{FF2B5EF4-FFF2-40B4-BE49-F238E27FC236}">
                <a16:creationId xmlns:a16="http://schemas.microsoft.com/office/drawing/2014/main" id="{D540DEFB-009C-0DDD-8E2A-5913C5561DB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95" name="Shape 71">
            <a:extLst>
              <a:ext uri="{FF2B5EF4-FFF2-40B4-BE49-F238E27FC236}">
                <a16:creationId xmlns:a16="http://schemas.microsoft.com/office/drawing/2014/main" id="{D9B1132B-281D-D825-D482-3AC74D0A8CF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96" name="Shape 72">
            <a:extLst>
              <a:ext uri="{FF2B5EF4-FFF2-40B4-BE49-F238E27FC236}">
                <a16:creationId xmlns:a16="http://schemas.microsoft.com/office/drawing/2014/main" id="{C98B2BEB-A1EF-1631-0CE3-3FA0DF748DF8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97" name="Shape 73">
            <a:extLst>
              <a:ext uri="{FF2B5EF4-FFF2-40B4-BE49-F238E27FC236}">
                <a16:creationId xmlns:a16="http://schemas.microsoft.com/office/drawing/2014/main" id="{5ABA1347-ADE9-3D96-8E88-E56EE154AFC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598" name="Shape 74">
            <a:extLst>
              <a:ext uri="{FF2B5EF4-FFF2-40B4-BE49-F238E27FC236}">
                <a16:creationId xmlns:a16="http://schemas.microsoft.com/office/drawing/2014/main" id="{14CF45CB-7BD7-A43F-7A4D-63577D8AFE7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599" name="Shape 75">
            <a:extLst>
              <a:ext uri="{FF2B5EF4-FFF2-40B4-BE49-F238E27FC236}">
                <a16:creationId xmlns:a16="http://schemas.microsoft.com/office/drawing/2014/main" id="{BD82852A-990C-5F85-8525-A64E4AD70F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600" name="Shape 76">
            <a:extLst>
              <a:ext uri="{FF2B5EF4-FFF2-40B4-BE49-F238E27FC236}">
                <a16:creationId xmlns:a16="http://schemas.microsoft.com/office/drawing/2014/main" id="{5B770941-6300-2F03-98B5-412D0C2C66C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389</xdr:row>
      <xdr:rowOff>2978</xdr:rowOff>
    </xdr:from>
    <xdr:ext cx="33655" cy="33655"/>
    <xdr:grpSp>
      <xdr:nvGrpSpPr>
        <xdr:cNvPr id="10601" name="Group 2">
          <a:extLst>
            <a:ext uri="{FF2B5EF4-FFF2-40B4-BE49-F238E27FC236}">
              <a16:creationId xmlns:a16="http://schemas.microsoft.com/office/drawing/2014/main" id="{F3D01012-228A-4F04-AADA-1CC9A8A31711}"/>
            </a:ext>
          </a:extLst>
        </xdr:cNvPr>
        <xdr:cNvGrpSpPr/>
      </xdr:nvGrpSpPr>
      <xdr:grpSpPr>
        <a:xfrm>
          <a:off x="4603072" y="74566552"/>
          <a:ext cx="33655" cy="33655"/>
          <a:chOff x="0" y="0"/>
          <a:chExt cx="33655" cy="33655"/>
        </a:xfrm>
      </xdr:grpSpPr>
      <xdr:sp macro="" textlink="">
        <xdr:nvSpPr>
          <xdr:cNvPr id="10602" name="Shape 3">
            <a:extLst>
              <a:ext uri="{FF2B5EF4-FFF2-40B4-BE49-F238E27FC236}">
                <a16:creationId xmlns:a16="http://schemas.microsoft.com/office/drawing/2014/main" id="{B78EC766-7B44-66C4-74AF-E8F7DC095E7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03" name="Shape 4">
            <a:extLst>
              <a:ext uri="{FF2B5EF4-FFF2-40B4-BE49-F238E27FC236}">
                <a16:creationId xmlns:a16="http://schemas.microsoft.com/office/drawing/2014/main" id="{759A02CB-6388-0871-64BB-3526A00BF7C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04" name="Shape 5">
            <a:extLst>
              <a:ext uri="{FF2B5EF4-FFF2-40B4-BE49-F238E27FC236}">
                <a16:creationId xmlns:a16="http://schemas.microsoft.com/office/drawing/2014/main" id="{15123E32-9FB3-7A6E-B744-FB59CB89823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05" name="Shape 6">
            <a:extLst>
              <a:ext uri="{FF2B5EF4-FFF2-40B4-BE49-F238E27FC236}">
                <a16:creationId xmlns:a16="http://schemas.microsoft.com/office/drawing/2014/main" id="{AD07C825-D3EA-7A17-78D9-F45A47EF8CD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06" name="Shape 7">
            <a:extLst>
              <a:ext uri="{FF2B5EF4-FFF2-40B4-BE49-F238E27FC236}">
                <a16:creationId xmlns:a16="http://schemas.microsoft.com/office/drawing/2014/main" id="{6FF864B7-EE30-B77A-3B57-B9C8BD465B3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07" name="Shape 8">
            <a:extLst>
              <a:ext uri="{FF2B5EF4-FFF2-40B4-BE49-F238E27FC236}">
                <a16:creationId xmlns:a16="http://schemas.microsoft.com/office/drawing/2014/main" id="{867A96CB-F536-4D36-C7D2-399EADD4FD7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08" name="Shape 9">
            <a:extLst>
              <a:ext uri="{FF2B5EF4-FFF2-40B4-BE49-F238E27FC236}">
                <a16:creationId xmlns:a16="http://schemas.microsoft.com/office/drawing/2014/main" id="{6E7FC554-0621-2558-42B2-1664F907C1F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09" name="Shape 10">
            <a:extLst>
              <a:ext uri="{FF2B5EF4-FFF2-40B4-BE49-F238E27FC236}">
                <a16:creationId xmlns:a16="http://schemas.microsoft.com/office/drawing/2014/main" id="{A3AB313E-3F72-EFBD-91B0-B7D665780611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10" name="Shape 11">
            <a:extLst>
              <a:ext uri="{FF2B5EF4-FFF2-40B4-BE49-F238E27FC236}">
                <a16:creationId xmlns:a16="http://schemas.microsoft.com/office/drawing/2014/main" id="{47D6743C-8076-9716-7CB4-0453F1E7F5C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11" name="Shape 12">
            <a:extLst>
              <a:ext uri="{FF2B5EF4-FFF2-40B4-BE49-F238E27FC236}">
                <a16:creationId xmlns:a16="http://schemas.microsoft.com/office/drawing/2014/main" id="{839D3160-F50D-A82B-D3F7-B22AE38B276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12" name="Shape 13">
            <a:extLst>
              <a:ext uri="{FF2B5EF4-FFF2-40B4-BE49-F238E27FC236}">
                <a16:creationId xmlns:a16="http://schemas.microsoft.com/office/drawing/2014/main" id="{B858CDE2-746E-3D8B-7A8B-4CA7B63BAB6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13" name="Shape 14">
            <a:extLst>
              <a:ext uri="{FF2B5EF4-FFF2-40B4-BE49-F238E27FC236}">
                <a16:creationId xmlns:a16="http://schemas.microsoft.com/office/drawing/2014/main" id="{EE5E7C9F-DDDB-0659-8192-513F74C9457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14" name="Shape 15">
            <a:extLst>
              <a:ext uri="{FF2B5EF4-FFF2-40B4-BE49-F238E27FC236}">
                <a16:creationId xmlns:a16="http://schemas.microsoft.com/office/drawing/2014/main" id="{93CFA1FC-A5DE-1A8F-7D7E-0F30C6C0A59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15" name="Shape 16">
            <a:extLst>
              <a:ext uri="{FF2B5EF4-FFF2-40B4-BE49-F238E27FC236}">
                <a16:creationId xmlns:a16="http://schemas.microsoft.com/office/drawing/2014/main" id="{49C3B7C5-3205-3AB3-4F29-AF330AE15D2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389</xdr:row>
      <xdr:rowOff>3246</xdr:rowOff>
    </xdr:from>
    <xdr:ext cx="33655" cy="33655"/>
    <xdr:grpSp>
      <xdr:nvGrpSpPr>
        <xdr:cNvPr id="10616" name="Group 17">
          <a:extLst>
            <a:ext uri="{FF2B5EF4-FFF2-40B4-BE49-F238E27FC236}">
              <a16:creationId xmlns:a16="http://schemas.microsoft.com/office/drawing/2014/main" id="{6FD13AF5-C7BF-4383-867E-13639D577DA4}"/>
            </a:ext>
          </a:extLst>
        </xdr:cNvPr>
        <xdr:cNvGrpSpPr/>
      </xdr:nvGrpSpPr>
      <xdr:grpSpPr>
        <a:xfrm>
          <a:off x="4603072" y="74566820"/>
          <a:ext cx="33655" cy="33655"/>
          <a:chOff x="0" y="0"/>
          <a:chExt cx="33655" cy="33655"/>
        </a:xfrm>
      </xdr:grpSpPr>
      <xdr:sp macro="" textlink="">
        <xdr:nvSpPr>
          <xdr:cNvPr id="10617" name="Shape 18">
            <a:extLst>
              <a:ext uri="{FF2B5EF4-FFF2-40B4-BE49-F238E27FC236}">
                <a16:creationId xmlns:a16="http://schemas.microsoft.com/office/drawing/2014/main" id="{1B9779A0-A71E-4FD3-FCE6-EEEF22E77C3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18" name="Shape 19">
            <a:extLst>
              <a:ext uri="{FF2B5EF4-FFF2-40B4-BE49-F238E27FC236}">
                <a16:creationId xmlns:a16="http://schemas.microsoft.com/office/drawing/2014/main" id="{9D9D2DA7-F0DF-F680-DDEA-76F593D97CAD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19" name="Shape 20">
            <a:extLst>
              <a:ext uri="{FF2B5EF4-FFF2-40B4-BE49-F238E27FC236}">
                <a16:creationId xmlns:a16="http://schemas.microsoft.com/office/drawing/2014/main" id="{59A46753-F5B9-A77E-039B-B66D6A85CF2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20" name="Shape 21">
            <a:extLst>
              <a:ext uri="{FF2B5EF4-FFF2-40B4-BE49-F238E27FC236}">
                <a16:creationId xmlns:a16="http://schemas.microsoft.com/office/drawing/2014/main" id="{F23CE050-0F4F-3A22-1DC6-BA9AF16EFC4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21" name="Shape 22">
            <a:extLst>
              <a:ext uri="{FF2B5EF4-FFF2-40B4-BE49-F238E27FC236}">
                <a16:creationId xmlns:a16="http://schemas.microsoft.com/office/drawing/2014/main" id="{1377E00D-11C6-D536-F8CC-FA174E95A73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22" name="Shape 23">
            <a:extLst>
              <a:ext uri="{FF2B5EF4-FFF2-40B4-BE49-F238E27FC236}">
                <a16:creationId xmlns:a16="http://schemas.microsoft.com/office/drawing/2014/main" id="{C4FAA1A5-E1C5-2244-8116-59ADBEF8467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23" name="Shape 24">
            <a:extLst>
              <a:ext uri="{FF2B5EF4-FFF2-40B4-BE49-F238E27FC236}">
                <a16:creationId xmlns:a16="http://schemas.microsoft.com/office/drawing/2014/main" id="{C9375530-A9FB-6B3A-B838-8B73DA0E1D4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24" name="Shape 25">
            <a:extLst>
              <a:ext uri="{FF2B5EF4-FFF2-40B4-BE49-F238E27FC236}">
                <a16:creationId xmlns:a16="http://schemas.microsoft.com/office/drawing/2014/main" id="{1BBC906A-58BA-8E18-A05D-3C4386BE3DA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25" name="Shape 26">
            <a:extLst>
              <a:ext uri="{FF2B5EF4-FFF2-40B4-BE49-F238E27FC236}">
                <a16:creationId xmlns:a16="http://schemas.microsoft.com/office/drawing/2014/main" id="{A914B356-0CA0-6AF9-F9B8-7B731971329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26" name="Shape 27">
            <a:extLst>
              <a:ext uri="{FF2B5EF4-FFF2-40B4-BE49-F238E27FC236}">
                <a16:creationId xmlns:a16="http://schemas.microsoft.com/office/drawing/2014/main" id="{1C88B0CE-19BA-F0F0-0927-EEF4EBE0A87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27" name="Shape 28">
            <a:extLst>
              <a:ext uri="{FF2B5EF4-FFF2-40B4-BE49-F238E27FC236}">
                <a16:creationId xmlns:a16="http://schemas.microsoft.com/office/drawing/2014/main" id="{603A0B12-02AC-60B8-D803-366EB125505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28" name="Shape 29">
            <a:extLst>
              <a:ext uri="{FF2B5EF4-FFF2-40B4-BE49-F238E27FC236}">
                <a16:creationId xmlns:a16="http://schemas.microsoft.com/office/drawing/2014/main" id="{D67161BA-2A4D-6C52-1DB8-C3D23ADF461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29" name="Shape 30">
            <a:extLst>
              <a:ext uri="{FF2B5EF4-FFF2-40B4-BE49-F238E27FC236}">
                <a16:creationId xmlns:a16="http://schemas.microsoft.com/office/drawing/2014/main" id="{503ED745-D42F-ABD1-3BFA-6CB5AF11686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30" name="Shape 31">
            <a:extLst>
              <a:ext uri="{FF2B5EF4-FFF2-40B4-BE49-F238E27FC236}">
                <a16:creationId xmlns:a16="http://schemas.microsoft.com/office/drawing/2014/main" id="{CF120782-FDCF-EAC8-8CDA-CCC9EF2E52B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389</xdr:row>
      <xdr:rowOff>3703</xdr:rowOff>
    </xdr:from>
    <xdr:ext cx="33655" cy="33655"/>
    <xdr:grpSp>
      <xdr:nvGrpSpPr>
        <xdr:cNvPr id="10631" name="Group 32">
          <a:extLst>
            <a:ext uri="{FF2B5EF4-FFF2-40B4-BE49-F238E27FC236}">
              <a16:creationId xmlns:a16="http://schemas.microsoft.com/office/drawing/2014/main" id="{349F8690-8C0A-433C-948B-59022CB05453}"/>
            </a:ext>
          </a:extLst>
        </xdr:cNvPr>
        <xdr:cNvGrpSpPr/>
      </xdr:nvGrpSpPr>
      <xdr:grpSpPr>
        <a:xfrm>
          <a:off x="4603072" y="74567277"/>
          <a:ext cx="33655" cy="33655"/>
          <a:chOff x="0" y="0"/>
          <a:chExt cx="33655" cy="33655"/>
        </a:xfrm>
      </xdr:grpSpPr>
      <xdr:sp macro="" textlink="">
        <xdr:nvSpPr>
          <xdr:cNvPr id="10632" name="Shape 33">
            <a:extLst>
              <a:ext uri="{FF2B5EF4-FFF2-40B4-BE49-F238E27FC236}">
                <a16:creationId xmlns:a16="http://schemas.microsoft.com/office/drawing/2014/main" id="{6D877C2A-FFCF-FE93-DADE-73CE9F78607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33" name="Shape 34">
            <a:extLst>
              <a:ext uri="{FF2B5EF4-FFF2-40B4-BE49-F238E27FC236}">
                <a16:creationId xmlns:a16="http://schemas.microsoft.com/office/drawing/2014/main" id="{3EFEF6CA-FDEF-123C-5689-041D76F4AE1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34" name="Shape 35">
            <a:extLst>
              <a:ext uri="{FF2B5EF4-FFF2-40B4-BE49-F238E27FC236}">
                <a16:creationId xmlns:a16="http://schemas.microsoft.com/office/drawing/2014/main" id="{8B907722-8E78-5562-7E9E-7A64636CBA6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35" name="Shape 36">
            <a:extLst>
              <a:ext uri="{FF2B5EF4-FFF2-40B4-BE49-F238E27FC236}">
                <a16:creationId xmlns:a16="http://schemas.microsoft.com/office/drawing/2014/main" id="{0C59340E-E3D2-EE91-F448-D2255AFAF03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36" name="Shape 37">
            <a:extLst>
              <a:ext uri="{FF2B5EF4-FFF2-40B4-BE49-F238E27FC236}">
                <a16:creationId xmlns:a16="http://schemas.microsoft.com/office/drawing/2014/main" id="{777037CE-8D42-0975-99D3-6CDCC94DBE6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37" name="Shape 38">
            <a:extLst>
              <a:ext uri="{FF2B5EF4-FFF2-40B4-BE49-F238E27FC236}">
                <a16:creationId xmlns:a16="http://schemas.microsoft.com/office/drawing/2014/main" id="{7E35C7CF-E251-D95E-B73C-CDA9424E7D8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38" name="Shape 39">
            <a:extLst>
              <a:ext uri="{FF2B5EF4-FFF2-40B4-BE49-F238E27FC236}">
                <a16:creationId xmlns:a16="http://schemas.microsoft.com/office/drawing/2014/main" id="{013DF0BB-7755-B832-E3E7-7F814BC14DF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39" name="Shape 40">
            <a:extLst>
              <a:ext uri="{FF2B5EF4-FFF2-40B4-BE49-F238E27FC236}">
                <a16:creationId xmlns:a16="http://schemas.microsoft.com/office/drawing/2014/main" id="{EACD4732-129A-387E-501E-7BB5E5A7264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40" name="Shape 41">
            <a:extLst>
              <a:ext uri="{FF2B5EF4-FFF2-40B4-BE49-F238E27FC236}">
                <a16:creationId xmlns:a16="http://schemas.microsoft.com/office/drawing/2014/main" id="{B69C9657-9779-1674-8FBC-F25C989CF32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41" name="Shape 42">
            <a:extLst>
              <a:ext uri="{FF2B5EF4-FFF2-40B4-BE49-F238E27FC236}">
                <a16:creationId xmlns:a16="http://schemas.microsoft.com/office/drawing/2014/main" id="{E1719058-4919-FDD5-1ED5-450E6A648CA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42" name="Shape 43">
            <a:extLst>
              <a:ext uri="{FF2B5EF4-FFF2-40B4-BE49-F238E27FC236}">
                <a16:creationId xmlns:a16="http://schemas.microsoft.com/office/drawing/2014/main" id="{BD15A20A-89E5-EC81-F5FD-90A0F43BEFC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43" name="Shape 44">
            <a:extLst>
              <a:ext uri="{FF2B5EF4-FFF2-40B4-BE49-F238E27FC236}">
                <a16:creationId xmlns:a16="http://schemas.microsoft.com/office/drawing/2014/main" id="{193DFC28-5F6D-D434-95C5-ECE5853DFE8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44" name="Shape 45">
            <a:extLst>
              <a:ext uri="{FF2B5EF4-FFF2-40B4-BE49-F238E27FC236}">
                <a16:creationId xmlns:a16="http://schemas.microsoft.com/office/drawing/2014/main" id="{6FFEBDC3-5AF8-5A73-F778-51DA4986917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45" name="Shape 46">
            <a:extLst>
              <a:ext uri="{FF2B5EF4-FFF2-40B4-BE49-F238E27FC236}">
                <a16:creationId xmlns:a16="http://schemas.microsoft.com/office/drawing/2014/main" id="{4A044B9E-0D15-30CF-E6DE-80655352D5C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389</xdr:row>
      <xdr:rowOff>3409</xdr:rowOff>
    </xdr:from>
    <xdr:ext cx="33655" cy="33655"/>
    <xdr:grpSp>
      <xdr:nvGrpSpPr>
        <xdr:cNvPr id="10646" name="Group 47">
          <a:extLst>
            <a:ext uri="{FF2B5EF4-FFF2-40B4-BE49-F238E27FC236}">
              <a16:creationId xmlns:a16="http://schemas.microsoft.com/office/drawing/2014/main" id="{EB2AB9AB-CD26-412C-B54B-BD0A991596AB}"/>
            </a:ext>
          </a:extLst>
        </xdr:cNvPr>
        <xdr:cNvGrpSpPr/>
      </xdr:nvGrpSpPr>
      <xdr:grpSpPr>
        <a:xfrm>
          <a:off x="4603072" y="74566983"/>
          <a:ext cx="33655" cy="33655"/>
          <a:chOff x="0" y="0"/>
          <a:chExt cx="33655" cy="33655"/>
        </a:xfrm>
      </xdr:grpSpPr>
      <xdr:sp macro="" textlink="">
        <xdr:nvSpPr>
          <xdr:cNvPr id="10647" name="Shape 48">
            <a:extLst>
              <a:ext uri="{FF2B5EF4-FFF2-40B4-BE49-F238E27FC236}">
                <a16:creationId xmlns:a16="http://schemas.microsoft.com/office/drawing/2014/main" id="{8A65BC7E-0596-2C1B-5497-9054400869E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48" name="Shape 49">
            <a:extLst>
              <a:ext uri="{FF2B5EF4-FFF2-40B4-BE49-F238E27FC236}">
                <a16:creationId xmlns:a16="http://schemas.microsoft.com/office/drawing/2014/main" id="{22C9EA2D-3CB5-AFC8-0B7A-24BCBFF3D02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49" name="Shape 50">
            <a:extLst>
              <a:ext uri="{FF2B5EF4-FFF2-40B4-BE49-F238E27FC236}">
                <a16:creationId xmlns:a16="http://schemas.microsoft.com/office/drawing/2014/main" id="{383ABD28-1DF4-9CEA-F4DF-E8FB6DB8CFC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50" name="Shape 51">
            <a:extLst>
              <a:ext uri="{FF2B5EF4-FFF2-40B4-BE49-F238E27FC236}">
                <a16:creationId xmlns:a16="http://schemas.microsoft.com/office/drawing/2014/main" id="{973D0D80-36D0-7EB6-056F-68FC3FA5D05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51" name="Shape 52">
            <a:extLst>
              <a:ext uri="{FF2B5EF4-FFF2-40B4-BE49-F238E27FC236}">
                <a16:creationId xmlns:a16="http://schemas.microsoft.com/office/drawing/2014/main" id="{58BB4CF7-6168-2530-D643-7A8AC36D6A3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52" name="Shape 53">
            <a:extLst>
              <a:ext uri="{FF2B5EF4-FFF2-40B4-BE49-F238E27FC236}">
                <a16:creationId xmlns:a16="http://schemas.microsoft.com/office/drawing/2014/main" id="{633AC4C8-669A-589C-F8CD-E1B8A862B7A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53" name="Shape 54">
            <a:extLst>
              <a:ext uri="{FF2B5EF4-FFF2-40B4-BE49-F238E27FC236}">
                <a16:creationId xmlns:a16="http://schemas.microsoft.com/office/drawing/2014/main" id="{33B39CF7-E853-7845-FFD7-938A599C154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54" name="Shape 55">
            <a:extLst>
              <a:ext uri="{FF2B5EF4-FFF2-40B4-BE49-F238E27FC236}">
                <a16:creationId xmlns:a16="http://schemas.microsoft.com/office/drawing/2014/main" id="{21A2D70E-0237-E3A3-EC2D-4F1433DC67A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55" name="Shape 56">
            <a:extLst>
              <a:ext uri="{FF2B5EF4-FFF2-40B4-BE49-F238E27FC236}">
                <a16:creationId xmlns:a16="http://schemas.microsoft.com/office/drawing/2014/main" id="{6108D06D-FA4D-5B52-690B-06BF366623A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56" name="Shape 57">
            <a:extLst>
              <a:ext uri="{FF2B5EF4-FFF2-40B4-BE49-F238E27FC236}">
                <a16:creationId xmlns:a16="http://schemas.microsoft.com/office/drawing/2014/main" id="{AFC7E0A1-4A3F-2122-61BD-C2F1881B4D0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57" name="Shape 58">
            <a:extLst>
              <a:ext uri="{FF2B5EF4-FFF2-40B4-BE49-F238E27FC236}">
                <a16:creationId xmlns:a16="http://schemas.microsoft.com/office/drawing/2014/main" id="{CB786C46-DF1F-3402-37CD-0721CE6E91A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58" name="Shape 59">
            <a:extLst>
              <a:ext uri="{FF2B5EF4-FFF2-40B4-BE49-F238E27FC236}">
                <a16:creationId xmlns:a16="http://schemas.microsoft.com/office/drawing/2014/main" id="{BED7D552-DA74-AB46-D343-E2EFED1D602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59" name="Shape 60">
            <a:extLst>
              <a:ext uri="{FF2B5EF4-FFF2-40B4-BE49-F238E27FC236}">
                <a16:creationId xmlns:a16="http://schemas.microsoft.com/office/drawing/2014/main" id="{26713B04-6B4D-1CD4-4463-EEC9E87D293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60" name="Shape 61">
            <a:extLst>
              <a:ext uri="{FF2B5EF4-FFF2-40B4-BE49-F238E27FC236}">
                <a16:creationId xmlns:a16="http://schemas.microsoft.com/office/drawing/2014/main" id="{5B980AEC-DB73-3004-9867-4D441E0F7E0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389</xdr:row>
      <xdr:rowOff>3962</xdr:rowOff>
    </xdr:from>
    <xdr:ext cx="33655" cy="33655"/>
    <xdr:grpSp>
      <xdr:nvGrpSpPr>
        <xdr:cNvPr id="10661" name="Group 62">
          <a:extLst>
            <a:ext uri="{FF2B5EF4-FFF2-40B4-BE49-F238E27FC236}">
              <a16:creationId xmlns:a16="http://schemas.microsoft.com/office/drawing/2014/main" id="{808B191B-F55C-4AC6-928E-61CD4E7E2644}"/>
            </a:ext>
          </a:extLst>
        </xdr:cNvPr>
        <xdr:cNvGrpSpPr/>
      </xdr:nvGrpSpPr>
      <xdr:grpSpPr>
        <a:xfrm>
          <a:off x="4603072" y="74567536"/>
          <a:ext cx="33655" cy="33655"/>
          <a:chOff x="0" y="0"/>
          <a:chExt cx="33655" cy="33655"/>
        </a:xfrm>
      </xdr:grpSpPr>
      <xdr:sp macro="" textlink="">
        <xdr:nvSpPr>
          <xdr:cNvPr id="10662" name="Shape 63">
            <a:extLst>
              <a:ext uri="{FF2B5EF4-FFF2-40B4-BE49-F238E27FC236}">
                <a16:creationId xmlns:a16="http://schemas.microsoft.com/office/drawing/2014/main" id="{9A930597-DA10-AC61-243C-18356C10DB50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63" name="Shape 64">
            <a:extLst>
              <a:ext uri="{FF2B5EF4-FFF2-40B4-BE49-F238E27FC236}">
                <a16:creationId xmlns:a16="http://schemas.microsoft.com/office/drawing/2014/main" id="{B98FE92E-58DC-47BB-64FB-ABA6A92E2CE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664" name="Shape 65">
            <a:extLst>
              <a:ext uri="{FF2B5EF4-FFF2-40B4-BE49-F238E27FC236}">
                <a16:creationId xmlns:a16="http://schemas.microsoft.com/office/drawing/2014/main" id="{51DB9E29-66EC-DA68-CDE1-ABC46F9F2D4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65" name="Shape 66">
            <a:extLst>
              <a:ext uri="{FF2B5EF4-FFF2-40B4-BE49-F238E27FC236}">
                <a16:creationId xmlns:a16="http://schemas.microsoft.com/office/drawing/2014/main" id="{2134628A-A28A-0166-4401-37CD66D8D03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666" name="Shape 67">
            <a:extLst>
              <a:ext uri="{FF2B5EF4-FFF2-40B4-BE49-F238E27FC236}">
                <a16:creationId xmlns:a16="http://schemas.microsoft.com/office/drawing/2014/main" id="{E91B572E-99B0-25AD-323F-494C3DC08B9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67" name="Shape 68">
            <a:extLst>
              <a:ext uri="{FF2B5EF4-FFF2-40B4-BE49-F238E27FC236}">
                <a16:creationId xmlns:a16="http://schemas.microsoft.com/office/drawing/2014/main" id="{F364FE6F-B21C-E802-5181-51447B651E7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668" name="Shape 69">
            <a:extLst>
              <a:ext uri="{FF2B5EF4-FFF2-40B4-BE49-F238E27FC236}">
                <a16:creationId xmlns:a16="http://schemas.microsoft.com/office/drawing/2014/main" id="{8B7B5E81-6CF8-3E31-626D-ADBD957C11A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69" name="Shape 70">
            <a:extLst>
              <a:ext uri="{FF2B5EF4-FFF2-40B4-BE49-F238E27FC236}">
                <a16:creationId xmlns:a16="http://schemas.microsoft.com/office/drawing/2014/main" id="{AC9BC814-E94F-01CD-6E52-9795F0276820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670" name="Shape 71">
            <a:extLst>
              <a:ext uri="{FF2B5EF4-FFF2-40B4-BE49-F238E27FC236}">
                <a16:creationId xmlns:a16="http://schemas.microsoft.com/office/drawing/2014/main" id="{3A4AF062-EF81-C9A9-AB45-A60B8A0A4DD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71" name="Shape 72">
            <a:extLst>
              <a:ext uri="{FF2B5EF4-FFF2-40B4-BE49-F238E27FC236}">
                <a16:creationId xmlns:a16="http://schemas.microsoft.com/office/drawing/2014/main" id="{9AA950E4-0C96-39C1-D295-4C766B208B2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672" name="Shape 73">
            <a:extLst>
              <a:ext uri="{FF2B5EF4-FFF2-40B4-BE49-F238E27FC236}">
                <a16:creationId xmlns:a16="http://schemas.microsoft.com/office/drawing/2014/main" id="{B1EB15EB-AD58-4C23-1BD8-971B9AFED3D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73" name="Shape 74">
            <a:extLst>
              <a:ext uri="{FF2B5EF4-FFF2-40B4-BE49-F238E27FC236}">
                <a16:creationId xmlns:a16="http://schemas.microsoft.com/office/drawing/2014/main" id="{8A4AD634-789B-6253-84DD-5BC503B06FE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674" name="Shape 75">
            <a:extLst>
              <a:ext uri="{FF2B5EF4-FFF2-40B4-BE49-F238E27FC236}">
                <a16:creationId xmlns:a16="http://schemas.microsoft.com/office/drawing/2014/main" id="{8B4339B9-F414-B67E-BD15-1BE6C4D0241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675" name="Shape 76">
            <a:extLst>
              <a:ext uri="{FF2B5EF4-FFF2-40B4-BE49-F238E27FC236}">
                <a16:creationId xmlns:a16="http://schemas.microsoft.com/office/drawing/2014/main" id="{00E23148-F5B5-C689-82DD-DF14283096A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389</xdr:row>
      <xdr:rowOff>2978</xdr:rowOff>
    </xdr:from>
    <xdr:ext cx="33655" cy="33655"/>
    <xdr:grpSp>
      <xdr:nvGrpSpPr>
        <xdr:cNvPr id="10676" name="Group 2">
          <a:extLst>
            <a:ext uri="{FF2B5EF4-FFF2-40B4-BE49-F238E27FC236}">
              <a16:creationId xmlns:a16="http://schemas.microsoft.com/office/drawing/2014/main" id="{0E4B72C4-4C27-4B81-AD87-763671E3119C}"/>
            </a:ext>
          </a:extLst>
        </xdr:cNvPr>
        <xdr:cNvGrpSpPr/>
      </xdr:nvGrpSpPr>
      <xdr:grpSpPr>
        <a:xfrm>
          <a:off x="4603072" y="74566552"/>
          <a:ext cx="33655" cy="33655"/>
          <a:chOff x="0" y="0"/>
          <a:chExt cx="33655" cy="33655"/>
        </a:xfrm>
      </xdr:grpSpPr>
      <xdr:sp macro="" textlink="">
        <xdr:nvSpPr>
          <xdr:cNvPr id="10677" name="Shape 3">
            <a:extLst>
              <a:ext uri="{FF2B5EF4-FFF2-40B4-BE49-F238E27FC236}">
                <a16:creationId xmlns:a16="http://schemas.microsoft.com/office/drawing/2014/main" id="{8EDCFC85-85A7-31D1-EAE0-88942996746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78" name="Shape 4">
            <a:extLst>
              <a:ext uri="{FF2B5EF4-FFF2-40B4-BE49-F238E27FC236}">
                <a16:creationId xmlns:a16="http://schemas.microsoft.com/office/drawing/2014/main" id="{B36F1957-E2A4-FFB7-0FE0-954DA45CEA3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79" name="Shape 5">
            <a:extLst>
              <a:ext uri="{FF2B5EF4-FFF2-40B4-BE49-F238E27FC236}">
                <a16:creationId xmlns:a16="http://schemas.microsoft.com/office/drawing/2014/main" id="{90C3BE50-0814-73C4-64F3-0ADFF0A918A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80" name="Shape 6">
            <a:extLst>
              <a:ext uri="{FF2B5EF4-FFF2-40B4-BE49-F238E27FC236}">
                <a16:creationId xmlns:a16="http://schemas.microsoft.com/office/drawing/2014/main" id="{C6350034-353C-DCB0-2D73-8B50726AA21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81" name="Shape 7">
            <a:extLst>
              <a:ext uri="{FF2B5EF4-FFF2-40B4-BE49-F238E27FC236}">
                <a16:creationId xmlns:a16="http://schemas.microsoft.com/office/drawing/2014/main" id="{DDEF32CE-011D-BB5A-679F-32D959E6659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82" name="Shape 8">
            <a:extLst>
              <a:ext uri="{FF2B5EF4-FFF2-40B4-BE49-F238E27FC236}">
                <a16:creationId xmlns:a16="http://schemas.microsoft.com/office/drawing/2014/main" id="{E1141119-0C63-25C6-205C-1F041FDFD2D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83" name="Shape 9">
            <a:extLst>
              <a:ext uri="{FF2B5EF4-FFF2-40B4-BE49-F238E27FC236}">
                <a16:creationId xmlns:a16="http://schemas.microsoft.com/office/drawing/2014/main" id="{E816FD93-E755-199E-4717-AD34242F377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84" name="Shape 10">
            <a:extLst>
              <a:ext uri="{FF2B5EF4-FFF2-40B4-BE49-F238E27FC236}">
                <a16:creationId xmlns:a16="http://schemas.microsoft.com/office/drawing/2014/main" id="{73BD7C0A-BCAF-EF26-055D-9B051F263FD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85" name="Shape 11">
            <a:extLst>
              <a:ext uri="{FF2B5EF4-FFF2-40B4-BE49-F238E27FC236}">
                <a16:creationId xmlns:a16="http://schemas.microsoft.com/office/drawing/2014/main" id="{4E98773B-2A84-16D9-7595-EE9CFC1B2F8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86" name="Shape 12">
            <a:extLst>
              <a:ext uri="{FF2B5EF4-FFF2-40B4-BE49-F238E27FC236}">
                <a16:creationId xmlns:a16="http://schemas.microsoft.com/office/drawing/2014/main" id="{3665D93B-A23A-64A3-2B80-9B49D2598A4A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87" name="Shape 13">
            <a:extLst>
              <a:ext uri="{FF2B5EF4-FFF2-40B4-BE49-F238E27FC236}">
                <a16:creationId xmlns:a16="http://schemas.microsoft.com/office/drawing/2014/main" id="{85B32E85-7669-B975-8AF4-E0974625155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88" name="Shape 14">
            <a:extLst>
              <a:ext uri="{FF2B5EF4-FFF2-40B4-BE49-F238E27FC236}">
                <a16:creationId xmlns:a16="http://schemas.microsoft.com/office/drawing/2014/main" id="{C6329AD3-E52B-7FB8-77BE-520CFB507F24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89" name="Shape 15">
            <a:extLst>
              <a:ext uri="{FF2B5EF4-FFF2-40B4-BE49-F238E27FC236}">
                <a16:creationId xmlns:a16="http://schemas.microsoft.com/office/drawing/2014/main" id="{AFC89545-649D-CBC6-2B70-C93542D39EF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90" name="Shape 16">
            <a:extLst>
              <a:ext uri="{FF2B5EF4-FFF2-40B4-BE49-F238E27FC236}">
                <a16:creationId xmlns:a16="http://schemas.microsoft.com/office/drawing/2014/main" id="{8FCA2096-9041-E37A-1F37-7438CB05D7E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389</xdr:row>
      <xdr:rowOff>3246</xdr:rowOff>
    </xdr:from>
    <xdr:ext cx="33655" cy="33655"/>
    <xdr:grpSp>
      <xdr:nvGrpSpPr>
        <xdr:cNvPr id="10691" name="Group 17">
          <a:extLst>
            <a:ext uri="{FF2B5EF4-FFF2-40B4-BE49-F238E27FC236}">
              <a16:creationId xmlns:a16="http://schemas.microsoft.com/office/drawing/2014/main" id="{5A1B8133-E780-4B89-B72E-7BA715404A65}"/>
            </a:ext>
          </a:extLst>
        </xdr:cNvPr>
        <xdr:cNvGrpSpPr/>
      </xdr:nvGrpSpPr>
      <xdr:grpSpPr>
        <a:xfrm>
          <a:off x="4603072" y="74566820"/>
          <a:ext cx="33655" cy="33655"/>
          <a:chOff x="0" y="0"/>
          <a:chExt cx="33655" cy="33655"/>
        </a:xfrm>
      </xdr:grpSpPr>
      <xdr:sp macro="" textlink="">
        <xdr:nvSpPr>
          <xdr:cNvPr id="10692" name="Shape 18">
            <a:extLst>
              <a:ext uri="{FF2B5EF4-FFF2-40B4-BE49-F238E27FC236}">
                <a16:creationId xmlns:a16="http://schemas.microsoft.com/office/drawing/2014/main" id="{314455F7-FC4C-4873-478C-57CDE08AE65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93" name="Shape 19">
            <a:extLst>
              <a:ext uri="{FF2B5EF4-FFF2-40B4-BE49-F238E27FC236}">
                <a16:creationId xmlns:a16="http://schemas.microsoft.com/office/drawing/2014/main" id="{F5B4941D-899C-FDFD-6321-D77AEA49A01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94" name="Shape 20">
            <a:extLst>
              <a:ext uri="{FF2B5EF4-FFF2-40B4-BE49-F238E27FC236}">
                <a16:creationId xmlns:a16="http://schemas.microsoft.com/office/drawing/2014/main" id="{A8AEC18C-52E4-56EB-A68B-867FB5D083E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95" name="Shape 21">
            <a:extLst>
              <a:ext uri="{FF2B5EF4-FFF2-40B4-BE49-F238E27FC236}">
                <a16:creationId xmlns:a16="http://schemas.microsoft.com/office/drawing/2014/main" id="{3C496978-A792-5C5C-E2F2-A317573662B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96" name="Shape 22">
            <a:extLst>
              <a:ext uri="{FF2B5EF4-FFF2-40B4-BE49-F238E27FC236}">
                <a16:creationId xmlns:a16="http://schemas.microsoft.com/office/drawing/2014/main" id="{F975FB86-5BE1-29F1-0F5A-06FAB2C96E8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97" name="Shape 23">
            <a:extLst>
              <a:ext uri="{FF2B5EF4-FFF2-40B4-BE49-F238E27FC236}">
                <a16:creationId xmlns:a16="http://schemas.microsoft.com/office/drawing/2014/main" id="{28A4C4D5-719F-99E3-4738-35295600B1D3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698" name="Shape 24">
            <a:extLst>
              <a:ext uri="{FF2B5EF4-FFF2-40B4-BE49-F238E27FC236}">
                <a16:creationId xmlns:a16="http://schemas.microsoft.com/office/drawing/2014/main" id="{969954DC-CAFB-B34A-6498-CEEE3B8CD2D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699" name="Shape 25">
            <a:extLst>
              <a:ext uri="{FF2B5EF4-FFF2-40B4-BE49-F238E27FC236}">
                <a16:creationId xmlns:a16="http://schemas.microsoft.com/office/drawing/2014/main" id="{D648BDF5-2F98-CDDB-7488-96EE7F73289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00" name="Shape 26">
            <a:extLst>
              <a:ext uri="{FF2B5EF4-FFF2-40B4-BE49-F238E27FC236}">
                <a16:creationId xmlns:a16="http://schemas.microsoft.com/office/drawing/2014/main" id="{A96519E2-7179-C366-D4EE-7031A09BA74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01" name="Shape 27">
            <a:extLst>
              <a:ext uri="{FF2B5EF4-FFF2-40B4-BE49-F238E27FC236}">
                <a16:creationId xmlns:a16="http://schemas.microsoft.com/office/drawing/2014/main" id="{B9B4674A-B778-8EB0-666E-A571D62A086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02" name="Shape 28">
            <a:extLst>
              <a:ext uri="{FF2B5EF4-FFF2-40B4-BE49-F238E27FC236}">
                <a16:creationId xmlns:a16="http://schemas.microsoft.com/office/drawing/2014/main" id="{A7618E6D-C70F-2906-EBAF-5E4B7788D3A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03" name="Shape 29">
            <a:extLst>
              <a:ext uri="{FF2B5EF4-FFF2-40B4-BE49-F238E27FC236}">
                <a16:creationId xmlns:a16="http://schemas.microsoft.com/office/drawing/2014/main" id="{763FBAFB-6949-67AF-12F6-1CE5F0618F9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04" name="Shape 30">
            <a:extLst>
              <a:ext uri="{FF2B5EF4-FFF2-40B4-BE49-F238E27FC236}">
                <a16:creationId xmlns:a16="http://schemas.microsoft.com/office/drawing/2014/main" id="{6EA20B35-EF5C-5773-7791-64E81863553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05" name="Shape 31">
            <a:extLst>
              <a:ext uri="{FF2B5EF4-FFF2-40B4-BE49-F238E27FC236}">
                <a16:creationId xmlns:a16="http://schemas.microsoft.com/office/drawing/2014/main" id="{5CF164FE-4848-AA08-5DC3-33F29816561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389</xdr:row>
      <xdr:rowOff>3703</xdr:rowOff>
    </xdr:from>
    <xdr:ext cx="33655" cy="33655"/>
    <xdr:grpSp>
      <xdr:nvGrpSpPr>
        <xdr:cNvPr id="10706" name="Group 32">
          <a:extLst>
            <a:ext uri="{FF2B5EF4-FFF2-40B4-BE49-F238E27FC236}">
              <a16:creationId xmlns:a16="http://schemas.microsoft.com/office/drawing/2014/main" id="{70D04081-BED1-4AB3-B295-820FB60B8579}"/>
            </a:ext>
          </a:extLst>
        </xdr:cNvPr>
        <xdr:cNvGrpSpPr/>
      </xdr:nvGrpSpPr>
      <xdr:grpSpPr>
        <a:xfrm>
          <a:off x="4603072" y="74567277"/>
          <a:ext cx="33655" cy="33655"/>
          <a:chOff x="0" y="0"/>
          <a:chExt cx="33655" cy="33655"/>
        </a:xfrm>
      </xdr:grpSpPr>
      <xdr:sp macro="" textlink="">
        <xdr:nvSpPr>
          <xdr:cNvPr id="10707" name="Shape 33">
            <a:extLst>
              <a:ext uri="{FF2B5EF4-FFF2-40B4-BE49-F238E27FC236}">
                <a16:creationId xmlns:a16="http://schemas.microsoft.com/office/drawing/2014/main" id="{E465EB11-662E-DEE2-F70B-ED1F492CE064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08" name="Shape 34">
            <a:extLst>
              <a:ext uri="{FF2B5EF4-FFF2-40B4-BE49-F238E27FC236}">
                <a16:creationId xmlns:a16="http://schemas.microsoft.com/office/drawing/2014/main" id="{67A20036-9242-7194-3EFA-44B4388457B2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09" name="Shape 35">
            <a:extLst>
              <a:ext uri="{FF2B5EF4-FFF2-40B4-BE49-F238E27FC236}">
                <a16:creationId xmlns:a16="http://schemas.microsoft.com/office/drawing/2014/main" id="{B916BF21-05B9-47B2-FEEA-FA7F140777B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10" name="Shape 36">
            <a:extLst>
              <a:ext uri="{FF2B5EF4-FFF2-40B4-BE49-F238E27FC236}">
                <a16:creationId xmlns:a16="http://schemas.microsoft.com/office/drawing/2014/main" id="{3932DE15-5582-B8AF-4622-7F6BF1B078F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11" name="Shape 37">
            <a:extLst>
              <a:ext uri="{FF2B5EF4-FFF2-40B4-BE49-F238E27FC236}">
                <a16:creationId xmlns:a16="http://schemas.microsoft.com/office/drawing/2014/main" id="{A63FDB05-3C62-B277-CE3A-686CA7C75E9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12" name="Shape 38">
            <a:extLst>
              <a:ext uri="{FF2B5EF4-FFF2-40B4-BE49-F238E27FC236}">
                <a16:creationId xmlns:a16="http://schemas.microsoft.com/office/drawing/2014/main" id="{9153690B-15DE-46DB-E3BB-8477E3698A2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13" name="Shape 39">
            <a:extLst>
              <a:ext uri="{FF2B5EF4-FFF2-40B4-BE49-F238E27FC236}">
                <a16:creationId xmlns:a16="http://schemas.microsoft.com/office/drawing/2014/main" id="{E3707FF0-8318-BF89-2056-9FED0BF3D95C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14" name="Shape 40">
            <a:extLst>
              <a:ext uri="{FF2B5EF4-FFF2-40B4-BE49-F238E27FC236}">
                <a16:creationId xmlns:a16="http://schemas.microsoft.com/office/drawing/2014/main" id="{4104807F-C7EF-2A04-BEB8-EA3BCB16A6E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15" name="Shape 41">
            <a:extLst>
              <a:ext uri="{FF2B5EF4-FFF2-40B4-BE49-F238E27FC236}">
                <a16:creationId xmlns:a16="http://schemas.microsoft.com/office/drawing/2014/main" id="{B3831435-DB3D-A638-9522-1C712C07FE1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16" name="Shape 42">
            <a:extLst>
              <a:ext uri="{FF2B5EF4-FFF2-40B4-BE49-F238E27FC236}">
                <a16:creationId xmlns:a16="http://schemas.microsoft.com/office/drawing/2014/main" id="{A5D443BB-6A05-8E2F-6C37-ACAF631C270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17" name="Shape 43">
            <a:extLst>
              <a:ext uri="{FF2B5EF4-FFF2-40B4-BE49-F238E27FC236}">
                <a16:creationId xmlns:a16="http://schemas.microsoft.com/office/drawing/2014/main" id="{C7D21F1D-18D1-7A96-92F1-C20251DF305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18" name="Shape 44">
            <a:extLst>
              <a:ext uri="{FF2B5EF4-FFF2-40B4-BE49-F238E27FC236}">
                <a16:creationId xmlns:a16="http://schemas.microsoft.com/office/drawing/2014/main" id="{6EF80536-A290-43FF-0ACB-988B7753C24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19" name="Shape 45">
            <a:extLst>
              <a:ext uri="{FF2B5EF4-FFF2-40B4-BE49-F238E27FC236}">
                <a16:creationId xmlns:a16="http://schemas.microsoft.com/office/drawing/2014/main" id="{2610C68E-AD03-E333-36E3-94F8944295A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20" name="Shape 46">
            <a:extLst>
              <a:ext uri="{FF2B5EF4-FFF2-40B4-BE49-F238E27FC236}">
                <a16:creationId xmlns:a16="http://schemas.microsoft.com/office/drawing/2014/main" id="{952ACC31-C43F-CF40-5E90-65E6805DADB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389</xdr:row>
      <xdr:rowOff>3409</xdr:rowOff>
    </xdr:from>
    <xdr:ext cx="33655" cy="33655"/>
    <xdr:grpSp>
      <xdr:nvGrpSpPr>
        <xdr:cNvPr id="10721" name="Group 47">
          <a:extLst>
            <a:ext uri="{FF2B5EF4-FFF2-40B4-BE49-F238E27FC236}">
              <a16:creationId xmlns:a16="http://schemas.microsoft.com/office/drawing/2014/main" id="{7BB59E3A-CE7B-4116-9627-1FCF6A64AF93}"/>
            </a:ext>
          </a:extLst>
        </xdr:cNvPr>
        <xdr:cNvGrpSpPr/>
      </xdr:nvGrpSpPr>
      <xdr:grpSpPr>
        <a:xfrm>
          <a:off x="4603072" y="74566983"/>
          <a:ext cx="33655" cy="33655"/>
          <a:chOff x="0" y="0"/>
          <a:chExt cx="33655" cy="33655"/>
        </a:xfrm>
      </xdr:grpSpPr>
      <xdr:sp macro="" textlink="">
        <xdr:nvSpPr>
          <xdr:cNvPr id="10722" name="Shape 48">
            <a:extLst>
              <a:ext uri="{FF2B5EF4-FFF2-40B4-BE49-F238E27FC236}">
                <a16:creationId xmlns:a16="http://schemas.microsoft.com/office/drawing/2014/main" id="{CB459C89-EE7D-FF2E-1286-08531199705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23" name="Shape 49">
            <a:extLst>
              <a:ext uri="{FF2B5EF4-FFF2-40B4-BE49-F238E27FC236}">
                <a16:creationId xmlns:a16="http://schemas.microsoft.com/office/drawing/2014/main" id="{69BD8ED2-DE86-51FD-DA78-0C60425D729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24" name="Shape 50">
            <a:extLst>
              <a:ext uri="{FF2B5EF4-FFF2-40B4-BE49-F238E27FC236}">
                <a16:creationId xmlns:a16="http://schemas.microsoft.com/office/drawing/2014/main" id="{3763ED5E-6E08-F035-5C3B-06C16C092B6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25" name="Shape 51">
            <a:extLst>
              <a:ext uri="{FF2B5EF4-FFF2-40B4-BE49-F238E27FC236}">
                <a16:creationId xmlns:a16="http://schemas.microsoft.com/office/drawing/2014/main" id="{12F43756-25AF-F6F0-0590-29754246249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26" name="Shape 52">
            <a:extLst>
              <a:ext uri="{FF2B5EF4-FFF2-40B4-BE49-F238E27FC236}">
                <a16:creationId xmlns:a16="http://schemas.microsoft.com/office/drawing/2014/main" id="{31584941-7328-4324-055A-9589DACDBC3C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27" name="Shape 53">
            <a:extLst>
              <a:ext uri="{FF2B5EF4-FFF2-40B4-BE49-F238E27FC236}">
                <a16:creationId xmlns:a16="http://schemas.microsoft.com/office/drawing/2014/main" id="{705DDE3D-FEF4-63FE-6172-F26278F408A2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28" name="Shape 54">
            <a:extLst>
              <a:ext uri="{FF2B5EF4-FFF2-40B4-BE49-F238E27FC236}">
                <a16:creationId xmlns:a16="http://schemas.microsoft.com/office/drawing/2014/main" id="{90A8F2E9-E114-3397-EF4A-2C37AFBB637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29" name="Shape 55">
            <a:extLst>
              <a:ext uri="{FF2B5EF4-FFF2-40B4-BE49-F238E27FC236}">
                <a16:creationId xmlns:a16="http://schemas.microsoft.com/office/drawing/2014/main" id="{3D62DF3F-98F7-EE04-A04C-61A1FF9782C2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30" name="Shape 56">
            <a:extLst>
              <a:ext uri="{FF2B5EF4-FFF2-40B4-BE49-F238E27FC236}">
                <a16:creationId xmlns:a16="http://schemas.microsoft.com/office/drawing/2014/main" id="{93498194-E0D7-4768-428E-909D2B2CF55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31" name="Shape 57">
            <a:extLst>
              <a:ext uri="{FF2B5EF4-FFF2-40B4-BE49-F238E27FC236}">
                <a16:creationId xmlns:a16="http://schemas.microsoft.com/office/drawing/2014/main" id="{3931933D-B752-AC20-343C-DB60614D3B7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32" name="Shape 58">
            <a:extLst>
              <a:ext uri="{FF2B5EF4-FFF2-40B4-BE49-F238E27FC236}">
                <a16:creationId xmlns:a16="http://schemas.microsoft.com/office/drawing/2014/main" id="{95596D54-24C7-6F4E-45A6-D8B8DE80BB58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33" name="Shape 59">
            <a:extLst>
              <a:ext uri="{FF2B5EF4-FFF2-40B4-BE49-F238E27FC236}">
                <a16:creationId xmlns:a16="http://schemas.microsoft.com/office/drawing/2014/main" id="{2D78DA01-86EA-EB18-8E97-CB6B504B9B1F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34" name="Shape 60">
            <a:extLst>
              <a:ext uri="{FF2B5EF4-FFF2-40B4-BE49-F238E27FC236}">
                <a16:creationId xmlns:a16="http://schemas.microsoft.com/office/drawing/2014/main" id="{3D0BBE88-6D07-1F59-896E-F0A170C401A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35" name="Shape 61">
            <a:extLst>
              <a:ext uri="{FF2B5EF4-FFF2-40B4-BE49-F238E27FC236}">
                <a16:creationId xmlns:a16="http://schemas.microsoft.com/office/drawing/2014/main" id="{D97C39E0-4625-2CB7-32CF-2DE71ACCA76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389</xdr:row>
      <xdr:rowOff>3962</xdr:rowOff>
    </xdr:from>
    <xdr:ext cx="33655" cy="33655"/>
    <xdr:grpSp>
      <xdr:nvGrpSpPr>
        <xdr:cNvPr id="10736" name="Group 62">
          <a:extLst>
            <a:ext uri="{FF2B5EF4-FFF2-40B4-BE49-F238E27FC236}">
              <a16:creationId xmlns:a16="http://schemas.microsoft.com/office/drawing/2014/main" id="{77614F97-39CE-4770-A198-095BE3B66A3F}"/>
            </a:ext>
          </a:extLst>
        </xdr:cNvPr>
        <xdr:cNvGrpSpPr/>
      </xdr:nvGrpSpPr>
      <xdr:grpSpPr>
        <a:xfrm>
          <a:off x="4603072" y="74567536"/>
          <a:ext cx="33655" cy="33655"/>
          <a:chOff x="0" y="0"/>
          <a:chExt cx="33655" cy="33655"/>
        </a:xfrm>
      </xdr:grpSpPr>
      <xdr:sp macro="" textlink="">
        <xdr:nvSpPr>
          <xdr:cNvPr id="10737" name="Shape 63">
            <a:extLst>
              <a:ext uri="{FF2B5EF4-FFF2-40B4-BE49-F238E27FC236}">
                <a16:creationId xmlns:a16="http://schemas.microsoft.com/office/drawing/2014/main" id="{56458A36-0671-6D1A-1961-F0CB7A930BF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38" name="Shape 64">
            <a:extLst>
              <a:ext uri="{FF2B5EF4-FFF2-40B4-BE49-F238E27FC236}">
                <a16:creationId xmlns:a16="http://schemas.microsoft.com/office/drawing/2014/main" id="{5F00943B-1C8C-CB8D-5C45-91778BB224D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739" name="Shape 65">
            <a:extLst>
              <a:ext uri="{FF2B5EF4-FFF2-40B4-BE49-F238E27FC236}">
                <a16:creationId xmlns:a16="http://schemas.microsoft.com/office/drawing/2014/main" id="{EEA6B6D0-5E7E-498C-6BC3-AA80B263ACA7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40" name="Shape 66">
            <a:extLst>
              <a:ext uri="{FF2B5EF4-FFF2-40B4-BE49-F238E27FC236}">
                <a16:creationId xmlns:a16="http://schemas.microsoft.com/office/drawing/2014/main" id="{BA5C9E0D-B85A-83F0-440E-77DFA8F7B0C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741" name="Shape 67">
            <a:extLst>
              <a:ext uri="{FF2B5EF4-FFF2-40B4-BE49-F238E27FC236}">
                <a16:creationId xmlns:a16="http://schemas.microsoft.com/office/drawing/2014/main" id="{3945A695-CACB-0941-0FE6-335EB9044C3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42" name="Shape 68">
            <a:extLst>
              <a:ext uri="{FF2B5EF4-FFF2-40B4-BE49-F238E27FC236}">
                <a16:creationId xmlns:a16="http://schemas.microsoft.com/office/drawing/2014/main" id="{02B02C11-5BBF-E4C3-9B4A-A8D34617D5C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743" name="Shape 69">
            <a:extLst>
              <a:ext uri="{FF2B5EF4-FFF2-40B4-BE49-F238E27FC236}">
                <a16:creationId xmlns:a16="http://schemas.microsoft.com/office/drawing/2014/main" id="{8F1F81A0-AF64-C340-5130-52376889789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44" name="Shape 70">
            <a:extLst>
              <a:ext uri="{FF2B5EF4-FFF2-40B4-BE49-F238E27FC236}">
                <a16:creationId xmlns:a16="http://schemas.microsoft.com/office/drawing/2014/main" id="{550CB161-1B7E-1B8F-CB15-067E9974933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745" name="Shape 71">
            <a:extLst>
              <a:ext uri="{FF2B5EF4-FFF2-40B4-BE49-F238E27FC236}">
                <a16:creationId xmlns:a16="http://schemas.microsoft.com/office/drawing/2014/main" id="{4403CAD9-C875-00E7-665C-DA8BAEDE5C8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46" name="Shape 72">
            <a:extLst>
              <a:ext uri="{FF2B5EF4-FFF2-40B4-BE49-F238E27FC236}">
                <a16:creationId xmlns:a16="http://schemas.microsoft.com/office/drawing/2014/main" id="{CD2EAC6D-2AD2-0158-9F93-7FE7C2B7F8B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747" name="Shape 73">
            <a:extLst>
              <a:ext uri="{FF2B5EF4-FFF2-40B4-BE49-F238E27FC236}">
                <a16:creationId xmlns:a16="http://schemas.microsoft.com/office/drawing/2014/main" id="{5E3085BE-1120-D3FB-688A-EC883F9929A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48" name="Shape 74">
            <a:extLst>
              <a:ext uri="{FF2B5EF4-FFF2-40B4-BE49-F238E27FC236}">
                <a16:creationId xmlns:a16="http://schemas.microsoft.com/office/drawing/2014/main" id="{704A4CF2-91FE-A84F-287A-111CB441BEA9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749" name="Shape 75">
            <a:extLst>
              <a:ext uri="{FF2B5EF4-FFF2-40B4-BE49-F238E27FC236}">
                <a16:creationId xmlns:a16="http://schemas.microsoft.com/office/drawing/2014/main" id="{267AE413-F830-CA10-E189-37D45045B6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750" name="Shape 76">
            <a:extLst>
              <a:ext uri="{FF2B5EF4-FFF2-40B4-BE49-F238E27FC236}">
                <a16:creationId xmlns:a16="http://schemas.microsoft.com/office/drawing/2014/main" id="{08C7A684-C1C0-09C5-2A40-277D7647CE9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408</xdr:row>
      <xdr:rowOff>2978</xdr:rowOff>
    </xdr:from>
    <xdr:ext cx="33655" cy="33655"/>
    <xdr:grpSp>
      <xdr:nvGrpSpPr>
        <xdr:cNvPr id="10751" name="Group 2">
          <a:extLst>
            <a:ext uri="{FF2B5EF4-FFF2-40B4-BE49-F238E27FC236}">
              <a16:creationId xmlns:a16="http://schemas.microsoft.com/office/drawing/2014/main" id="{8D030FC1-6985-43D8-AC89-9E726AD74DF6}"/>
            </a:ext>
          </a:extLst>
        </xdr:cNvPr>
        <xdr:cNvGrpSpPr/>
      </xdr:nvGrpSpPr>
      <xdr:grpSpPr>
        <a:xfrm>
          <a:off x="4603072" y="77901863"/>
          <a:ext cx="33655" cy="33655"/>
          <a:chOff x="0" y="0"/>
          <a:chExt cx="33655" cy="33655"/>
        </a:xfrm>
      </xdr:grpSpPr>
      <xdr:sp macro="" textlink="">
        <xdr:nvSpPr>
          <xdr:cNvPr id="10752" name="Shape 3">
            <a:extLst>
              <a:ext uri="{FF2B5EF4-FFF2-40B4-BE49-F238E27FC236}">
                <a16:creationId xmlns:a16="http://schemas.microsoft.com/office/drawing/2014/main" id="{B307AF3D-E006-DB10-F0D4-21B48D6D44A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53" name="Shape 4">
            <a:extLst>
              <a:ext uri="{FF2B5EF4-FFF2-40B4-BE49-F238E27FC236}">
                <a16:creationId xmlns:a16="http://schemas.microsoft.com/office/drawing/2014/main" id="{F880D070-F64D-3F81-A908-AA5F5235B24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54" name="Shape 5">
            <a:extLst>
              <a:ext uri="{FF2B5EF4-FFF2-40B4-BE49-F238E27FC236}">
                <a16:creationId xmlns:a16="http://schemas.microsoft.com/office/drawing/2014/main" id="{7526ACD4-E5DE-9484-A520-410C01E227A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55" name="Shape 6">
            <a:extLst>
              <a:ext uri="{FF2B5EF4-FFF2-40B4-BE49-F238E27FC236}">
                <a16:creationId xmlns:a16="http://schemas.microsoft.com/office/drawing/2014/main" id="{CFCA5296-1671-5A37-F797-80AD3884197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56" name="Shape 7">
            <a:extLst>
              <a:ext uri="{FF2B5EF4-FFF2-40B4-BE49-F238E27FC236}">
                <a16:creationId xmlns:a16="http://schemas.microsoft.com/office/drawing/2014/main" id="{A37D79F0-2D18-A292-3B9F-184FB154B5EE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57" name="Shape 8">
            <a:extLst>
              <a:ext uri="{FF2B5EF4-FFF2-40B4-BE49-F238E27FC236}">
                <a16:creationId xmlns:a16="http://schemas.microsoft.com/office/drawing/2014/main" id="{0A4092A6-ED34-FA62-3611-444EDAB2704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58" name="Shape 9">
            <a:extLst>
              <a:ext uri="{FF2B5EF4-FFF2-40B4-BE49-F238E27FC236}">
                <a16:creationId xmlns:a16="http://schemas.microsoft.com/office/drawing/2014/main" id="{DE1E4BC3-1D17-F4B8-CD66-6BDDDA98DAD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59" name="Shape 10">
            <a:extLst>
              <a:ext uri="{FF2B5EF4-FFF2-40B4-BE49-F238E27FC236}">
                <a16:creationId xmlns:a16="http://schemas.microsoft.com/office/drawing/2014/main" id="{BC8CACB4-40E3-816A-1FE5-CBC02DB7C7B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60" name="Shape 11">
            <a:extLst>
              <a:ext uri="{FF2B5EF4-FFF2-40B4-BE49-F238E27FC236}">
                <a16:creationId xmlns:a16="http://schemas.microsoft.com/office/drawing/2014/main" id="{336EC572-C0D9-0764-82B0-5F519665C0D0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61" name="Shape 12">
            <a:extLst>
              <a:ext uri="{FF2B5EF4-FFF2-40B4-BE49-F238E27FC236}">
                <a16:creationId xmlns:a16="http://schemas.microsoft.com/office/drawing/2014/main" id="{1B35310D-CBBC-0123-6576-FFDBB1A4B4B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62" name="Shape 13">
            <a:extLst>
              <a:ext uri="{FF2B5EF4-FFF2-40B4-BE49-F238E27FC236}">
                <a16:creationId xmlns:a16="http://schemas.microsoft.com/office/drawing/2014/main" id="{A1717AAD-97B2-2DF3-734A-1F5213892CF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63" name="Shape 14">
            <a:extLst>
              <a:ext uri="{FF2B5EF4-FFF2-40B4-BE49-F238E27FC236}">
                <a16:creationId xmlns:a16="http://schemas.microsoft.com/office/drawing/2014/main" id="{26EDCF02-F732-49CE-EB4E-05E6D0458A7C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64" name="Shape 15">
            <a:extLst>
              <a:ext uri="{FF2B5EF4-FFF2-40B4-BE49-F238E27FC236}">
                <a16:creationId xmlns:a16="http://schemas.microsoft.com/office/drawing/2014/main" id="{6E8CFB3A-007F-5D25-06C8-B48BB71D7F4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65" name="Shape 16">
            <a:extLst>
              <a:ext uri="{FF2B5EF4-FFF2-40B4-BE49-F238E27FC236}">
                <a16:creationId xmlns:a16="http://schemas.microsoft.com/office/drawing/2014/main" id="{33C924A6-9B15-6135-7E3D-BC66DDC911A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408</xdr:row>
      <xdr:rowOff>3246</xdr:rowOff>
    </xdr:from>
    <xdr:ext cx="33655" cy="33655"/>
    <xdr:grpSp>
      <xdr:nvGrpSpPr>
        <xdr:cNvPr id="10766" name="Group 17">
          <a:extLst>
            <a:ext uri="{FF2B5EF4-FFF2-40B4-BE49-F238E27FC236}">
              <a16:creationId xmlns:a16="http://schemas.microsoft.com/office/drawing/2014/main" id="{D8ACA0F7-F2E6-4993-8011-6AAFD25E5F7A}"/>
            </a:ext>
          </a:extLst>
        </xdr:cNvPr>
        <xdr:cNvGrpSpPr/>
      </xdr:nvGrpSpPr>
      <xdr:grpSpPr>
        <a:xfrm>
          <a:off x="4603072" y="77902131"/>
          <a:ext cx="33655" cy="33655"/>
          <a:chOff x="0" y="0"/>
          <a:chExt cx="33655" cy="33655"/>
        </a:xfrm>
      </xdr:grpSpPr>
      <xdr:sp macro="" textlink="">
        <xdr:nvSpPr>
          <xdr:cNvPr id="10767" name="Shape 18">
            <a:extLst>
              <a:ext uri="{FF2B5EF4-FFF2-40B4-BE49-F238E27FC236}">
                <a16:creationId xmlns:a16="http://schemas.microsoft.com/office/drawing/2014/main" id="{A6291398-5177-9295-09A4-6A7A78167C49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68" name="Shape 19">
            <a:extLst>
              <a:ext uri="{FF2B5EF4-FFF2-40B4-BE49-F238E27FC236}">
                <a16:creationId xmlns:a16="http://schemas.microsoft.com/office/drawing/2014/main" id="{C3245353-5D8A-17EA-ED8E-224EC3605E5A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69" name="Shape 20">
            <a:extLst>
              <a:ext uri="{FF2B5EF4-FFF2-40B4-BE49-F238E27FC236}">
                <a16:creationId xmlns:a16="http://schemas.microsoft.com/office/drawing/2014/main" id="{C27E047E-1522-466A-52DD-C396B7BEDA8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70" name="Shape 21">
            <a:extLst>
              <a:ext uri="{FF2B5EF4-FFF2-40B4-BE49-F238E27FC236}">
                <a16:creationId xmlns:a16="http://schemas.microsoft.com/office/drawing/2014/main" id="{FD11AC87-2246-2FD0-D5E7-6A31A976493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71" name="Shape 22">
            <a:extLst>
              <a:ext uri="{FF2B5EF4-FFF2-40B4-BE49-F238E27FC236}">
                <a16:creationId xmlns:a16="http://schemas.microsoft.com/office/drawing/2014/main" id="{83DD1AF8-DC28-C007-C4F8-703030D812D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72" name="Shape 23">
            <a:extLst>
              <a:ext uri="{FF2B5EF4-FFF2-40B4-BE49-F238E27FC236}">
                <a16:creationId xmlns:a16="http://schemas.microsoft.com/office/drawing/2014/main" id="{A8AABB66-416B-90E5-3614-1777AAB1EE8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73" name="Shape 24">
            <a:extLst>
              <a:ext uri="{FF2B5EF4-FFF2-40B4-BE49-F238E27FC236}">
                <a16:creationId xmlns:a16="http://schemas.microsoft.com/office/drawing/2014/main" id="{2A906591-6685-AC96-6AA7-46B674B147D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74" name="Shape 25">
            <a:extLst>
              <a:ext uri="{FF2B5EF4-FFF2-40B4-BE49-F238E27FC236}">
                <a16:creationId xmlns:a16="http://schemas.microsoft.com/office/drawing/2014/main" id="{49D4F5BE-7924-30F2-4754-785AB35E998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75" name="Shape 26">
            <a:extLst>
              <a:ext uri="{FF2B5EF4-FFF2-40B4-BE49-F238E27FC236}">
                <a16:creationId xmlns:a16="http://schemas.microsoft.com/office/drawing/2014/main" id="{2C30CF9F-B40A-10C3-B9D5-FF54E98739C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76" name="Shape 27">
            <a:extLst>
              <a:ext uri="{FF2B5EF4-FFF2-40B4-BE49-F238E27FC236}">
                <a16:creationId xmlns:a16="http://schemas.microsoft.com/office/drawing/2014/main" id="{843ED421-8721-BDF8-F8CF-28E583B5EAD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77" name="Shape 28">
            <a:extLst>
              <a:ext uri="{FF2B5EF4-FFF2-40B4-BE49-F238E27FC236}">
                <a16:creationId xmlns:a16="http://schemas.microsoft.com/office/drawing/2014/main" id="{8772DA27-4E80-124C-AD61-141F11A4006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78" name="Shape 29">
            <a:extLst>
              <a:ext uri="{FF2B5EF4-FFF2-40B4-BE49-F238E27FC236}">
                <a16:creationId xmlns:a16="http://schemas.microsoft.com/office/drawing/2014/main" id="{7B3AC499-258A-34FA-E2FB-8EAFE19FE7B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79" name="Shape 30">
            <a:extLst>
              <a:ext uri="{FF2B5EF4-FFF2-40B4-BE49-F238E27FC236}">
                <a16:creationId xmlns:a16="http://schemas.microsoft.com/office/drawing/2014/main" id="{67A9945D-4BE2-1F14-E338-6733E32C1B4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80" name="Shape 31">
            <a:extLst>
              <a:ext uri="{FF2B5EF4-FFF2-40B4-BE49-F238E27FC236}">
                <a16:creationId xmlns:a16="http://schemas.microsoft.com/office/drawing/2014/main" id="{32A88775-3836-4DFD-6E3A-F6539DB3695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408</xdr:row>
      <xdr:rowOff>3703</xdr:rowOff>
    </xdr:from>
    <xdr:ext cx="33655" cy="33655"/>
    <xdr:grpSp>
      <xdr:nvGrpSpPr>
        <xdr:cNvPr id="10781" name="Group 32">
          <a:extLst>
            <a:ext uri="{FF2B5EF4-FFF2-40B4-BE49-F238E27FC236}">
              <a16:creationId xmlns:a16="http://schemas.microsoft.com/office/drawing/2014/main" id="{4582F1A9-3030-476A-A599-D94BDB433FF8}"/>
            </a:ext>
          </a:extLst>
        </xdr:cNvPr>
        <xdr:cNvGrpSpPr/>
      </xdr:nvGrpSpPr>
      <xdr:grpSpPr>
        <a:xfrm>
          <a:off x="4603072" y="77902588"/>
          <a:ext cx="33655" cy="33655"/>
          <a:chOff x="0" y="0"/>
          <a:chExt cx="33655" cy="33655"/>
        </a:xfrm>
      </xdr:grpSpPr>
      <xdr:sp macro="" textlink="">
        <xdr:nvSpPr>
          <xdr:cNvPr id="10782" name="Shape 33">
            <a:extLst>
              <a:ext uri="{FF2B5EF4-FFF2-40B4-BE49-F238E27FC236}">
                <a16:creationId xmlns:a16="http://schemas.microsoft.com/office/drawing/2014/main" id="{49ED3627-3781-8586-E9D5-C396142580E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83" name="Shape 34">
            <a:extLst>
              <a:ext uri="{FF2B5EF4-FFF2-40B4-BE49-F238E27FC236}">
                <a16:creationId xmlns:a16="http://schemas.microsoft.com/office/drawing/2014/main" id="{D4527528-C816-DE7F-C4FB-9A8653DEA4D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84" name="Shape 35">
            <a:extLst>
              <a:ext uri="{FF2B5EF4-FFF2-40B4-BE49-F238E27FC236}">
                <a16:creationId xmlns:a16="http://schemas.microsoft.com/office/drawing/2014/main" id="{9940126B-7438-C623-655B-154FE526528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85" name="Shape 36">
            <a:extLst>
              <a:ext uri="{FF2B5EF4-FFF2-40B4-BE49-F238E27FC236}">
                <a16:creationId xmlns:a16="http://schemas.microsoft.com/office/drawing/2014/main" id="{9069692D-03BE-B96F-755F-2874AB07909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86" name="Shape 37">
            <a:extLst>
              <a:ext uri="{FF2B5EF4-FFF2-40B4-BE49-F238E27FC236}">
                <a16:creationId xmlns:a16="http://schemas.microsoft.com/office/drawing/2014/main" id="{06E290DC-C505-B0CB-F5EF-DCD46248E58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87" name="Shape 38">
            <a:extLst>
              <a:ext uri="{FF2B5EF4-FFF2-40B4-BE49-F238E27FC236}">
                <a16:creationId xmlns:a16="http://schemas.microsoft.com/office/drawing/2014/main" id="{1121A3F5-268A-CA97-4798-23D979544BC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88" name="Shape 39">
            <a:extLst>
              <a:ext uri="{FF2B5EF4-FFF2-40B4-BE49-F238E27FC236}">
                <a16:creationId xmlns:a16="http://schemas.microsoft.com/office/drawing/2014/main" id="{2CC480CA-F85E-6E95-B6F5-6292BD1E3A9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89" name="Shape 40">
            <a:extLst>
              <a:ext uri="{FF2B5EF4-FFF2-40B4-BE49-F238E27FC236}">
                <a16:creationId xmlns:a16="http://schemas.microsoft.com/office/drawing/2014/main" id="{06262DA2-85CA-7DA5-4A22-7DBEDEF4D2CA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90" name="Shape 41">
            <a:extLst>
              <a:ext uri="{FF2B5EF4-FFF2-40B4-BE49-F238E27FC236}">
                <a16:creationId xmlns:a16="http://schemas.microsoft.com/office/drawing/2014/main" id="{4A27114A-257C-D785-6819-007E1E02D18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91" name="Shape 42">
            <a:extLst>
              <a:ext uri="{FF2B5EF4-FFF2-40B4-BE49-F238E27FC236}">
                <a16:creationId xmlns:a16="http://schemas.microsoft.com/office/drawing/2014/main" id="{CF9B9120-C8A8-6DFF-6F35-C37E72E1B71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92" name="Shape 43">
            <a:extLst>
              <a:ext uri="{FF2B5EF4-FFF2-40B4-BE49-F238E27FC236}">
                <a16:creationId xmlns:a16="http://schemas.microsoft.com/office/drawing/2014/main" id="{BC5610F8-0397-0797-CBCA-5674AB0CD62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93" name="Shape 44">
            <a:extLst>
              <a:ext uri="{FF2B5EF4-FFF2-40B4-BE49-F238E27FC236}">
                <a16:creationId xmlns:a16="http://schemas.microsoft.com/office/drawing/2014/main" id="{E999F30D-F109-6953-37B4-FC102994DE9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94" name="Shape 45">
            <a:extLst>
              <a:ext uri="{FF2B5EF4-FFF2-40B4-BE49-F238E27FC236}">
                <a16:creationId xmlns:a16="http://schemas.microsoft.com/office/drawing/2014/main" id="{CE86EDF3-1707-BD36-6E2D-AAE29342FE6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95" name="Shape 46">
            <a:extLst>
              <a:ext uri="{FF2B5EF4-FFF2-40B4-BE49-F238E27FC236}">
                <a16:creationId xmlns:a16="http://schemas.microsoft.com/office/drawing/2014/main" id="{A86A04AC-73FF-A7E5-C6C9-4BD5B284FE8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408</xdr:row>
      <xdr:rowOff>3409</xdr:rowOff>
    </xdr:from>
    <xdr:ext cx="33655" cy="33655"/>
    <xdr:grpSp>
      <xdr:nvGrpSpPr>
        <xdr:cNvPr id="10796" name="Group 47">
          <a:extLst>
            <a:ext uri="{FF2B5EF4-FFF2-40B4-BE49-F238E27FC236}">
              <a16:creationId xmlns:a16="http://schemas.microsoft.com/office/drawing/2014/main" id="{8998E64F-8F08-4429-B15C-4F5A28EDE80D}"/>
            </a:ext>
          </a:extLst>
        </xdr:cNvPr>
        <xdr:cNvGrpSpPr/>
      </xdr:nvGrpSpPr>
      <xdr:grpSpPr>
        <a:xfrm>
          <a:off x="4603072" y="77902294"/>
          <a:ext cx="33655" cy="33655"/>
          <a:chOff x="0" y="0"/>
          <a:chExt cx="33655" cy="33655"/>
        </a:xfrm>
      </xdr:grpSpPr>
      <xdr:sp macro="" textlink="">
        <xdr:nvSpPr>
          <xdr:cNvPr id="10797" name="Shape 48">
            <a:extLst>
              <a:ext uri="{FF2B5EF4-FFF2-40B4-BE49-F238E27FC236}">
                <a16:creationId xmlns:a16="http://schemas.microsoft.com/office/drawing/2014/main" id="{BACC7ABC-623F-075D-F7DA-B5DC8D7FD5C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798" name="Shape 49">
            <a:extLst>
              <a:ext uri="{FF2B5EF4-FFF2-40B4-BE49-F238E27FC236}">
                <a16:creationId xmlns:a16="http://schemas.microsoft.com/office/drawing/2014/main" id="{34DEED80-6443-683D-F728-CDBEA648F95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799" name="Shape 50">
            <a:extLst>
              <a:ext uri="{FF2B5EF4-FFF2-40B4-BE49-F238E27FC236}">
                <a16:creationId xmlns:a16="http://schemas.microsoft.com/office/drawing/2014/main" id="{953A84CE-2645-00F4-B61C-26B91F756F7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00" name="Shape 51">
            <a:extLst>
              <a:ext uri="{FF2B5EF4-FFF2-40B4-BE49-F238E27FC236}">
                <a16:creationId xmlns:a16="http://schemas.microsoft.com/office/drawing/2014/main" id="{25308D03-DA8B-C753-2000-AB5ADA059172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01" name="Shape 52">
            <a:extLst>
              <a:ext uri="{FF2B5EF4-FFF2-40B4-BE49-F238E27FC236}">
                <a16:creationId xmlns:a16="http://schemas.microsoft.com/office/drawing/2014/main" id="{6DFAEE22-49D6-9F4A-DF58-12F38E97163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02" name="Shape 53">
            <a:extLst>
              <a:ext uri="{FF2B5EF4-FFF2-40B4-BE49-F238E27FC236}">
                <a16:creationId xmlns:a16="http://schemas.microsoft.com/office/drawing/2014/main" id="{E4F52C60-DFA1-64AC-B3CE-431F8C11F33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03" name="Shape 54">
            <a:extLst>
              <a:ext uri="{FF2B5EF4-FFF2-40B4-BE49-F238E27FC236}">
                <a16:creationId xmlns:a16="http://schemas.microsoft.com/office/drawing/2014/main" id="{BAC0C850-CD67-97D4-46F1-0E343A21488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04" name="Shape 55">
            <a:extLst>
              <a:ext uri="{FF2B5EF4-FFF2-40B4-BE49-F238E27FC236}">
                <a16:creationId xmlns:a16="http://schemas.microsoft.com/office/drawing/2014/main" id="{45851153-1741-EE6F-B26E-ABC61DB58BB4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05" name="Shape 56">
            <a:extLst>
              <a:ext uri="{FF2B5EF4-FFF2-40B4-BE49-F238E27FC236}">
                <a16:creationId xmlns:a16="http://schemas.microsoft.com/office/drawing/2014/main" id="{E141993B-8587-26BF-32A1-644E28E3F08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06" name="Shape 57">
            <a:extLst>
              <a:ext uri="{FF2B5EF4-FFF2-40B4-BE49-F238E27FC236}">
                <a16:creationId xmlns:a16="http://schemas.microsoft.com/office/drawing/2014/main" id="{8F4B1046-32F5-7C00-C54F-7E46AAB08327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07" name="Shape 58">
            <a:extLst>
              <a:ext uri="{FF2B5EF4-FFF2-40B4-BE49-F238E27FC236}">
                <a16:creationId xmlns:a16="http://schemas.microsoft.com/office/drawing/2014/main" id="{B7775927-55A8-34C3-96F3-0F1C7E11215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08" name="Shape 59">
            <a:extLst>
              <a:ext uri="{FF2B5EF4-FFF2-40B4-BE49-F238E27FC236}">
                <a16:creationId xmlns:a16="http://schemas.microsoft.com/office/drawing/2014/main" id="{C3CAF54E-7EA9-831E-DB50-086F583901C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09" name="Shape 60">
            <a:extLst>
              <a:ext uri="{FF2B5EF4-FFF2-40B4-BE49-F238E27FC236}">
                <a16:creationId xmlns:a16="http://schemas.microsoft.com/office/drawing/2014/main" id="{9088C316-FB6A-145F-ED8E-3D8F132215F7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10" name="Shape 61">
            <a:extLst>
              <a:ext uri="{FF2B5EF4-FFF2-40B4-BE49-F238E27FC236}">
                <a16:creationId xmlns:a16="http://schemas.microsoft.com/office/drawing/2014/main" id="{CE22330E-0B10-7757-C395-E83564C54EA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408</xdr:row>
      <xdr:rowOff>3962</xdr:rowOff>
    </xdr:from>
    <xdr:ext cx="33655" cy="33655"/>
    <xdr:grpSp>
      <xdr:nvGrpSpPr>
        <xdr:cNvPr id="10811" name="Group 62">
          <a:extLst>
            <a:ext uri="{FF2B5EF4-FFF2-40B4-BE49-F238E27FC236}">
              <a16:creationId xmlns:a16="http://schemas.microsoft.com/office/drawing/2014/main" id="{D48AA750-4C2C-41BF-B826-2429B7CFC9D8}"/>
            </a:ext>
          </a:extLst>
        </xdr:cNvPr>
        <xdr:cNvGrpSpPr/>
      </xdr:nvGrpSpPr>
      <xdr:grpSpPr>
        <a:xfrm>
          <a:off x="4603072" y="77902847"/>
          <a:ext cx="33655" cy="33655"/>
          <a:chOff x="0" y="0"/>
          <a:chExt cx="33655" cy="33655"/>
        </a:xfrm>
      </xdr:grpSpPr>
      <xdr:sp macro="" textlink="">
        <xdr:nvSpPr>
          <xdr:cNvPr id="10812" name="Shape 63">
            <a:extLst>
              <a:ext uri="{FF2B5EF4-FFF2-40B4-BE49-F238E27FC236}">
                <a16:creationId xmlns:a16="http://schemas.microsoft.com/office/drawing/2014/main" id="{2D3627A6-DFDA-7960-59FD-9B6D30FC2A1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13" name="Shape 64">
            <a:extLst>
              <a:ext uri="{FF2B5EF4-FFF2-40B4-BE49-F238E27FC236}">
                <a16:creationId xmlns:a16="http://schemas.microsoft.com/office/drawing/2014/main" id="{A9555665-765D-758A-79E3-2F89C97968C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14" name="Shape 65">
            <a:extLst>
              <a:ext uri="{FF2B5EF4-FFF2-40B4-BE49-F238E27FC236}">
                <a16:creationId xmlns:a16="http://schemas.microsoft.com/office/drawing/2014/main" id="{8EDEF0E5-3AA9-F0C1-BFB9-6437D765671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15" name="Shape 66">
            <a:extLst>
              <a:ext uri="{FF2B5EF4-FFF2-40B4-BE49-F238E27FC236}">
                <a16:creationId xmlns:a16="http://schemas.microsoft.com/office/drawing/2014/main" id="{FC94B7E3-5985-F8A5-C01F-3CDFA149DD1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16" name="Shape 67">
            <a:extLst>
              <a:ext uri="{FF2B5EF4-FFF2-40B4-BE49-F238E27FC236}">
                <a16:creationId xmlns:a16="http://schemas.microsoft.com/office/drawing/2014/main" id="{3DDA4C9E-1B11-6D01-71C3-08393D18610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17" name="Shape 68">
            <a:extLst>
              <a:ext uri="{FF2B5EF4-FFF2-40B4-BE49-F238E27FC236}">
                <a16:creationId xmlns:a16="http://schemas.microsoft.com/office/drawing/2014/main" id="{23178A1D-AD41-C59C-9730-4348E313E01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18" name="Shape 69">
            <a:extLst>
              <a:ext uri="{FF2B5EF4-FFF2-40B4-BE49-F238E27FC236}">
                <a16:creationId xmlns:a16="http://schemas.microsoft.com/office/drawing/2014/main" id="{0034F686-066B-0512-0395-0A8A3581853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19" name="Shape 70">
            <a:extLst>
              <a:ext uri="{FF2B5EF4-FFF2-40B4-BE49-F238E27FC236}">
                <a16:creationId xmlns:a16="http://schemas.microsoft.com/office/drawing/2014/main" id="{55897D96-B9CC-74B5-C107-F287E525648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20" name="Shape 71">
            <a:extLst>
              <a:ext uri="{FF2B5EF4-FFF2-40B4-BE49-F238E27FC236}">
                <a16:creationId xmlns:a16="http://schemas.microsoft.com/office/drawing/2014/main" id="{508F4FD3-F615-4C86-2488-DFA0C5C59DE8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21" name="Shape 72">
            <a:extLst>
              <a:ext uri="{FF2B5EF4-FFF2-40B4-BE49-F238E27FC236}">
                <a16:creationId xmlns:a16="http://schemas.microsoft.com/office/drawing/2014/main" id="{298BE552-CFEB-13B6-C1A1-149CA2DF978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22" name="Shape 73">
            <a:extLst>
              <a:ext uri="{FF2B5EF4-FFF2-40B4-BE49-F238E27FC236}">
                <a16:creationId xmlns:a16="http://schemas.microsoft.com/office/drawing/2014/main" id="{63080C3C-C17F-0E5B-375B-AFA75C0F638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23" name="Shape 74">
            <a:extLst>
              <a:ext uri="{FF2B5EF4-FFF2-40B4-BE49-F238E27FC236}">
                <a16:creationId xmlns:a16="http://schemas.microsoft.com/office/drawing/2014/main" id="{EF66A181-FE1C-381B-9AAF-970FDA9BFFF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24" name="Shape 75">
            <a:extLst>
              <a:ext uri="{FF2B5EF4-FFF2-40B4-BE49-F238E27FC236}">
                <a16:creationId xmlns:a16="http://schemas.microsoft.com/office/drawing/2014/main" id="{54EA3342-49CC-F094-3315-C648DAC8851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25" name="Shape 76">
            <a:extLst>
              <a:ext uri="{FF2B5EF4-FFF2-40B4-BE49-F238E27FC236}">
                <a16:creationId xmlns:a16="http://schemas.microsoft.com/office/drawing/2014/main" id="{169B05E7-08B7-B4BB-7520-6745E440D82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408</xdr:row>
      <xdr:rowOff>2978</xdr:rowOff>
    </xdr:from>
    <xdr:ext cx="33655" cy="33655"/>
    <xdr:grpSp>
      <xdr:nvGrpSpPr>
        <xdr:cNvPr id="10826" name="Group 2">
          <a:extLst>
            <a:ext uri="{FF2B5EF4-FFF2-40B4-BE49-F238E27FC236}">
              <a16:creationId xmlns:a16="http://schemas.microsoft.com/office/drawing/2014/main" id="{BC494FDA-0A82-479F-9EDD-D82EC4E92E5C}"/>
            </a:ext>
          </a:extLst>
        </xdr:cNvPr>
        <xdr:cNvGrpSpPr/>
      </xdr:nvGrpSpPr>
      <xdr:grpSpPr>
        <a:xfrm>
          <a:off x="4603072" y="77901863"/>
          <a:ext cx="33655" cy="33655"/>
          <a:chOff x="0" y="0"/>
          <a:chExt cx="33655" cy="33655"/>
        </a:xfrm>
      </xdr:grpSpPr>
      <xdr:sp macro="" textlink="">
        <xdr:nvSpPr>
          <xdr:cNvPr id="10827" name="Shape 3">
            <a:extLst>
              <a:ext uri="{FF2B5EF4-FFF2-40B4-BE49-F238E27FC236}">
                <a16:creationId xmlns:a16="http://schemas.microsoft.com/office/drawing/2014/main" id="{97C44920-82E9-B7C2-3BB6-2281C939514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28" name="Shape 4">
            <a:extLst>
              <a:ext uri="{FF2B5EF4-FFF2-40B4-BE49-F238E27FC236}">
                <a16:creationId xmlns:a16="http://schemas.microsoft.com/office/drawing/2014/main" id="{C1CD2642-7255-5E18-9352-EA2F0AEDC0B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29" name="Shape 5">
            <a:extLst>
              <a:ext uri="{FF2B5EF4-FFF2-40B4-BE49-F238E27FC236}">
                <a16:creationId xmlns:a16="http://schemas.microsoft.com/office/drawing/2014/main" id="{521D1DE0-848E-1AEA-F257-E288DF0B33CB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30" name="Shape 6">
            <a:extLst>
              <a:ext uri="{FF2B5EF4-FFF2-40B4-BE49-F238E27FC236}">
                <a16:creationId xmlns:a16="http://schemas.microsoft.com/office/drawing/2014/main" id="{82F24191-E823-D36C-A231-0C9D49F40DB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31" name="Shape 7">
            <a:extLst>
              <a:ext uri="{FF2B5EF4-FFF2-40B4-BE49-F238E27FC236}">
                <a16:creationId xmlns:a16="http://schemas.microsoft.com/office/drawing/2014/main" id="{27D36CC8-022C-1443-0FE4-68F31295AC6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32" name="Shape 8">
            <a:extLst>
              <a:ext uri="{FF2B5EF4-FFF2-40B4-BE49-F238E27FC236}">
                <a16:creationId xmlns:a16="http://schemas.microsoft.com/office/drawing/2014/main" id="{D914E0C9-93B8-025D-A168-86012BABFF3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33" name="Shape 9">
            <a:extLst>
              <a:ext uri="{FF2B5EF4-FFF2-40B4-BE49-F238E27FC236}">
                <a16:creationId xmlns:a16="http://schemas.microsoft.com/office/drawing/2014/main" id="{8D4283E8-2353-2770-0D0D-341FA0DF3D4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34" name="Shape 10">
            <a:extLst>
              <a:ext uri="{FF2B5EF4-FFF2-40B4-BE49-F238E27FC236}">
                <a16:creationId xmlns:a16="http://schemas.microsoft.com/office/drawing/2014/main" id="{827FA9D2-E751-4A72-6AD7-8122B189EBD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35" name="Shape 11">
            <a:extLst>
              <a:ext uri="{FF2B5EF4-FFF2-40B4-BE49-F238E27FC236}">
                <a16:creationId xmlns:a16="http://schemas.microsoft.com/office/drawing/2014/main" id="{96B10CF0-91C5-C13C-0BA3-C6BD91370D3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36" name="Shape 12">
            <a:extLst>
              <a:ext uri="{FF2B5EF4-FFF2-40B4-BE49-F238E27FC236}">
                <a16:creationId xmlns:a16="http://schemas.microsoft.com/office/drawing/2014/main" id="{83BD3568-F2EE-5C58-A5CF-06EEF359ACF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37" name="Shape 13">
            <a:extLst>
              <a:ext uri="{FF2B5EF4-FFF2-40B4-BE49-F238E27FC236}">
                <a16:creationId xmlns:a16="http://schemas.microsoft.com/office/drawing/2014/main" id="{3EAD0554-AA43-1E1D-A80A-AFE4DAE56F4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38" name="Shape 14">
            <a:extLst>
              <a:ext uri="{FF2B5EF4-FFF2-40B4-BE49-F238E27FC236}">
                <a16:creationId xmlns:a16="http://schemas.microsoft.com/office/drawing/2014/main" id="{883C3BC1-9EB1-806D-C172-E784DE75CA1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39" name="Shape 15">
            <a:extLst>
              <a:ext uri="{FF2B5EF4-FFF2-40B4-BE49-F238E27FC236}">
                <a16:creationId xmlns:a16="http://schemas.microsoft.com/office/drawing/2014/main" id="{1773BCF5-013A-E0D0-6575-B15B3209DCC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40" name="Shape 16">
            <a:extLst>
              <a:ext uri="{FF2B5EF4-FFF2-40B4-BE49-F238E27FC236}">
                <a16:creationId xmlns:a16="http://schemas.microsoft.com/office/drawing/2014/main" id="{F0B01490-303D-82F6-1F57-28549C75321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408</xdr:row>
      <xdr:rowOff>3246</xdr:rowOff>
    </xdr:from>
    <xdr:ext cx="33655" cy="33655"/>
    <xdr:grpSp>
      <xdr:nvGrpSpPr>
        <xdr:cNvPr id="10841" name="Group 17">
          <a:extLst>
            <a:ext uri="{FF2B5EF4-FFF2-40B4-BE49-F238E27FC236}">
              <a16:creationId xmlns:a16="http://schemas.microsoft.com/office/drawing/2014/main" id="{3183E839-0678-461C-BC98-26C03FB94F11}"/>
            </a:ext>
          </a:extLst>
        </xdr:cNvPr>
        <xdr:cNvGrpSpPr/>
      </xdr:nvGrpSpPr>
      <xdr:grpSpPr>
        <a:xfrm>
          <a:off x="4603072" y="77902131"/>
          <a:ext cx="33655" cy="33655"/>
          <a:chOff x="0" y="0"/>
          <a:chExt cx="33655" cy="33655"/>
        </a:xfrm>
      </xdr:grpSpPr>
      <xdr:sp macro="" textlink="">
        <xdr:nvSpPr>
          <xdr:cNvPr id="10842" name="Shape 18">
            <a:extLst>
              <a:ext uri="{FF2B5EF4-FFF2-40B4-BE49-F238E27FC236}">
                <a16:creationId xmlns:a16="http://schemas.microsoft.com/office/drawing/2014/main" id="{D39F20E9-7616-157F-92E1-4B076B057EC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43" name="Shape 19">
            <a:extLst>
              <a:ext uri="{FF2B5EF4-FFF2-40B4-BE49-F238E27FC236}">
                <a16:creationId xmlns:a16="http://schemas.microsoft.com/office/drawing/2014/main" id="{5A48C825-4D91-EBB6-C5B2-5CBA8A61B3C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44" name="Shape 20">
            <a:extLst>
              <a:ext uri="{FF2B5EF4-FFF2-40B4-BE49-F238E27FC236}">
                <a16:creationId xmlns:a16="http://schemas.microsoft.com/office/drawing/2014/main" id="{6C4E7B00-D0CB-CF7E-A729-B1A5F687468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45" name="Shape 21">
            <a:extLst>
              <a:ext uri="{FF2B5EF4-FFF2-40B4-BE49-F238E27FC236}">
                <a16:creationId xmlns:a16="http://schemas.microsoft.com/office/drawing/2014/main" id="{654C5F0E-7FD6-C650-8C17-3D5B82CB105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46" name="Shape 22">
            <a:extLst>
              <a:ext uri="{FF2B5EF4-FFF2-40B4-BE49-F238E27FC236}">
                <a16:creationId xmlns:a16="http://schemas.microsoft.com/office/drawing/2014/main" id="{0EF3571B-BF02-4E67-1393-0188184CBCE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47" name="Shape 23">
            <a:extLst>
              <a:ext uri="{FF2B5EF4-FFF2-40B4-BE49-F238E27FC236}">
                <a16:creationId xmlns:a16="http://schemas.microsoft.com/office/drawing/2014/main" id="{C0EAB4F9-D727-9E45-32FA-9DFDED20601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48" name="Shape 24">
            <a:extLst>
              <a:ext uri="{FF2B5EF4-FFF2-40B4-BE49-F238E27FC236}">
                <a16:creationId xmlns:a16="http://schemas.microsoft.com/office/drawing/2014/main" id="{25E9567B-FB14-C303-152F-CB0109F3055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49" name="Shape 25">
            <a:extLst>
              <a:ext uri="{FF2B5EF4-FFF2-40B4-BE49-F238E27FC236}">
                <a16:creationId xmlns:a16="http://schemas.microsoft.com/office/drawing/2014/main" id="{D4A18E57-6AB0-41E3-03C4-381256D71E3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50" name="Shape 26">
            <a:extLst>
              <a:ext uri="{FF2B5EF4-FFF2-40B4-BE49-F238E27FC236}">
                <a16:creationId xmlns:a16="http://schemas.microsoft.com/office/drawing/2014/main" id="{3591C259-97F0-F58E-CBF1-19009CD6CEB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51" name="Shape 27">
            <a:extLst>
              <a:ext uri="{FF2B5EF4-FFF2-40B4-BE49-F238E27FC236}">
                <a16:creationId xmlns:a16="http://schemas.microsoft.com/office/drawing/2014/main" id="{4B6190C2-E297-EBAC-840E-2424AFB9ED4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52" name="Shape 28">
            <a:extLst>
              <a:ext uri="{FF2B5EF4-FFF2-40B4-BE49-F238E27FC236}">
                <a16:creationId xmlns:a16="http://schemas.microsoft.com/office/drawing/2014/main" id="{193063EB-6200-39F3-1E53-583880F4CB3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53" name="Shape 29">
            <a:extLst>
              <a:ext uri="{FF2B5EF4-FFF2-40B4-BE49-F238E27FC236}">
                <a16:creationId xmlns:a16="http://schemas.microsoft.com/office/drawing/2014/main" id="{217606E4-DAA1-5ACF-7ACD-F2B5C7E5464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54" name="Shape 30">
            <a:extLst>
              <a:ext uri="{FF2B5EF4-FFF2-40B4-BE49-F238E27FC236}">
                <a16:creationId xmlns:a16="http://schemas.microsoft.com/office/drawing/2014/main" id="{E03479EF-AA3C-EBE2-3396-5899EA8C124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55" name="Shape 31">
            <a:extLst>
              <a:ext uri="{FF2B5EF4-FFF2-40B4-BE49-F238E27FC236}">
                <a16:creationId xmlns:a16="http://schemas.microsoft.com/office/drawing/2014/main" id="{DAAC0559-DAC4-0D7C-BB2E-003ED179025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408</xdr:row>
      <xdr:rowOff>3703</xdr:rowOff>
    </xdr:from>
    <xdr:ext cx="33655" cy="33655"/>
    <xdr:grpSp>
      <xdr:nvGrpSpPr>
        <xdr:cNvPr id="10856" name="Group 32">
          <a:extLst>
            <a:ext uri="{FF2B5EF4-FFF2-40B4-BE49-F238E27FC236}">
              <a16:creationId xmlns:a16="http://schemas.microsoft.com/office/drawing/2014/main" id="{4DED275F-D419-4C7E-9F65-DC58A77E2B05}"/>
            </a:ext>
          </a:extLst>
        </xdr:cNvPr>
        <xdr:cNvGrpSpPr/>
      </xdr:nvGrpSpPr>
      <xdr:grpSpPr>
        <a:xfrm>
          <a:off x="4603072" y="77902588"/>
          <a:ext cx="33655" cy="33655"/>
          <a:chOff x="0" y="0"/>
          <a:chExt cx="33655" cy="33655"/>
        </a:xfrm>
      </xdr:grpSpPr>
      <xdr:sp macro="" textlink="">
        <xdr:nvSpPr>
          <xdr:cNvPr id="10857" name="Shape 33">
            <a:extLst>
              <a:ext uri="{FF2B5EF4-FFF2-40B4-BE49-F238E27FC236}">
                <a16:creationId xmlns:a16="http://schemas.microsoft.com/office/drawing/2014/main" id="{C1D5D910-1332-3DB3-C2DF-8DB7FC9B4F2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58" name="Shape 34">
            <a:extLst>
              <a:ext uri="{FF2B5EF4-FFF2-40B4-BE49-F238E27FC236}">
                <a16:creationId xmlns:a16="http://schemas.microsoft.com/office/drawing/2014/main" id="{8A777DE1-13CE-946A-1DE2-A3A366362FA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59" name="Shape 35">
            <a:extLst>
              <a:ext uri="{FF2B5EF4-FFF2-40B4-BE49-F238E27FC236}">
                <a16:creationId xmlns:a16="http://schemas.microsoft.com/office/drawing/2014/main" id="{EE2E9550-9B86-48C7-3923-D83278DDF08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60" name="Shape 36">
            <a:extLst>
              <a:ext uri="{FF2B5EF4-FFF2-40B4-BE49-F238E27FC236}">
                <a16:creationId xmlns:a16="http://schemas.microsoft.com/office/drawing/2014/main" id="{4C3905D3-8293-0C70-8F82-4E94F502BCBD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61" name="Shape 37">
            <a:extLst>
              <a:ext uri="{FF2B5EF4-FFF2-40B4-BE49-F238E27FC236}">
                <a16:creationId xmlns:a16="http://schemas.microsoft.com/office/drawing/2014/main" id="{C1D33498-B630-5F83-0812-B4BB4EE4FF64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62" name="Shape 38">
            <a:extLst>
              <a:ext uri="{FF2B5EF4-FFF2-40B4-BE49-F238E27FC236}">
                <a16:creationId xmlns:a16="http://schemas.microsoft.com/office/drawing/2014/main" id="{942B837B-E8A9-0C60-781A-9215B7C9A33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63" name="Shape 39">
            <a:extLst>
              <a:ext uri="{FF2B5EF4-FFF2-40B4-BE49-F238E27FC236}">
                <a16:creationId xmlns:a16="http://schemas.microsoft.com/office/drawing/2014/main" id="{E6661CBE-6C39-E71B-12B4-72F6726441D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64" name="Shape 40">
            <a:extLst>
              <a:ext uri="{FF2B5EF4-FFF2-40B4-BE49-F238E27FC236}">
                <a16:creationId xmlns:a16="http://schemas.microsoft.com/office/drawing/2014/main" id="{33324172-C30D-9AC5-9E0E-9C58D878982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65" name="Shape 41">
            <a:extLst>
              <a:ext uri="{FF2B5EF4-FFF2-40B4-BE49-F238E27FC236}">
                <a16:creationId xmlns:a16="http://schemas.microsoft.com/office/drawing/2014/main" id="{7D342642-FB72-7D6F-E879-A548E16B9F2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66" name="Shape 42">
            <a:extLst>
              <a:ext uri="{FF2B5EF4-FFF2-40B4-BE49-F238E27FC236}">
                <a16:creationId xmlns:a16="http://schemas.microsoft.com/office/drawing/2014/main" id="{16AEA1A9-DB5D-928A-4C9D-A1D720228F9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67" name="Shape 43">
            <a:extLst>
              <a:ext uri="{FF2B5EF4-FFF2-40B4-BE49-F238E27FC236}">
                <a16:creationId xmlns:a16="http://schemas.microsoft.com/office/drawing/2014/main" id="{DCD26538-D42B-E1C0-100A-86D553CD154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68" name="Shape 44">
            <a:extLst>
              <a:ext uri="{FF2B5EF4-FFF2-40B4-BE49-F238E27FC236}">
                <a16:creationId xmlns:a16="http://schemas.microsoft.com/office/drawing/2014/main" id="{32A9B150-4A4F-11C2-9E42-17D481B95E31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69" name="Shape 45">
            <a:extLst>
              <a:ext uri="{FF2B5EF4-FFF2-40B4-BE49-F238E27FC236}">
                <a16:creationId xmlns:a16="http://schemas.microsoft.com/office/drawing/2014/main" id="{252400F8-D0F8-819C-9B0D-AA72EC0B5F8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70" name="Shape 46">
            <a:extLst>
              <a:ext uri="{FF2B5EF4-FFF2-40B4-BE49-F238E27FC236}">
                <a16:creationId xmlns:a16="http://schemas.microsoft.com/office/drawing/2014/main" id="{BEDDA13F-DD9F-646F-59CF-BB0A21DC28D4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408</xdr:row>
      <xdr:rowOff>3409</xdr:rowOff>
    </xdr:from>
    <xdr:ext cx="33655" cy="33655"/>
    <xdr:grpSp>
      <xdr:nvGrpSpPr>
        <xdr:cNvPr id="10871" name="Group 47">
          <a:extLst>
            <a:ext uri="{FF2B5EF4-FFF2-40B4-BE49-F238E27FC236}">
              <a16:creationId xmlns:a16="http://schemas.microsoft.com/office/drawing/2014/main" id="{0EBDDE8A-420E-4197-BF62-94DCCC835C03}"/>
            </a:ext>
          </a:extLst>
        </xdr:cNvPr>
        <xdr:cNvGrpSpPr/>
      </xdr:nvGrpSpPr>
      <xdr:grpSpPr>
        <a:xfrm>
          <a:off x="4603072" y="77902294"/>
          <a:ext cx="33655" cy="33655"/>
          <a:chOff x="0" y="0"/>
          <a:chExt cx="33655" cy="33655"/>
        </a:xfrm>
      </xdr:grpSpPr>
      <xdr:sp macro="" textlink="">
        <xdr:nvSpPr>
          <xdr:cNvPr id="10872" name="Shape 48">
            <a:extLst>
              <a:ext uri="{FF2B5EF4-FFF2-40B4-BE49-F238E27FC236}">
                <a16:creationId xmlns:a16="http://schemas.microsoft.com/office/drawing/2014/main" id="{E4BEDD6D-01FF-D65B-C209-4446209DB43C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73" name="Shape 49">
            <a:extLst>
              <a:ext uri="{FF2B5EF4-FFF2-40B4-BE49-F238E27FC236}">
                <a16:creationId xmlns:a16="http://schemas.microsoft.com/office/drawing/2014/main" id="{132BF199-2100-0491-4E22-AA807CB278B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74" name="Shape 50">
            <a:extLst>
              <a:ext uri="{FF2B5EF4-FFF2-40B4-BE49-F238E27FC236}">
                <a16:creationId xmlns:a16="http://schemas.microsoft.com/office/drawing/2014/main" id="{0110ABB0-2EE3-0E9B-54AF-1C8DFF24540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75" name="Shape 51">
            <a:extLst>
              <a:ext uri="{FF2B5EF4-FFF2-40B4-BE49-F238E27FC236}">
                <a16:creationId xmlns:a16="http://schemas.microsoft.com/office/drawing/2014/main" id="{4E34EBC5-FF76-B1C7-75CF-0977233616F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76" name="Shape 52">
            <a:extLst>
              <a:ext uri="{FF2B5EF4-FFF2-40B4-BE49-F238E27FC236}">
                <a16:creationId xmlns:a16="http://schemas.microsoft.com/office/drawing/2014/main" id="{9DC6207D-CD2F-34D5-3A7C-CC92C0EBCEA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77" name="Shape 53">
            <a:extLst>
              <a:ext uri="{FF2B5EF4-FFF2-40B4-BE49-F238E27FC236}">
                <a16:creationId xmlns:a16="http://schemas.microsoft.com/office/drawing/2014/main" id="{5EE2AD42-96F6-BCE8-F39C-23198AFCACFC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78" name="Shape 54">
            <a:extLst>
              <a:ext uri="{FF2B5EF4-FFF2-40B4-BE49-F238E27FC236}">
                <a16:creationId xmlns:a16="http://schemas.microsoft.com/office/drawing/2014/main" id="{88612416-61EE-D2BB-3C36-2DE686B9D6C1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79" name="Shape 55">
            <a:extLst>
              <a:ext uri="{FF2B5EF4-FFF2-40B4-BE49-F238E27FC236}">
                <a16:creationId xmlns:a16="http://schemas.microsoft.com/office/drawing/2014/main" id="{702799E6-06A2-F121-0AC9-E497511AA55C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80" name="Shape 56">
            <a:extLst>
              <a:ext uri="{FF2B5EF4-FFF2-40B4-BE49-F238E27FC236}">
                <a16:creationId xmlns:a16="http://schemas.microsoft.com/office/drawing/2014/main" id="{249FD4F9-B0BE-1028-822E-299F69C2260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81" name="Shape 57">
            <a:extLst>
              <a:ext uri="{FF2B5EF4-FFF2-40B4-BE49-F238E27FC236}">
                <a16:creationId xmlns:a16="http://schemas.microsoft.com/office/drawing/2014/main" id="{C168D1B6-652B-5B9D-9F44-FFA161E4FBE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82" name="Shape 58">
            <a:extLst>
              <a:ext uri="{FF2B5EF4-FFF2-40B4-BE49-F238E27FC236}">
                <a16:creationId xmlns:a16="http://schemas.microsoft.com/office/drawing/2014/main" id="{FBDD3C10-C1B7-2714-433F-5501E7898C64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83" name="Shape 59">
            <a:extLst>
              <a:ext uri="{FF2B5EF4-FFF2-40B4-BE49-F238E27FC236}">
                <a16:creationId xmlns:a16="http://schemas.microsoft.com/office/drawing/2014/main" id="{4C33088F-0388-FB1C-5EF9-9CAF52971897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84" name="Shape 60">
            <a:extLst>
              <a:ext uri="{FF2B5EF4-FFF2-40B4-BE49-F238E27FC236}">
                <a16:creationId xmlns:a16="http://schemas.microsoft.com/office/drawing/2014/main" id="{1E7EFE3B-FBF4-7FCB-C47C-2F699871407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885" name="Shape 61">
            <a:extLst>
              <a:ext uri="{FF2B5EF4-FFF2-40B4-BE49-F238E27FC236}">
                <a16:creationId xmlns:a16="http://schemas.microsoft.com/office/drawing/2014/main" id="{733097D4-2814-1628-AED3-89E5912EBF7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408</xdr:row>
      <xdr:rowOff>3962</xdr:rowOff>
    </xdr:from>
    <xdr:ext cx="33655" cy="33655"/>
    <xdr:grpSp>
      <xdr:nvGrpSpPr>
        <xdr:cNvPr id="10886" name="Group 62">
          <a:extLst>
            <a:ext uri="{FF2B5EF4-FFF2-40B4-BE49-F238E27FC236}">
              <a16:creationId xmlns:a16="http://schemas.microsoft.com/office/drawing/2014/main" id="{304C8BEF-FC88-4761-97C6-44557F87C265}"/>
            </a:ext>
          </a:extLst>
        </xdr:cNvPr>
        <xdr:cNvGrpSpPr/>
      </xdr:nvGrpSpPr>
      <xdr:grpSpPr>
        <a:xfrm>
          <a:off x="4603072" y="77902847"/>
          <a:ext cx="33655" cy="33655"/>
          <a:chOff x="0" y="0"/>
          <a:chExt cx="33655" cy="33655"/>
        </a:xfrm>
      </xdr:grpSpPr>
      <xdr:sp macro="" textlink="">
        <xdr:nvSpPr>
          <xdr:cNvPr id="10887" name="Shape 63">
            <a:extLst>
              <a:ext uri="{FF2B5EF4-FFF2-40B4-BE49-F238E27FC236}">
                <a16:creationId xmlns:a16="http://schemas.microsoft.com/office/drawing/2014/main" id="{54C1CE01-FF80-D9AD-CED8-AFB743F7482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88" name="Shape 64">
            <a:extLst>
              <a:ext uri="{FF2B5EF4-FFF2-40B4-BE49-F238E27FC236}">
                <a16:creationId xmlns:a16="http://schemas.microsoft.com/office/drawing/2014/main" id="{8F7C5F5F-476E-F39F-2D7F-EDB53530C76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89" name="Shape 65">
            <a:extLst>
              <a:ext uri="{FF2B5EF4-FFF2-40B4-BE49-F238E27FC236}">
                <a16:creationId xmlns:a16="http://schemas.microsoft.com/office/drawing/2014/main" id="{8EF8B2D1-0143-B0FD-7747-713CE71FFE0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90" name="Shape 66">
            <a:extLst>
              <a:ext uri="{FF2B5EF4-FFF2-40B4-BE49-F238E27FC236}">
                <a16:creationId xmlns:a16="http://schemas.microsoft.com/office/drawing/2014/main" id="{87BBF65F-3038-7237-B273-2247D5B5174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91" name="Shape 67">
            <a:extLst>
              <a:ext uri="{FF2B5EF4-FFF2-40B4-BE49-F238E27FC236}">
                <a16:creationId xmlns:a16="http://schemas.microsoft.com/office/drawing/2014/main" id="{9952161C-DFD2-ECB6-5AE6-B10583182FD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92" name="Shape 68">
            <a:extLst>
              <a:ext uri="{FF2B5EF4-FFF2-40B4-BE49-F238E27FC236}">
                <a16:creationId xmlns:a16="http://schemas.microsoft.com/office/drawing/2014/main" id="{5EC8BB32-8AB4-508A-E91F-CCA8DAFA5AD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93" name="Shape 69">
            <a:extLst>
              <a:ext uri="{FF2B5EF4-FFF2-40B4-BE49-F238E27FC236}">
                <a16:creationId xmlns:a16="http://schemas.microsoft.com/office/drawing/2014/main" id="{F0CC04A4-9DFF-5C1F-93C7-FBC2F162A3C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94" name="Shape 70">
            <a:extLst>
              <a:ext uri="{FF2B5EF4-FFF2-40B4-BE49-F238E27FC236}">
                <a16:creationId xmlns:a16="http://schemas.microsoft.com/office/drawing/2014/main" id="{2E824E83-7F8A-1D5C-98E0-52549696A13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95" name="Shape 71">
            <a:extLst>
              <a:ext uri="{FF2B5EF4-FFF2-40B4-BE49-F238E27FC236}">
                <a16:creationId xmlns:a16="http://schemas.microsoft.com/office/drawing/2014/main" id="{B08638DD-0DB9-449F-573A-761FFF1881C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96" name="Shape 72">
            <a:extLst>
              <a:ext uri="{FF2B5EF4-FFF2-40B4-BE49-F238E27FC236}">
                <a16:creationId xmlns:a16="http://schemas.microsoft.com/office/drawing/2014/main" id="{419D439E-9BE6-9B0B-3CDE-B226AB75107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97" name="Shape 73">
            <a:extLst>
              <a:ext uri="{FF2B5EF4-FFF2-40B4-BE49-F238E27FC236}">
                <a16:creationId xmlns:a16="http://schemas.microsoft.com/office/drawing/2014/main" id="{BFE6076B-AD67-F474-E2E4-84919791963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898" name="Shape 74">
            <a:extLst>
              <a:ext uri="{FF2B5EF4-FFF2-40B4-BE49-F238E27FC236}">
                <a16:creationId xmlns:a16="http://schemas.microsoft.com/office/drawing/2014/main" id="{34232788-8749-DB3C-4AD5-B79FA5C6780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899" name="Shape 75">
            <a:extLst>
              <a:ext uri="{FF2B5EF4-FFF2-40B4-BE49-F238E27FC236}">
                <a16:creationId xmlns:a16="http://schemas.microsoft.com/office/drawing/2014/main" id="{895D2DED-E33F-1358-B325-D159B8411F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00" name="Shape 76">
            <a:extLst>
              <a:ext uri="{FF2B5EF4-FFF2-40B4-BE49-F238E27FC236}">
                <a16:creationId xmlns:a16="http://schemas.microsoft.com/office/drawing/2014/main" id="{0EAEABF3-0BF1-F0E1-582C-1AA21AF8B89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435</xdr:row>
      <xdr:rowOff>2978</xdr:rowOff>
    </xdr:from>
    <xdr:ext cx="33655" cy="33655"/>
    <xdr:grpSp>
      <xdr:nvGrpSpPr>
        <xdr:cNvPr id="10901" name="Group 2">
          <a:extLst>
            <a:ext uri="{FF2B5EF4-FFF2-40B4-BE49-F238E27FC236}">
              <a16:creationId xmlns:a16="http://schemas.microsoft.com/office/drawing/2014/main" id="{8EF4B1ED-66A2-4DEB-8ED8-E272B2235584}"/>
            </a:ext>
          </a:extLst>
        </xdr:cNvPr>
        <xdr:cNvGrpSpPr/>
      </xdr:nvGrpSpPr>
      <xdr:grpSpPr>
        <a:xfrm>
          <a:off x="4603072" y="82573798"/>
          <a:ext cx="33655" cy="33655"/>
          <a:chOff x="0" y="0"/>
          <a:chExt cx="33655" cy="33655"/>
        </a:xfrm>
      </xdr:grpSpPr>
      <xdr:sp macro="" textlink="">
        <xdr:nvSpPr>
          <xdr:cNvPr id="10902" name="Shape 3">
            <a:extLst>
              <a:ext uri="{FF2B5EF4-FFF2-40B4-BE49-F238E27FC236}">
                <a16:creationId xmlns:a16="http://schemas.microsoft.com/office/drawing/2014/main" id="{074EFAF9-1A71-9FF5-D43B-7CB6CCDBD63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03" name="Shape 4">
            <a:extLst>
              <a:ext uri="{FF2B5EF4-FFF2-40B4-BE49-F238E27FC236}">
                <a16:creationId xmlns:a16="http://schemas.microsoft.com/office/drawing/2014/main" id="{A75298F7-AD9A-1E4F-1519-B93196675638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04" name="Shape 5">
            <a:extLst>
              <a:ext uri="{FF2B5EF4-FFF2-40B4-BE49-F238E27FC236}">
                <a16:creationId xmlns:a16="http://schemas.microsoft.com/office/drawing/2014/main" id="{9C36A6D2-27C4-71DE-D227-FA35EBF96F3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05" name="Shape 6">
            <a:extLst>
              <a:ext uri="{FF2B5EF4-FFF2-40B4-BE49-F238E27FC236}">
                <a16:creationId xmlns:a16="http://schemas.microsoft.com/office/drawing/2014/main" id="{55997B4E-131A-6DEB-C6CE-C4254AA9E444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06" name="Shape 7">
            <a:extLst>
              <a:ext uri="{FF2B5EF4-FFF2-40B4-BE49-F238E27FC236}">
                <a16:creationId xmlns:a16="http://schemas.microsoft.com/office/drawing/2014/main" id="{68DCEAFF-6042-3245-4CC5-4A474F29BB7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07" name="Shape 8">
            <a:extLst>
              <a:ext uri="{FF2B5EF4-FFF2-40B4-BE49-F238E27FC236}">
                <a16:creationId xmlns:a16="http://schemas.microsoft.com/office/drawing/2014/main" id="{32996E43-AF81-5F28-3B8A-639B1BAC1787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08" name="Shape 9">
            <a:extLst>
              <a:ext uri="{FF2B5EF4-FFF2-40B4-BE49-F238E27FC236}">
                <a16:creationId xmlns:a16="http://schemas.microsoft.com/office/drawing/2014/main" id="{D89DB9FB-F76D-72DD-EC97-02C6CB2A0C5E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09" name="Shape 10">
            <a:extLst>
              <a:ext uri="{FF2B5EF4-FFF2-40B4-BE49-F238E27FC236}">
                <a16:creationId xmlns:a16="http://schemas.microsoft.com/office/drawing/2014/main" id="{FAB20D92-838D-BC38-75BD-9DCD3B63395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10" name="Shape 11">
            <a:extLst>
              <a:ext uri="{FF2B5EF4-FFF2-40B4-BE49-F238E27FC236}">
                <a16:creationId xmlns:a16="http://schemas.microsoft.com/office/drawing/2014/main" id="{4AC80A04-E203-6B28-B014-37EEEE4093B4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11" name="Shape 12">
            <a:extLst>
              <a:ext uri="{FF2B5EF4-FFF2-40B4-BE49-F238E27FC236}">
                <a16:creationId xmlns:a16="http://schemas.microsoft.com/office/drawing/2014/main" id="{22FC048D-AF5B-82D4-0BB2-38580B9552E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12" name="Shape 13">
            <a:extLst>
              <a:ext uri="{FF2B5EF4-FFF2-40B4-BE49-F238E27FC236}">
                <a16:creationId xmlns:a16="http://schemas.microsoft.com/office/drawing/2014/main" id="{06C84087-7560-179B-8592-85992A43D08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13" name="Shape 14">
            <a:extLst>
              <a:ext uri="{FF2B5EF4-FFF2-40B4-BE49-F238E27FC236}">
                <a16:creationId xmlns:a16="http://schemas.microsoft.com/office/drawing/2014/main" id="{5FB80D9A-D965-8BD7-00E3-8B8360BEFB78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14" name="Shape 15">
            <a:extLst>
              <a:ext uri="{FF2B5EF4-FFF2-40B4-BE49-F238E27FC236}">
                <a16:creationId xmlns:a16="http://schemas.microsoft.com/office/drawing/2014/main" id="{DD24106B-A325-C485-F49D-AE91958FB1F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15" name="Shape 16">
            <a:extLst>
              <a:ext uri="{FF2B5EF4-FFF2-40B4-BE49-F238E27FC236}">
                <a16:creationId xmlns:a16="http://schemas.microsoft.com/office/drawing/2014/main" id="{4E210E7D-2C01-90E5-7622-1F72372E7E2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435</xdr:row>
      <xdr:rowOff>3246</xdr:rowOff>
    </xdr:from>
    <xdr:ext cx="33655" cy="33655"/>
    <xdr:grpSp>
      <xdr:nvGrpSpPr>
        <xdr:cNvPr id="10916" name="Group 17">
          <a:extLst>
            <a:ext uri="{FF2B5EF4-FFF2-40B4-BE49-F238E27FC236}">
              <a16:creationId xmlns:a16="http://schemas.microsoft.com/office/drawing/2014/main" id="{96E7909A-515B-4DB9-B988-B9E60A1F5CA4}"/>
            </a:ext>
          </a:extLst>
        </xdr:cNvPr>
        <xdr:cNvGrpSpPr/>
      </xdr:nvGrpSpPr>
      <xdr:grpSpPr>
        <a:xfrm>
          <a:off x="4603072" y="82574066"/>
          <a:ext cx="33655" cy="33655"/>
          <a:chOff x="0" y="0"/>
          <a:chExt cx="33655" cy="33655"/>
        </a:xfrm>
      </xdr:grpSpPr>
      <xdr:sp macro="" textlink="">
        <xdr:nvSpPr>
          <xdr:cNvPr id="10917" name="Shape 18">
            <a:extLst>
              <a:ext uri="{FF2B5EF4-FFF2-40B4-BE49-F238E27FC236}">
                <a16:creationId xmlns:a16="http://schemas.microsoft.com/office/drawing/2014/main" id="{FEB63354-250E-D429-EF03-7AF4DD43666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18" name="Shape 19">
            <a:extLst>
              <a:ext uri="{FF2B5EF4-FFF2-40B4-BE49-F238E27FC236}">
                <a16:creationId xmlns:a16="http://schemas.microsoft.com/office/drawing/2014/main" id="{0AA40D19-16FF-49E8-6200-CA69AEFA1DC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19" name="Shape 20">
            <a:extLst>
              <a:ext uri="{FF2B5EF4-FFF2-40B4-BE49-F238E27FC236}">
                <a16:creationId xmlns:a16="http://schemas.microsoft.com/office/drawing/2014/main" id="{1E119F21-C382-3571-02A3-EC99B9EC975C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20" name="Shape 21">
            <a:extLst>
              <a:ext uri="{FF2B5EF4-FFF2-40B4-BE49-F238E27FC236}">
                <a16:creationId xmlns:a16="http://schemas.microsoft.com/office/drawing/2014/main" id="{F0659A52-D9F9-63BA-7AAA-E3AAC5D0319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21" name="Shape 22">
            <a:extLst>
              <a:ext uri="{FF2B5EF4-FFF2-40B4-BE49-F238E27FC236}">
                <a16:creationId xmlns:a16="http://schemas.microsoft.com/office/drawing/2014/main" id="{0E99BB96-AE89-C2C7-A4AB-B230D6974038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22" name="Shape 23">
            <a:extLst>
              <a:ext uri="{FF2B5EF4-FFF2-40B4-BE49-F238E27FC236}">
                <a16:creationId xmlns:a16="http://schemas.microsoft.com/office/drawing/2014/main" id="{B06B610F-0FA6-F6D0-D670-7E76AABB180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23" name="Shape 24">
            <a:extLst>
              <a:ext uri="{FF2B5EF4-FFF2-40B4-BE49-F238E27FC236}">
                <a16:creationId xmlns:a16="http://schemas.microsoft.com/office/drawing/2014/main" id="{8993AB06-DB29-BA6E-DC9F-B981762D041A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24" name="Shape 25">
            <a:extLst>
              <a:ext uri="{FF2B5EF4-FFF2-40B4-BE49-F238E27FC236}">
                <a16:creationId xmlns:a16="http://schemas.microsoft.com/office/drawing/2014/main" id="{A95FA95B-E560-B6D2-C7E9-AB96DAFB667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25" name="Shape 26">
            <a:extLst>
              <a:ext uri="{FF2B5EF4-FFF2-40B4-BE49-F238E27FC236}">
                <a16:creationId xmlns:a16="http://schemas.microsoft.com/office/drawing/2014/main" id="{B5AE8466-28DD-7163-FDCD-702AEA7D448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26" name="Shape 27">
            <a:extLst>
              <a:ext uri="{FF2B5EF4-FFF2-40B4-BE49-F238E27FC236}">
                <a16:creationId xmlns:a16="http://schemas.microsoft.com/office/drawing/2014/main" id="{9A114564-2A6F-5655-D415-6136D4127BA6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27" name="Shape 28">
            <a:extLst>
              <a:ext uri="{FF2B5EF4-FFF2-40B4-BE49-F238E27FC236}">
                <a16:creationId xmlns:a16="http://schemas.microsoft.com/office/drawing/2014/main" id="{CF8B8197-611A-6039-EE7B-5E515D81345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28" name="Shape 29">
            <a:extLst>
              <a:ext uri="{FF2B5EF4-FFF2-40B4-BE49-F238E27FC236}">
                <a16:creationId xmlns:a16="http://schemas.microsoft.com/office/drawing/2014/main" id="{87D83A9B-8067-899C-28C3-AA0F223598CE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29" name="Shape 30">
            <a:extLst>
              <a:ext uri="{FF2B5EF4-FFF2-40B4-BE49-F238E27FC236}">
                <a16:creationId xmlns:a16="http://schemas.microsoft.com/office/drawing/2014/main" id="{EBDBD5A8-B272-B5F3-5A28-CFD9D40132A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30" name="Shape 31">
            <a:extLst>
              <a:ext uri="{FF2B5EF4-FFF2-40B4-BE49-F238E27FC236}">
                <a16:creationId xmlns:a16="http://schemas.microsoft.com/office/drawing/2014/main" id="{D4B97367-4D12-ED79-D5EE-B28A63A1071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435</xdr:row>
      <xdr:rowOff>3703</xdr:rowOff>
    </xdr:from>
    <xdr:ext cx="33655" cy="33655"/>
    <xdr:grpSp>
      <xdr:nvGrpSpPr>
        <xdr:cNvPr id="10931" name="Group 32">
          <a:extLst>
            <a:ext uri="{FF2B5EF4-FFF2-40B4-BE49-F238E27FC236}">
              <a16:creationId xmlns:a16="http://schemas.microsoft.com/office/drawing/2014/main" id="{40D3BA86-0E67-462A-8E77-22916D9B5640}"/>
            </a:ext>
          </a:extLst>
        </xdr:cNvPr>
        <xdr:cNvGrpSpPr/>
      </xdr:nvGrpSpPr>
      <xdr:grpSpPr>
        <a:xfrm>
          <a:off x="4603072" y="82574523"/>
          <a:ext cx="33655" cy="33655"/>
          <a:chOff x="0" y="0"/>
          <a:chExt cx="33655" cy="33655"/>
        </a:xfrm>
      </xdr:grpSpPr>
      <xdr:sp macro="" textlink="">
        <xdr:nvSpPr>
          <xdr:cNvPr id="10932" name="Shape 33">
            <a:extLst>
              <a:ext uri="{FF2B5EF4-FFF2-40B4-BE49-F238E27FC236}">
                <a16:creationId xmlns:a16="http://schemas.microsoft.com/office/drawing/2014/main" id="{CA96BF49-6B07-3EED-7809-89D6D65AB45F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33" name="Shape 34">
            <a:extLst>
              <a:ext uri="{FF2B5EF4-FFF2-40B4-BE49-F238E27FC236}">
                <a16:creationId xmlns:a16="http://schemas.microsoft.com/office/drawing/2014/main" id="{D80D6842-3A14-1760-A4D3-2BCA0A5EF6F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34" name="Shape 35">
            <a:extLst>
              <a:ext uri="{FF2B5EF4-FFF2-40B4-BE49-F238E27FC236}">
                <a16:creationId xmlns:a16="http://schemas.microsoft.com/office/drawing/2014/main" id="{3075B220-FF27-54FC-5DB5-92FEDF9F244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35" name="Shape 36">
            <a:extLst>
              <a:ext uri="{FF2B5EF4-FFF2-40B4-BE49-F238E27FC236}">
                <a16:creationId xmlns:a16="http://schemas.microsoft.com/office/drawing/2014/main" id="{58ECDCFF-FA17-774A-6F13-E801886ADCE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36" name="Shape 37">
            <a:extLst>
              <a:ext uri="{FF2B5EF4-FFF2-40B4-BE49-F238E27FC236}">
                <a16:creationId xmlns:a16="http://schemas.microsoft.com/office/drawing/2014/main" id="{FE4BB229-06BE-3210-9154-C16A8D5EDC9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37" name="Shape 38">
            <a:extLst>
              <a:ext uri="{FF2B5EF4-FFF2-40B4-BE49-F238E27FC236}">
                <a16:creationId xmlns:a16="http://schemas.microsoft.com/office/drawing/2014/main" id="{DCC129C4-4A0E-8BBC-EAFF-411C6280E1C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38" name="Shape 39">
            <a:extLst>
              <a:ext uri="{FF2B5EF4-FFF2-40B4-BE49-F238E27FC236}">
                <a16:creationId xmlns:a16="http://schemas.microsoft.com/office/drawing/2014/main" id="{72089D51-EC4B-9B95-D6ED-4B90A1F91C5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39" name="Shape 40">
            <a:extLst>
              <a:ext uri="{FF2B5EF4-FFF2-40B4-BE49-F238E27FC236}">
                <a16:creationId xmlns:a16="http://schemas.microsoft.com/office/drawing/2014/main" id="{2BBB7B8E-6C43-D489-7D3E-39867047B08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40" name="Shape 41">
            <a:extLst>
              <a:ext uri="{FF2B5EF4-FFF2-40B4-BE49-F238E27FC236}">
                <a16:creationId xmlns:a16="http://schemas.microsoft.com/office/drawing/2014/main" id="{7639002B-1391-DFDC-F2BA-563A8C3FC84C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41" name="Shape 42">
            <a:extLst>
              <a:ext uri="{FF2B5EF4-FFF2-40B4-BE49-F238E27FC236}">
                <a16:creationId xmlns:a16="http://schemas.microsoft.com/office/drawing/2014/main" id="{BC9DBA25-03CA-B439-B399-AABCF42C2F2C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42" name="Shape 43">
            <a:extLst>
              <a:ext uri="{FF2B5EF4-FFF2-40B4-BE49-F238E27FC236}">
                <a16:creationId xmlns:a16="http://schemas.microsoft.com/office/drawing/2014/main" id="{ED8D093C-91D4-9F59-E62E-8BD2B82B6FBB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43" name="Shape 44">
            <a:extLst>
              <a:ext uri="{FF2B5EF4-FFF2-40B4-BE49-F238E27FC236}">
                <a16:creationId xmlns:a16="http://schemas.microsoft.com/office/drawing/2014/main" id="{32CFFD55-02C2-EFBC-C1FF-A94DE39D08D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44" name="Shape 45">
            <a:extLst>
              <a:ext uri="{FF2B5EF4-FFF2-40B4-BE49-F238E27FC236}">
                <a16:creationId xmlns:a16="http://schemas.microsoft.com/office/drawing/2014/main" id="{76C2AC38-3CE8-005B-B571-25DD800384B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45" name="Shape 46">
            <a:extLst>
              <a:ext uri="{FF2B5EF4-FFF2-40B4-BE49-F238E27FC236}">
                <a16:creationId xmlns:a16="http://schemas.microsoft.com/office/drawing/2014/main" id="{112177B4-913B-1F1B-6DDA-649E205E2C2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435</xdr:row>
      <xdr:rowOff>3409</xdr:rowOff>
    </xdr:from>
    <xdr:ext cx="33655" cy="33655"/>
    <xdr:grpSp>
      <xdr:nvGrpSpPr>
        <xdr:cNvPr id="10946" name="Group 47">
          <a:extLst>
            <a:ext uri="{FF2B5EF4-FFF2-40B4-BE49-F238E27FC236}">
              <a16:creationId xmlns:a16="http://schemas.microsoft.com/office/drawing/2014/main" id="{036F3B0E-DF37-4999-8B3E-CAE59701C3D4}"/>
            </a:ext>
          </a:extLst>
        </xdr:cNvPr>
        <xdr:cNvGrpSpPr/>
      </xdr:nvGrpSpPr>
      <xdr:grpSpPr>
        <a:xfrm>
          <a:off x="4603072" y="82574229"/>
          <a:ext cx="33655" cy="33655"/>
          <a:chOff x="0" y="0"/>
          <a:chExt cx="33655" cy="33655"/>
        </a:xfrm>
      </xdr:grpSpPr>
      <xdr:sp macro="" textlink="">
        <xdr:nvSpPr>
          <xdr:cNvPr id="10947" name="Shape 48">
            <a:extLst>
              <a:ext uri="{FF2B5EF4-FFF2-40B4-BE49-F238E27FC236}">
                <a16:creationId xmlns:a16="http://schemas.microsoft.com/office/drawing/2014/main" id="{9C02F2C6-0E9D-8BCF-A011-A162B6CE04E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48" name="Shape 49">
            <a:extLst>
              <a:ext uri="{FF2B5EF4-FFF2-40B4-BE49-F238E27FC236}">
                <a16:creationId xmlns:a16="http://schemas.microsoft.com/office/drawing/2014/main" id="{7CAA7B7C-B6B9-3309-F9A9-AD885ED6D1E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49" name="Shape 50">
            <a:extLst>
              <a:ext uri="{FF2B5EF4-FFF2-40B4-BE49-F238E27FC236}">
                <a16:creationId xmlns:a16="http://schemas.microsoft.com/office/drawing/2014/main" id="{A03E69B8-61B0-9083-74E5-007F0EA0128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50" name="Shape 51">
            <a:extLst>
              <a:ext uri="{FF2B5EF4-FFF2-40B4-BE49-F238E27FC236}">
                <a16:creationId xmlns:a16="http://schemas.microsoft.com/office/drawing/2014/main" id="{A5D9FF38-358B-0970-9C78-D1BF7BA898D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51" name="Shape 52">
            <a:extLst>
              <a:ext uri="{FF2B5EF4-FFF2-40B4-BE49-F238E27FC236}">
                <a16:creationId xmlns:a16="http://schemas.microsoft.com/office/drawing/2014/main" id="{D628AD36-659A-3620-A82E-9BD8BF24FB0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52" name="Shape 53">
            <a:extLst>
              <a:ext uri="{FF2B5EF4-FFF2-40B4-BE49-F238E27FC236}">
                <a16:creationId xmlns:a16="http://schemas.microsoft.com/office/drawing/2014/main" id="{8454B497-10C0-ED4C-DE03-3B7CD27AD16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53" name="Shape 54">
            <a:extLst>
              <a:ext uri="{FF2B5EF4-FFF2-40B4-BE49-F238E27FC236}">
                <a16:creationId xmlns:a16="http://schemas.microsoft.com/office/drawing/2014/main" id="{85149D2C-14AA-A725-3E65-2B7088CC6B1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54" name="Shape 55">
            <a:extLst>
              <a:ext uri="{FF2B5EF4-FFF2-40B4-BE49-F238E27FC236}">
                <a16:creationId xmlns:a16="http://schemas.microsoft.com/office/drawing/2014/main" id="{1E5429D1-547C-6EA6-4335-96AB9283BCF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55" name="Shape 56">
            <a:extLst>
              <a:ext uri="{FF2B5EF4-FFF2-40B4-BE49-F238E27FC236}">
                <a16:creationId xmlns:a16="http://schemas.microsoft.com/office/drawing/2014/main" id="{9293F399-F4B6-B93A-EE25-F171BFDFEAC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56" name="Shape 57">
            <a:extLst>
              <a:ext uri="{FF2B5EF4-FFF2-40B4-BE49-F238E27FC236}">
                <a16:creationId xmlns:a16="http://schemas.microsoft.com/office/drawing/2014/main" id="{66669306-DAFB-7A61-8D5E-DC2DD50DA509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57" name="Shape 58">
            <a:extLst>
              <a:ext uri="{FF2B5EF4-FFF2-40B4-BE49-F238E27FC236}">
                <a16:creationId xmlns:a16="http://schemas.microsoft.com/office/drawing/2014/main" id="{A392BEEF-D68F-C7C0-67CB-EDBE90F2110C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58" name="Shape 59">
            <a:extLst>
              <a:ext uri="{FF2B5EF4-FFF2-40B4-BE49-F238E27FC236}">
                <a16:creationId xmlns:a16="http://schemas.microsoft.com/office/drawing/2014/main" id="{74F66AF7-EE5B-2FE3-9AA9-9375EF394E8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59" name="Shape 60">
            <a:extLst>
              <a:ext uri="{FF2B5EF4-FFF2-40B4-BE49-F238E27FC236}">
                <a16:creationId xmlns:a16="http://schemas.microsoft.com/office/drawing/2014/main" id="{6E77D7BE-B365-F8C4-AE08-6F972EF2E51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60" name="Shape 61">
            <a:extLst>
              <a:ext uri="{FF2B5EF4-FFF2-40B4-BE49-F238E27FC236}">
                <a16:creationId xmlns:a16="http://schemas.microsoft.com/office/drawing/2014/main" id="{AA78C03A-6E18-7ED5-ACE2-8263AFBAF5A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435</xdr:row>
      <xdr:rowOff>3962</xdr:rowOff>
    </xdr:from>
    <xdr:ext cx="33655" cy="33655"/>
    <xdr:grpSp>
      <xdr:nvGrpSpPr>
        <xdr:cNvPr id="10961" name="Group 62">
          <a:extLst>
            <a:ext uri="{FF2B5EF4-FFF2-40B4-BE49-F238E27FC236}">
              <a16:creationId xmlns:a16="http://schemas.microsoft.com/office/drawing/2014/main" id="{1139C0C9-5F0D-4D9C-9DB1-956B190C49AF}"/>
            </a:ext>
          </a:extLst>
        </xdr:cNvPr>
        <xdr:cNvGrpSpPr/>
      </xdr:nvGrpSpPr>
      <xdr:grpSpPr>
        <a:xfrm>
          <a:off x="4603072" y="82574782"/>
          <a:ext cx="33655" cy="33655"/>
          <a:chOff x="0" y="0"/>
          <a:chExt cx="33655" cy="33655"/>
        </a:xfrm>
      </xdr:grpSpPr>
      <xdr:sp macro="" textlink="">
        <xdr:nvSpPr>
          <xdr:cNvPr id="10962" name="Shape 63">
            <a:extLst>
              <a:ext uri="{FF2B5EF4-FFF2-40B4-BE49-F238E27FC236}">
                <a16:creationId xmlns:a16="http://schemas.microsoft.com/office/drawing/2014/main" id="{49DE8F12-E58D-FEBF-A279-8DF1E1A61A81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63" name="Shape 64">
            <a:extLst>
              <a:ext uri="{FF2B5EF4-FFF2-40B4-BE49-F238E27FC236}">
                <a16:creationId xmlns:a16="http://schemas.microsoft.com/office/drawing/2014/main" id="{633DA842-E5E3-9CF0-192F-08F42FE5C15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64" name="Shape 65">
            <a:extLst>
              <a:ext uri="{FF2B5EF4-FFF2-40B4-BE49-F238E27FC236}">
                <a16:creationId xmlns:a16="http://schemas.microsoft.com/office/drawing/2014/main" id="{2551B504-4667-6165-60EC-4CD91B81BEF2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65" name="Shape 66">
            <a:extLst>
              <a:ext uri="{FF2B5EF4-FFF2-40B4-BE49-F238E27FC236}">
                <a16:creationId xmlns:a16="http://schemas.microsoft.com/office/drawing/2014/main" id="{CACDE908-7481-816C-4D34-F4E96D8DB40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66" name="Shape 67">
            <a:extLst>
              <a:ext uri="{FF2B5EF4-FFF2-40B4-BE49-F238E27FC236}">
                <a16:creationId xmlns:a16="http://schemas.microsoft.com/office/drawing/2014/main" id="{FC75038E-F417-706A-F625-AB9F8AF2C39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67" name="Shape 68">
            <a:extLst>
              <a:ext uri="{FF2B5EF4-FFF2-40B4-BE49-F238E27FC236}">
                <a16:creationId xmlns:a16="http://schemas.microsoft.com/office/drawing/2014/main" id="{1BA76AC4-F7AB-FB80-DCE2-3123570ECA5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68" name="Shape 69">
            <a:extLst>
              <a:ext uri="{FF2B5EF4-FFF2-40B4-BE49-F238E27FC236}">
                <a16:creationId xmlns:a16="http://schemas.microsoft.com/office/drawing/2014/main" id="{88AB9FCD-BC42-663C-CFD1-EF6F67B50EC8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69" name="Shape 70">
            <a:extLst>
              <a:ext uri="{FF2B5EF4-FFF2-40B4-BE49-F238E27FC236}">
                <a16:creationId xmlns:a16="http://schemas.microsoft.com/office/drawing/2014/main" id="{14A89EAF-57F7-FE61-12EF-2D75FAC5CCBB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70" name="Shape 71">
            <a:extLst>
              <a:ext uri="{FF2B5EF4-FFF2-40B4-BE49-F238E27FC236}">
                <a16:creationId xmlns:a16="http://schemas.microsoft.com/office/drawing/2014/main" id="{F15CE111-4A1B-0719-1675-F29DC7B61CF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71" name="Shape 72">
            <a:extLst>
              <a:ext uri="{FF2B5EF4-FFF2-40B4-BE49-F238E27FC236}">
                <a16:creationId xmlns:a16="http://schemas.microsoft.com/office/drawing/2014/main" id="{76D3BA00-9B66-66D8-9B8E-57167014364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72" name="Shape 73">
            <a:extLst>
              <a:ext uri="{FF2B5EF4-FFF2-40B4-BE49-F238E27FC236}">
                <a16:creationId xmlns:a16="http://schemas.microsoft.com/office/drawing/2014/main" id="{0ED7C7BA-99CA-556D-91BD-A385756C02B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73" name="Shape 74">
            <a:extLst>
              <a:ext uri="{FF2B5EF4-FFF2-40B4-BE49-F238E27FC236}">
                <a16:creationId xmlns:a16="http://schemas.microsoft.com/office/drawing/2014/main" id="{5AC7D304-EB66-4AAC-64FF-FD6E54DA5DFA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74" name="Shape 75">
            <a:extLst>
              <a:ext uri="{FF2B5EF4-FFF2-40B4-BE49-F238E27FC236}">
                <a16:creationId xmlns:a16="http://schemas.microsoft.com/office/drawing/2014/main" id="{3F2D231E-956E-6D89-B806-04E30A9F03E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0975" name="Shape 76">
            <a:extLst>
              <a:ext uri="{FF2B5EF4-FFF2-40B4-BE49-F238E27FC236}">
                <a16:creationId xmlns:a16="http://schemas.microsoft.com/office/drawing/2014/main" id="{260C769D-4BC6-6AA9-AC0B-47A21C4BA2B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435</xdr:row>
      <xdr:rowOff>2978</xdr:rowOff>
    </xdr:from>
    <xdr:ext cx="33655" cy="33655"/>
    <xdr:grpSp>
      <xdr:nvGrpSpPr>
        <xdr:cNvPr id="10976" name="Group 2">
          <a:extLst>
            <a:ext uri="{FF2B5EF4-FFF2-40B4-BE49-F238E27FC236}">
              <a16:creationId xmlns:a16="http://schemas.microsoft.com/office/drawing/2014/main" id="{95035E34-64AE-4A95-AF4C-2668BFAD1165}"/>
            </a:ext>
          </a:extLst>
        </xdr:cNvPr>
        <xdr:cNvGrpSpPr/>
      </xdr:nvGrpSpPr>
      <xdr:grpSpPr>
        <a:xfrm>
          <a:off x="4603072" y="82573798"/>
          <a:ext cx="33655" cy="33655"/>
          <a:chOff x="0" y="0"/>
          <a:chExt cx="33655" cy="33655"/>
        </a:xfrm>
      </xdr:grpSpPr>
      <xdr:sp macro="" textlink="">
        <xdr:nvSpPr>
          <xdr:cNvPr id="10977" name="Shape 3">
            <a:extLst>
              <a:ext uri="{FF2B5EF4-FFF2-40B4-BE49-F238E27FC236}">
                <a16:creationId xmlns:a16="http://schemas.microsoft.com/office/drawing/2014/main" id="{802D196E-F530-0299-E2B7-BB23F08CF6A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78" name="Shape 4">
            <a:extLst>
              <a:ext uri="{FF2B5EF4-FFF2-40B4-BE49-F238E27FC236}">
                <a16:creationId xmlns:a16="http://schemas.microsoft.com/office/drawing/2014/main" id="{AD3E6589-6FB0-DB9D-5D9C-E94ACF6DE39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79" name="Shape 5">
            <a:extLst>
              <a:ext uri="{FF2B5EF4-FFF2-40B4-BE49-F238E27FC236}">
                <a16:creationId xmlns:a16="http://schemas.microsoft.com/office/drawing/2014/main" id="{A12CA104-495A-03D6-386B-C75862DF709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80" name="Shape 6">
            <a:extLst>
              <a:ext uri="{FF2B5EF4-FFF2-40B4-BE49-F238E27FC236}">
                <a16:creationId xmlns:a16="http://schemas.microsoft.com/office/drawing/2014/main" id="{FD74B884-7F06-5B9D-3D38-D8F07BCB368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81" name="Shape 7">
            <a:extLst>
              <a:ext uri="{FF2B5EF4-FFF2-40B4-BE49-F238E27FC236}">
                <a16:creationId xmlns:a16="http://schemas.microsoft.com/office/drawing/2014/main" id="{4C9F6CEF-8A4C-A61C-EC12-CA02215D3CE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82" name="Shape 8">
            <a:extLst>
              <a:ext uri="{FF2B5EF4-FFF2-40B4-BE49-F238E27FC236}">
                <a16:creationId xmlns:a16="http://schemas.microsoft.com/office/drawing/2014/main" id="{20825EEF-B9A9-8D4B-EB5E-A409CB2704BF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83" name="Shape 9">
            <a:extLst>
              <a:ext uri="{FF2B5EF4-FFF2-40B4-BE49-F238E27FC236}">
                <a16:creationId xmlns:a16="http://schemas.microsoft.com/office/drawing/2014/main" id="{0CD1629F-9DC5-54FA-DD67-8AD248B966F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84" name="Shape 10">
            <a:extLst>
              <a:ext uri="{FF2B5EF4-FFF2-40B4-BE49-F238E27FC236}">
                <a16:creationId xmlns:a16="http://schemas.microsoft.com/office/drawing/2014/main" id="{57683762-8D59-3AB2-DD4D-31CF55B5F26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85" name="Shape 11">
            <a:extLst>
              <a:ext uri="{FF2B5EF4-FFF2-40B4-BE49-F238E27FC236}">
                <a16:creationId xmlns:a16="http://schemas.microsoft.com/office/drawing/2014/main" id="{4E746F09-CE88-5B0D-1211-D608AF4C803A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86" name="Shape 12">
            <a:extLst>
              <a:ext uri="{FF2B5EF4-FFF2-40B4-BE49-F238E27FC236}">
                <a16:creationId xmlns:a16="http://schemas.microsoft.com/office/drawing/2014/main" id="{0BFCF3AC-B146-AF1E-EFE2-5F448454A314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87" name="Shape 13">
            <a:extLst>
              <a:ext uri="{FF2B5EF4-FFF2-40B4-BE49-F238E27FC236}">
                <a16:creationId xmlns:a16="http://schemas.microsoft.com/office/drawing/2014/main" id="{69CD7F06-FEE6-B8B4-799A-0BFC2A7255B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88" name="Shape 14">
            <a:extLst>
              <a:ext uri="{FF2B5EF4-FFF2-40B4-BE49-F238E27FC236}">
                <a16:creationId xmlns:a16="http://schemas.microsoft.com/office/drawing/2014/main" id="{D69DFB3B-E991-6FBA-D73E-2FE71579024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89" name="Shape 15">
            <a:extLst>
              <a:ext uri="{FF2B5EF4-FFF2-40B4-BE49-F238E27FC236}">
                <a16:creationId xmlns:a16="http://schemas.microsoft.com/office/drawing/2014/main" id="{7A01B6E4-92D4-F133-EDCA-3E4F3ECC83EF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90" name="Shape 16">
            <a:extLst>
              <a:ext uri="{FF2B5EF4-FFF2-40B4-BE49-F238E27FC236}">
                <a16:creationId xmlns:a16="http://schemas.microsoft.com/office/drawing/2014/main" id="{49D1545B-99EA-6AAD-6C21-2342A31CA4C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435</xdr:row>
      <xdr:rowOff>3246</xdr:rowOff>
    </xdr:from>
    <xdr:ext cx="33655" cy="33655"/>
    <xdr:grpSp>
      <xdr:nvGrpSpPr>
        <xdr:cNvPr id="10991" name="Group 17">
          <a:extLst>
            <a:ext uri="{FF2B5EF4-FFF2-40B4-BE49-F238E27FC236}">
              <a16:creationId xmlns:a16="http://schemas.microsoft.com/office/drawing/2014/main" id="{41A2EB0A-D66B-4E5C-BA0D-E5BE7D6DB7E9}"/>
            </a:ext>
          </a:extLst>
        </xdr:cNvPr>
        <xdr:cNvGrpSpPr/>
      </xdr:nvGrpSpPr>
      <xdr:grpSpPr>
        <a:xfrm>
          <a:off x="4603072" y="82574066"/>
          <a:ext cx="33655" cy="33655"/>
          <a:chOff x="0" y="0"/>
          <a:chExt cx="33655" cy="33655"/>
        </a:xfrm>
      </xdr:grpSpPr>
      <xdr:sp macro="" textlink="">
        <xdr:nvSpPr>
          <xdr:cNvPr id="10992" name="Shape 18">
            <a:extLst>
              <a:ext uri="{FF2B5EF4-FFF2-40B4-BE49-F238E27FC236}">
                <a16:creationId xmlns:a16="http://schemas.microsoft.com/office/drawing/2014/main" id="{054DA097-A751-98BE-D000-FE35C75FA7BD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93" name="Shape 19">
            <a:extLst>
              <a:ext uri="{FF2B5EF4-FFF2-40B4-BE49-F238E27FC236}">
                <a16:creationId xmlns:a16="http://schemas.microsoft.com/office/drawing/2014/main" id="{551B4EE6-1C3A-09B9-2EC6-BE41CE0F7F8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94" name="Shape 20">
            <a:extLst>
              <a:ext uri="{FF2B5EF4-FFF2-40B4-BE49-F238E27FC236}">
                <a16:creationId xmlns:a16="http://schemas.microsoft.com/office/drawing/2014/main" id="{3B6AB397-565C-DCCA-894C-C77F0CAD52D4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95" name="Shape 21">
            <a:extLst>
              <a:ext uri="{FF2B5EF4-FFF2-40B4-BE49-F238E27FC236}">
                <a16:creationId xmlns:a16="http://schemas.microsoft.com/office/drawing/2014/main" id="{F6622B97-5A7A-4EF3-697A-75B02997366C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96" name="Shape 22">
            <a:extLst>
              <a:ext uri="{FF2B5EF4-FFF2-40B4-BE49-F238E27FC236}">
                <a16:creationId xmlns:a16="http://schemas.microsoft.com/office/drawing/2014/main" id="{1551D9BC-CBAD-13C3-36E8-ED446C362CB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97" name="Shape 23">
            <a:extLst>
              <a:ext uri="{FF2B5EF4-FFF2-40B4-BE49-F238E27FC236}">
                <a16:creationId xmlns:a16="http://schemas.microsoft.com/office/drawing/2014/main" id="{E08EB9F9-392F-FF46-90B6-2E1BBD81C904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0998" name="Shape 24">
            <a:extLst>
              <a:ext uri="{FF2B5EF4-FFF2-40B4-BE49-F238E27FC236}">
                <a16:creationId xmlns:a16="http://schemas.microsoft.com/office/drawing/2014/main" id="{9030BE0D-B55C-5841-F64B-0E3D1758C86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0999" name="Shape 25">
            <a:extLst>
              <a:ext uri="{FF2B5EF4-FFF2-40B4-BE49-F238E27FC236}">
                <a16:creationId xmlns:a16="http://schemas.microsoft.com/office/drawing/2014/main" id="{5FD90D76-F1D2-ACC7-9CFB-707B1E78629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00" name="Shape 26">
            <a:extLst>
              <a:ext uri="{FF2B5EF4-FFF2-40B4-BE49-F238E27FC236}">
                <a16:creationId xmlns:a16="http://schemas.microsoft.com/office/drawing/2014/main" id="{14016648-EA4E-C06A-2E1B-B7E7CEFFE01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01" name="Shape 27">
            <a:extLst>
              <a:ext uri="{FF2B5EF4-FFF2-40B4-BE49-F238E27FC236}">
                <a16:creationId xmlns:a16="http://schemas.microsoft.com/office/drawing/2014/main" id="{EB89ABD0-7DFB-D1A0-33E1-5D4727BF087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02" name="Shape 28">
            <a:extLst>
              <a:ext uri="{FF2B5EF4-FFF2-40B4-BE49-F238E27FC236}">
                <a16:creationId xmlns:a16="http://schemas.microsoft.com/office/drawing/2014/main" id="{32D07550-9865-9318-20E2-7AE45131A51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03" name="Shape 29">
            <a:extLst>
              <a:ext uri="{FF2B5EF4-FFF2-40B4-BE49-F238E27FC236}">
                <a16:creationId xmlns:a16="http://schemas.microsoft.com/office/drawing/2014/main" id="{20F28B51-E9F7-9F19-B4D9-2D6C4623B37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04" name="Shape 30">
            <a:extLst>
              <a:ext uri="{FF2B5EF4-FFF2-40B4-BE49-F238E27FC236}">
                <a16:creationId xmlns:a16="http://schemas.microsoft.com/office/drawing/2014/main" id="{86602CA6-E4A0-529F-CD71-56EE6F7BF789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05" name="Shape 31">
            <a:extLst>
              <a:ext uri="{FF2B5EF4-FFF2-40B4-BE49-F238E27FC236}">
                <a16:creationId xmlns:a16="http://schemas.microsoft.com/office/drawing/2014/main" id="{39EB38F7-850B-9DB9-AD5F-5BA4C76118F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435</xdr:row>
      <xdr:rowOff>3703</xdr:rowOff>
    </xdr:from>
    <xdr:ext cx="33655" cy="33655"/>
    <xdr:grpSp>
      <xdr:nvGrpSpPr>
        <xdr:cNvPr id="11006" name="Group 32">
          <a:extLst>
            <a:ext uri="{FF2B5EF4-FFF2-40B4-BE49-F238E27FC236}">
              <a16:creationId xmlns:a16="http://schemas.microsoft.com/office/drawing/2014/main" id="{356D01D0-F5B2-4B98-A452-82900E90B4FA}"/>
            </a:ext>
          </a:extLst>
        </xdr:cNvPr>
        <xdr:cNvGrpSpPr/>
      </xdr:nvGrpSpPr>
      <xdr:grpSpPr>
        <a:xfrm>
          <a:off x="4603072" y="82574523"/>
          <a:ext cx="33655" cy="33655"/>
          <a:chOff x="0" y="0"/>
          <a:chExt cx="33655" cy="33655"/>
        </a:xfrm>
      </xdr:grpSpPr>
      <xdr:sp macro="" textlink="">
        <xdr:nvSpPr>
          <xdr:cNvPr id="11007" name="Shape 33">
            <a:extLst>
              <a:ext uri="{FF2B5EF4-FFF2-40B4-BE49-F238E27FC236}">
                <a16:creationId xmlns:a16="http://schemas.microsoft.com/office/drawing/2014/main" id="{05912609-6340-D66D-AD86-7885904B217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08" name="Shape 34">
            <a:extLst>
              <a:ext uri="{FF2B5EF4-FFF2-40B4-BE49-F238E27FC236}">
                <a16:creationId xmlns:a16="http://schemas.microsoft.com/office/drawing/2014/main" id="{E922BF23-0633-A3A7-6BEA-81E1FA67B634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09" name="Shape 35">
            <a:extLst>
              <a:ext uri="{FF2B5EF4-FFF2-40B4-BE49-F238E27FC236}">
                <a16:creationId xmlns:a16="http://schemas.microsoft.com/office/drawing/2014/main" id="{6A2B48EA-2552-5AD4-B554-4F3338AE2901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10" name="Shape 36">
            <a:extLst>
              <a:ext uri="{FF2B5EF4-FFF2-40B4-BE49-F238E27FC236}">
                <a16:creationId xmlns:a16="http://schemas.microsoft.com/office/drawing/2014/main" id="{474902DA-459C-F750-AA98-A104167CC08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11" name="Shape 37">
            <a:extLst>
              <a:ext uri="{FF2B5EF4-FFF2-40B4-BE49-F238E27FC236}">
                <a16:creationId xmlns:a16="http://schemas.microsoft.com/office/drawing/2014/main" id="{F4C0E111-63D4-74E7-6608-93CF3CBB1567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12" name="Shape 38">
            <a:extLst>
              <a:ext uri="{FF2B5EF4-FFF2-40B4-BE49-F238E27FC236}">
                <a16:creationId xmlns:a16="http://schemas.microsoft.com/office/drawing/2014/main" id="{43D0D2E5-3B26-155A-E093-5A4DD92EDF49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13" name="Shape 39">
            <a:extLst>
              <a:ext uri="{FF2B5EF4-FFF2-40B4-BE49-F238E27FC236}">
                <a16:creationId xmlns:a16="http://schemas.microsoft.com/office/drawing/2014/main" id="{08EF5A88-1ADB-0085-C887-3EC04F86B27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14" name="Shape 40">
            <a:extLst>
              <a:ext uri="{FF2B5EF4-FFF2-40B4-BE49-F238E27FC236}">
                <a16:creationId xmlns:a16="http://schemas.microsoft.com/office/drawing/2014/main" id="{9DA4F327-0F93-EAC6-8A22-4E75B29550E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15" name="Shape 41">
            <a:extLst>
              <a:ext uri="{FF2B5EF4-FFF2-40B4-BE49-F238E27FC236}">
                <a16:creationId xmlns:a16="http://schemas.microsoft.com/office/drawing/2014/main" id="{4F1AEA19-7CAE-32B8-3D6A-CD7A4F62AFC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16" name="Shape 42">
            <a:extLst>
              <a:ext uri="{FF2B5EF4-FFF2-40B4-BE49-F238E27FC236}">
                <a16:creationId xmlns:a16="http://schemas.microsoft.com/office/drawing/2014/main" id="{A8577FB9-7D6E-B751-5B85-C2244DF1E48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17" name="Shape 43">
            <a:extLst>
              <a:ext uri="{FF2B5EF4-FFF2-40B4-BE49-F238E27FC236}">
                <a16:creationId xmlns:a16="http://schemas.microsoft.com/office/drawing/2014/main" id="{A3E9B589-6481-3098-B9BE-96057C65DE7A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18" name="Shape 44">
            <a:extLst>
              <a:ext uri="{FF2B5EF4-FFF2-40B4-BE49-F238E27FC236}">
                <a16:creationId xmlns:a16="http://schemas.microsoft.com/office/drawing/2014/main" id="{999848BA-F0C6-0B72-01BA-67A4FC5EEF9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19" name="Shape 45">
            <a:extLst>
              <a:ext uri="{FF2B5EF4-FFF2-40B4-BE49-F238E27FC236}">
                <a16:creationId xmlns:a16="http://schemas.microsoft.com/office/drawing/2014/main" id="{4E7B55AB-C022-2DA1-0210-FE2FB6FD2E65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20" name="Shape 46">
            <a:extLst>
              <a:ext uri="{FF2B5EF4-FFF2-40B4-BE49-F238E27FC236}">
                <a16:creationId xmlns:a16="http://schemas.microsoft.com/office/drawing/2014/main" id="{259648E0-1726-642E-FC32-06EC7BB646D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435</xdr:row>
      <xdr:rowOff>3409</xdr:rowOff>
    </xdr:from>
    <xdr:ext cx="33655" cy="33655"/>
    <xdr:grpSp>
      <xdr:nvGrpSpPr>
        <xdr:cNvPr id="11021" name="Group 47">
          <a:extLst>
            <a:ext uri="{FF2B5EF4-FFF2-40B4-BE49-F238E27FC236}">
              <a16:creationId xmlns:a16="http://schemas.microsoft.com/office/drawing/2014/main" id="{08CE4ACC-9668-429E-872A-AF035429DBB0}"/>
            </a:ext>
          </a:extLst>
        </xdr:cNvPr>
        <xdr:cNvGrpSpPr/>
      </xdr:nvGrpSpPr>
      <xdr:grpSpPr>
        <a:xfrm>
          <a:off x="4603072" y="82574229"/>
          <a:ext cx="33655" cy="33655"/>
          <a:chOff x="0" y="0"/>
          <a:chExt cx="33655" cy="33655"/>
        </a:xfrm>
      </xdr:grpSpPr>
      <xdr:sp macro="" textlink="">
        <xdr:nvSpPr>
          <xdr:cNvPr id="11022" name="Shape 48">
            <a:extLst>
              <a:ext uri="{FF2B5EF4-FFF2-40B4-BE49-F238E27FC236}">
                <a16:creationId xmlns:a16="http://schemas.microsoft.com/office/drawing/2014/main" id="{5D67C22B-51ED-EA02-F85C-FCA9C25C853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23" name="Shape 49">
            <a:extLst>
              <a:ext uri="{FF2B5EF4-FFF2-40B4-BE49-F238E27FC236}">
                <a16:creationId xmlns:a16="http://schemas.microsoft.com/office/drawing/2014/main" id="{0542E836-B3FA-3B91-7CEF-9AE90E546F7F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24" name="Shape 50">
            <a:extLst>
              <a:ext uri="{FF2B5EF4-FFF2-40B4-BE49-F238E27FC236}">
                <a16:creationId xmlns:a16="http://schemas.microsoft.com/office/drawing/2014/main" id="{83EE3638-2384-54DD-F624-FEDD8E28794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25" name="Shape 51">
            <a:extLst>
              <a:ext uri="{FF2B5EF4-FFF2-40B4-BE49-F238E27FC236}">
                <a16:creationId xmlns:a16="http://schemas.microsoft.com/office/drawing/2014/main" id="{602E1B84-12F7-7D0D-0F5A-71E94D0B0A5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26" name="Shape 52">
            <a:extLst>
              <a:ext uri="{FF2B5EF4-FFF2-40B4-BE49-F238E27FC236}">
                <a16:creationId xmlns:a16="http://schemas.microsoft.com/office/drawing/2014/main" id="{B019F129-0FF1-A14A-3B0D-74285FA7E873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27" name="Shape 53">
            <a:extLst>
              <a:ext uri="{FF2B5EF4-FFF2-40B4-BE49-F238E27FC236}">
                <a16:creationId xmlns:a16="http://schemas.microsoft.com/office/drawing/2014/main" id="{FE7DFF77-0B27-68D5-DC8F-79714F51F49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28" name="Shape 54">
            <a:extLst>
              <a:ext uri="{FF2B5EF4-FFF2-40B4-BE49-F238E27FC236}">
                <a16:creationId xmlns:a16="http://schemas.microsoft.com/office/drawing/2014/main" id="{5C80FF3F-FFA3-848F-8184-7F94D54E7A34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29" name="Shape 55">
            <a:extLst>
              <a:ext uri="{FF2B5EF4-FFF2-40B4-BE49-F238E27FC236}">
                <a16:creationId xmlns:a16="http://schemas.microsoft.com/office/drawing/2014/main" id="{A969223D-8CBE-14E9-690D-C80EF46CF53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30" name="Shape 56">
            <a:extLst>
              <a:ext uri="{FF2B5EF4-FFF2-40B4-BE49-F238E27FC236}">
                <a16:creationId xmlns:a16="http://schemas.microsoft.com/office/drawing/2014/main" id="{FA44738E-079A-9BF7-CE8A-86FB4A07E522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31" name="Shape 57">
            <a:extLst>
              <a:ext uri="{FF2B5EF4-FFF2-40B4-BE49-F238E27FC236}">
                <a16:creationId xmlns:a16="http://schemas.microsoft.com/office/drawing/2014/main" id="{88D470AA-0257-30D2-1B19-075288BC40C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32" name="Shape 58">
            <a:extLst>
              <a:ext uri="{FF2B5EF4-FFF2-40B4-BE49-F238E27FC236}">
                <a16:creationId xmlns:a16="http://schemas.microsoft.com/office/drawing/2014/main" id="{0FA4F4CC-A008-8710-9069-2217180D6E1E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33" name="Shape 59">
            <a:extLst>
              <a:ext uri="{FF2B5EF4-FFF2-40B4-BE49-F238E27FC236}">
                <a16:creationId xmlns:a16="http://schemas.microsoft.com/office/drawing/2014/main" id="{689BFF8C-2BDD-CF94-BC2F-83A2AFFFA8C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34" name="Shape 60">
            <a:extLst>
              <a:ext uri="{FF2B5EF4-FFF2-40B4-BE49-F238E27FC236}">
                <a16:creationId xmlns:a16="http://schemas.microsoft.com/office/drawing/2014/main" id="{35AFE4F3-E7A7-889A-0A20-20CA5EADE71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35" name="Shape 61">
            <a:extLst>
              <a:ext uri="{FF2B5EF4-FFF2-40B4-BE49-F238E27FC236}">
                <a16:creationId xmlns:a16="http://schemas.microsoft.com/office/drawing/2014/main" id="{DE284973-FC7C-6F71-9520-FF6C9CC552B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435</xdr:row>
      <xdr:rowOff>3962</xdr:rowOff>
    </xdr:from>
    <xdr:ext cx="33655" cy="33655"/>
    <xdr:grpSp>
      <xdr:nvGrpSpPr>
        <xdr:cNvPr id="11036" name="Group 62">
          <a:extLst>
            <a:ext uri="{FF2B5EF4-FFF2-40B4-BE49-F238E27FC236}">
              <a16:creationId xmlns:a16="http://schemas.microsoft.com/office/drawing/2014/main" id="{C360616F-3D14-415C-9D1B-BF335AF60C18}"/>
            </a:ext>
          </a:extLst>
        </xdr:cNvPr>
        <xdr:cNvGrpSpPr/>
      </xdr:nvGrpSpPr>
      <xdr:grpSpPr>
        <a:xfrm>
          <a:off x="4603072" y="82574782"/>
          <a:ext cx="33655" cy="33655"/>
          <a:chOff x="0" y="0"/>
          <a:chExt cx="33655" cy="33655"/>
        </a:xfrm>
      </xdr:grpSpPr>
      <xdr:sp macro="" textlink="">
        <xdr:nvSpPr>
          <xdr:cNvPr id="11037" name="Shape 63">
            <a:extLst>
              <a:ext uri="{FF2B5EF4-FFF2-40B4-BE49-F238E27FC236}">
                <a16:creationId xmlns:a16="http://schemas.microsoft.com/office/drawing/2014/main" id="{3D4507CB-B845-95CB-34FE-226D9345781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38" name="Shape 64">
            <a:extLst>
              <a:ext uri="{FF2B5EF4-FFF2-40B4-BE49-F238E27FC236}">
                <a16:creationId xmlns:a16="http://schemas.microsoft.com/office/drawing/2014/main" id="{7C4007EC-31CE-9A44-7F15-4DB41FBD170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039" name="Shape 65">
            <a:extLst>
              <a:ext uri="{FF2B5EF4-FFF2-40B4-BE49-F238E27FC236}">
                <a16:creationId xmlns:a16="http://schemas.microsoft.com/office/drawing/2014/main" id="{958767B1-3C44-54EE-6842-D270A9BB6F9E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40" name="Shape 66">
            <a:extLst>
              <a:ext uri="{FF2B5EF4-FFF2-40B4-BE49-F238E27FC236}">
                <a16:creationId xmlns:a16="http://schemas.microsoft.com/office/drawing/2014/main" id="{831D45EB-3ED7-B165-E2F9-473C651309B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041" name="Shape 67">
            <a:extLst>
              <a:ext uri="{FF2B5EF4-FFF2-40B4-BE49-F238E27FC236}">
                <a16:creationId xmlns:a16="http://schemas.microsoft.com/office/drawing/2014/main" id="{7B32D217-9BCE-1910-481F-57EB054043D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42" name="Shape 68">
            <a:extLst>
              <a:ext uri="{FF2B5EF4-FFF2-40B4-BE49-F238E27FC236}">
                <a16:creationId xmlns:a16="http://schemas.microsoft.com/office/drawing/2014/main" id="{971DA2B0-20A4-C51A-FD35-34562336CB55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043" name="Shape 69">
            <a:extLst>
              <a:ext uri="{FF2B5EF4-FFF2-40B4-BE49-F238E27FC236}">
                <a16:creationId xmlns:a16="http://schemas.microsoft.com/office/drawing/2014/main" id="{20A881DE-D8D8-5AD9-71D3-F83B6E82134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44" name="Shape 70">
            <a:extLst>
              <a:ext uri="{FF2B5EF4-FFF2-40B4-BE49-F238E27FC236}">
                <a16:creationId xmlns:a16="http://schemas.microsoft.com/office/drawing/2014/main" id="{D79C4F7B-BD79-0E89-32AD-8BD3FB8FA8FF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045" name="Shape 71">
            <a:extLst>
              <a:ext uri="{FF2B5EF4-FFF2-40B4-BE49-F238E27FC236}">
                <a16:creationId xmlns:a16="http://schemas.microsoft.com/office/drawing/2014/main" id="{593EE763-33C8-4F48-3B28-91DE493FBB6F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46" name="Shape 72">
            <a:extLst>
              <a:ext uri="{FF2B5EF4-FFF2-40B4-BE49-F238E27FC236}">
                <a16:creationId xmlns:a16="http://schemas.microsoft.com/office/drawing/2014/main" id="{2B6BE71C-799C-121C-2B7A-C956F0813060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047" name="Shape 73">
            <a:extLst>
              <a:ext uri="{FF2B5EF4-FFF2-40B4-BE49-F238E27FC236}">
                <a16:creationId xmlns:a16="http://schemas.microsoft.com/office/drawing/2014/main" id="{5618B1E0-D61A-E2B2-EE6E-FBA4522C349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48" name="Shape 74">
            <a:extLst>
              <a:ext uri="{FF2B5EF4-FFF2-40B4-BE49-F238E27FC236}">
                <a16:creationId xmlns:a16="http://schemas.microsoft.com/office/drawing/2014/main" id="{984EEF2B-E435-75F4-7A0F-D0FE02299A7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049" name="Shape 75">
            <a:extLst>
              <a:ext uri="{FF2B5EF4-FFF2-40B4-BE49-F238E27FC236}">
                <a16:creationId xmlns:a16="http://schemas.microsoft.com/office/drawing/2014/main" id="{47E60B4F-9266-04C1-9302-C25CD990BA3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050" name="Shape 76">
            <a:extLst>
              <a:ext uri="{FF2B5EF4-FFF2-40B4-BE49-F238E27FC236}">
                <a16:creationId xmlns:a16="http://schemas.microsoft.com/office/drawing/2014/main" id="{D9A906A0-33CA-84D8-D865-38648EA3939C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455</xdr:row>
      <xdr:rowOff>2978</xdr:rowOff>
    </xdr:from>
    <xdr:ext cx="33655" cy="33655"/>
    <xdr:grpSp>
      <xdr:nvGrpSpPr>
        <xdr:cNvPr id="11051" name="Group 2">
          <a:extLst>
            <a:ext uri="{FF2B5EF4-FFF2-40B4-BE49-F238E27FC236}">
              <a16:creationId xmlns:a16="http://schemas.microsoft.com/office/drawing/2014/main" id="{F454664C-5E30-494D-AD9C-DC23B3D2F9FC}"/>
            </a:ext>
          </a:extLst>
        </xdr:cNvPr>
        <xdr:cNvGrpSpPr/>
      </xdr:nvGrpSpPr>
      <xdr:grpSpPr>
        <a:xfrm>
          <a:off x="4603072" y="86083994"/>
          <a:ext cx="33655" cy="33655"/>
          <a:chOff x="0" y="0"/>
          <a:chExt cx="33655" cy="33655"/>
        </a:xfrm>
      </xdr:grpSpPr>
      <xdr:sp macro="" textlink="">
        <xdr:nvSpPr>
          <xdr:cNvPr id="11052" name="Shape 3">
            <a:extLst>
              <a:ext uri="{FF2B5EF4-FFF2-40B4-BE49-F238E27FC236}">
                <a16:creationId xmlns:a16="http://schemas.microsoft.com/office/drawing/2014/main" id="{4B9D1655-B7BA-DA93-F8C8-35D0945590C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53" name="Shape 4">
            <a:extLst>
              <a:ext uri="{FF2B5EF4-FFF2-40B4-BE49-F238E27FC236}">
                <a16:creationId xmlns:a16="http://schemas.microsoft.com/office/drawing/2014/main" id="{F0F53BB2-5F5F-0A3C-3D34-5EE773B942F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54" name="Shape 5">
            <a:extLst>
              <a:ext uri="{FF2B5EF4-FFF2-40B4-BE49-F238E27FC236}">
                <a16:creationId xmlns:a16="http://schemas.microsoft.com/office/drawing/2014/main" id="{92B3617D-8E19-AEA1-B473-EC3D457811D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55" name="Shape 6">
            <a:extLst>
              <a:ext uri="{FF2B5EF4-FFF2-40B4-BE49-F238E27FC236}">
                <a16:creationId xmlns:a16="http://schemas.microsoft.com/office/drawing/2014/main" id="{4BCD1DAA-C349-FB21-F032-31B81CB76E3E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56" name="Shape 7">
            <a:extLst>
              <a:ext uri="{FF2B5EF4-FFF2-40B4-BE49-F238E27FC236}">
                <a16:creationId xmlns:a16="http://schemas.microsoft.com/office/drawing/2014/main" id="{EFF4CD1B-AB14-86EA-4875-1899A0B5CC5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57" name="Shape 8">
            <a:extLst>
              <a:ext uri="{FF2B5EF4-FFF2-40B4-BE49-F238E27FC236}">
                <a16:creationId xmlns:a16="http://schemas.microsoft.com/office/drawing/2014/main" id="{5F29BF15-5E4A-C07D-0DD6-3D18B3FC09DA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58" name="Shape 9">
            <a:extLst>
              <a:ext uri="{FF2B5EF4-FFF2-40B4-BE49-F238E27FC236}">
                <a16:creationId xmlns:a16="http://schemas.microsoft.com/office/drawing/2014/main" id="{4E765289-7946-1788-3299-383E4D665887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59" name="Shape 10">
            <a:extLst>
              <a:ext uri="{FF2B5EF4-FFF2-40B4-BE49-F238E27FC236}">
                <a16:creationId xmlns:a16="http://schemas.microsoft.com/office/drawing/2014/main" id="{9F94A243-C008-082C-8394-05DD8FBBBDA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60" name="Shape 11">
            <a:extLst>
              <a:ext uri="{FF2B5EF4-FFF2-40B4-BE49-F238E27FC236}">
                <a16:creationId xmlns:a16="http://schemas.microsoft.com/office/drawing/2014/main" id="{7D393385-B29C-B169-3B6F-C5D5F2E5EE06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61" name="Shape 12">
            <a:extLst>
              <a:ext uri="{FF2B5EF4-FFF2-40B4-BE49-F238E27FC236}">
                <a16:creationId xmlns:a16="http://schemas.microsoft.com/office/drawing/2014/main" id="{DBB1F701-5950-19E7-75A7-787173A25B83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62" name="Shape 13">
            <a:extLst>
              <a:ext uri="{FF2B5EF4-FFF2-40B4-BE49-F238E27FC236}">
                <a16:creationId xmlns:a16="http://schemas.microsoft.com/office/drawing/2014/main" id="{9B9D3106-C15B-369E-F6D5-B85171646AE6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63" name="Shape 14">
            <a:extLst>
              <a:ext uri="{FF2B5EF4-FFF2-40B4-BE49-F238E27FC236}">
                <a16:creationId xmlns:a16="http://schemas.microsoft.com/office/drawing/2014/main" id="{D39866D7-6CD8-2869-FBD7-5CAE97B6DA76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64" name="Shape 15">
            <a:extLst>
              <a:ext uri="{FF2B5EF4-FFF2-40B4-BE49-F238E27FC236}">
                <a16:creationId xmlns:a16="http://schemas.microsoft.com/office/drawing/2014/main" id="{2D259A5F-0B04-C87A-3335-A529CB0AB2E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65" name="Shape 16">
            <a:extLst>
              <a:ext uri="{FF2B5EF4-FFF2-40B4-BE49-F238E27FC236}">
                <a16:creationId xmlns:a16="http://schemas.microsoft.com/office/drawing/2014/main" id="{81B5AF1F-D776-5796-91E1-FE2E2022CAF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455</xdr:row>
      <xdr:rowOff>3246</xdr:rowOff>
    </xdr:from>
    <xdr:ext cx="33655" cy="33655"/>
    <xdr:grpSp>
      <xdr:nvGrpSpPr>
        <xdr:cNvPr id="11066" name="Group 17">
          <a:extLst>
            <a:ext uri="{FF2B5EF4-FFF2-40B4-BE49-F238E27FC236}">
              <a16:creationId xmlns:a16="http://schemas.microsoft.com/office/drawing/2014/main" id="{E9089C59-353C-47BA-BD4B-D94B72460353}"/>
            </a:ext>
          </a:extLst>
        </xdr:cNvPr>
        <xdr:cNvGrpSpPr/>
      </xdr:nvGrpSpPr>
      <xdr:grpSpPr>
        <a:xfrm>
          <a:off x="4603072" y="86084262"/>
          <a:ext cx="33655" cy="33655"/>
          <a:chOff x="0" y="0"/>
          <a:chExt cx="33655" cy="33655"/>
        </a:xfrm>
      </xdr:grpSpPr>
      <xdr:sp macro="" textlink="">
        <xdr:nvSpPr>
          <xdr:cNvPr id="11067" name="Shape 18">
            <a:extLst>
              <a:ext uri="{FF2B5EF4-FFF2-40B4-BE49-F238E27FC236}">
                <a16:creationId xmlns:a16="http://schemas.microsoft.com/office/drawing/2014/main" id="{516CC731-88F4-A72A-66C7-ED206502D097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68" name="Shape 19">
            <a:extLst>
              <a:ext uri="{FF2B5EF4-FFF2-40B4-BE49-F238E27FC236}">
                <a16:creationId xmlns:a16="http://schemas.microsoft.com/office/drawing/2014/main" id="{99B62019-78EB-E28E-A010-B0AA0F1AC209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69" name="Shape 20">
            <a:extLst>
              <a:ext uri="{FF2B5EF4-FFF2-40B4-BE49-F238E27FC236}">
                <a16:creationId xmlns:a16="http://schemas.microsoft.com/office/drawing/2014/main" id="{2DA10DFA-E6FC-23CF-1E97-A96305BD97F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70" name="Shape 21">
            <a:extLst>
              <a:ext uri="{FF2B5EF4-FFF2-40B4-BE49-F238E27FC236}">
                <a16:creationId xmlns:a16="http://schemas.microsoft.com/office/drawing/2014/main" id="{793CC38E-78AA-5848-D473-E71AA2B9C3B7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71" name="Shape 22">
            <a:extLst>
              <a:ext uri="{FF2B5EF4-FFF2-40B4-BE49-F238E27FC236}">
                <a16:creationId xmlns:a16="http://schemas.microsoft.com/office/drawing/2014/main" id="{9EC9DC3D-EFAE-9314-9495-9C344ED9C701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72" name="Shape 23">
            <a:extLst>
              <a:ext uri="{FF2B5EF4-FFF2-40B4-BE49-F238E27FC236}">
                <a16:creationId xmlns:a16="http://schemas.microsoft.com/office/drawing/2014/main" id="{D43A8EA6-C813-0595-486C-8BAF651EA23D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73" name="Shape 24">
            <a:extLst>
              <a:ext uri="{FF2B5EF4-FFF2-40B4-BE49-F238E27FC236}">
                <a16:creationId xmlns:a16="http://schemas.microsoft.com/office/drawing/2014/main" id="{6C4E96AD-ABC6-37F9-7ADC-29114EF9FF7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74" name="Shape 25">
            <a:extLst>
              <a:ext uri="{FF2B5EF4-FFF2-40B4-BE49-F238E27FC236}">
                <a16:creationId xmlns:a16="http://schemas.microsoft.com/office/drawing/2014/main" id="{992DFF9D-E817-2633-5321-176A44658F4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75" name="Shape 26">
            <a:extLst>
              <a:ext uri="{FF2B5EF4-FFF2-40B4-BE49-F238E27FC236}">
                <a16:creationId xmlns:a16="http://schemas.microsoft.com/office/drawing/2014/main" id="{48724E81-9AA5-E068-EAF7-A02DAB37B055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76" name="Shape 27">
            <a:extLst>
              <a:ext uri="{FF2B5EF4-FFF2-40B4-BE49-F238E27FC236}">
                <a16:creationId xmlns:a16="http://schemas.microsoft.com/office/drawing/2014/main" id="{DE8C8BEC-A1DA-10F5-18E8-A30A83E26D6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77" name="Shape 28">
            <a:extLst>
              <a:ext uri="{FF2B5EF4-FFF2-40B4-BE49-F238E27FC236}">
                <a16:creationId xmlns:a16="http://schemas.microsoft.com/office/drawing/2014/main" id="{A6788A1B-1FA2-85DA-6F04-0344499CCA89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78" name="Shape 29">
            <a:extLst>
              <a:ext uri="{FF2B5EF4-FFF2-40B4-BE49-F238E27FC236}">
                <a16:creationId xmlns:a16="http://schemas.microsoft.com/office/drawing/2014/main" id="{E66AD13E-A857-5A1F-C5CF-C949C40300BD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79" name="Shape 30">
            <a:extLst>
              <a:ext uri="{FF2B5EF4-FFF2-40B4-BE49-F238E27FC236}">
                <a16:creationId xmlns:a16="http://schemas.microsoft.com/office/drawing/2014/main" id="{9BDEFAB3-271F-F6E6-9795-81D219D3492D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80" name="Shape 31">
            <a:extLst>
              <a:ext uri="{FF2B5EF4-FFF2-40B4-BE49-F238E27FC236}">
                <a16:creationId xmlns:a16="http://schemas.microsoft.com/office/drawing/2014/main" id="{01E954C9-22E2-D2A1-F525-6298C34174AA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455</xdr:row>
      <xdr:rowOff>3703</xdr:rowOff>
    </xdr:from>
    <xdr:ext cx="33655" cy="33655"/>
    <xdr:grpSp>
      <xdr:nvGrpSpPr>
        <xdr:cNvPr id="11081" name="Group 32">
          <a:extLst>
            <a:ext uri="{FF2B5EF4-FFF2-40B4-BE49-F238E27FC236}">
              <a16:creationId xmlns:a16="http://schemas.microsoft.com/office/drawing/2014/main" id="{CD224441-5E25-4F92-9E6D-2933A04EAE78}"/>
            </a:ext>
          </a:extLst>
        </xdr:cNvPr>
        <xdr:cNvGrpSpPr/>
      </xdr:nvGrpSpPr>
      <xdr:grpSpPr>
        <a:xfrm>
          <a:off x="4603072" y="86084719"/>
          <a:ext cx="33655" cy="33655"/>
          <a:chOff x="0" y="0"/>
          <a:chExt cx="33655" cy="33655"/>
        </a:xfrm>
      </xdr:grpSpPr>
      <xdr:sp macro="" textlink="">
        <xdr:nvSpPr>
          <xdr:cNvPr id="11082" name="Shape 33">
            <a:extLst>
              <a:ext uri="{FF2B5EF4-FFF2-40B4-BE49-F238E27FC236}">
                <a16:creationId xmlns:a16="http://schemas.microsoft.com/office/drawing/2014/main" id="{C878B269-4C18-9A9F-5040-4F9D8EBEB6D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83" name="Shape 34">
            <a:extLst>
              <a:ext uri="{FF2B5EF4-FFF2-40B4-BE49-F238E27FC236}">
                <a16:creationId xmlns:a16="http://schemas.microsoft.com/office/drawing/2014/main" id="{409B59DE-F542-0BC1-CEAC-897B2CCDF38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84" name="Shape 35">
            <a:extLst>
              <a:ext uri="{FF2B5EF4-FFF2-40B4-BE49-F238E27FC236}">
                <a16:creationId xmlns:a16="http://schemas.microsoft.com/office/drawing/2014/main" id="{7DE53D15-F12E-3D19-D510-7988B083F2A6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85" name="Shape 36">
            <a:extLst>
              <a:ext uri="{FF2B5EF4-FFF2-40B4-BE49-F238E27FC236}">
                <a16:creationId xmlns:a16="http://schemas.microsoft.com/office/drawing/2014/main" id="{BA8AD637-79E6-99CE-7985-D724D78BAC93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86" name="Shape 37">
            <a:extLst>
              <a:ext uri="{FF2B5EF4-FFF2-40B4-BE49-F238E27FC236}">
                <a16:creationId xmlns:a16="http://schemas.microsoft.com/office/drawing/2014/main" id="{8760810A-A6B3-66E1-2B92-336E4AA926BF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87" name="Shape 38">
            <a:extLst>
              <a:ext uri="{FF2B5EF4-FFF2-40B4-BE49-F238E27FC236}">
                <a16:creationId xmlns:a16="http://schemas.microsoft.com/office/drawing/2014/main" id="{215447D8-90EC-A84C-E75C-C05259427046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88" name="Shape 39">
            <a:extLst>
              <a:ext uri="{FF2B5EF4-FFF2-40B4-BE49-F238E27FC236}">
                <a16:creationId xmlns:a16="http://schemas.microsoft.com/office/drawing/2014/main" id="{118B7FB4-D9DB-216E-0331-E654D4465A9F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89" name="Shape 40">
            <a:extLst>
              <a:ext uri="{FF2B5EF4-FFF2-40B4-BE49-F238E27FC236}">
                <a16:creationId xmlns:a16="http://schemas.microsoft.com/office/drawing/2014/main" id="{D2EA7C8F-543A-C824-F752-AC1BD383614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90" name="Shape 41">
            <a:extLst>
              <a:ext uri="{FF2B5EF4-FFF2-40B4-BE49-F238E27FC236}">
                <a16:creationId xmlns:a16="http://schemas.microsoft.com/office/drawing/2014/main" id="{9DB6CD3D-59B3-F448-DA6F-85AAFF60B97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91" name="Shape 42">
            <a:extLst>
              <a:ext uri="{FF2B5EF4-FFF2-40B4-BE49-F238E27FC236}">
                <a16:creationId xmlns:a16="http://schemas.microsoft.com/office/drawing/2014/main" id="{B26A0060-D8C0-4CA7-5E7A-419FAF1409F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92" name="Shape 43">
            <a:extLst>
              <a:ext uri="{FF2B5EF4-FFF2-40B4-BE49-F238E27FC236}">
                <a16:creationId xmlns:a16="http://schemas.microsoft.com/office/drawing/2014/main" id="{2493C9CD-DD6F-AC21-4CFF-6BFFF040C2F5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93" name="Shape 44">
            <a:extLst>
              <a:ext uri="{FF2B5EF4-FFF2-40B4-BE49-F238E27FC236}">
                <a16:creationId xmlns:a16="http://schemas.microsoft.com/office/drawing/2014/main" id="{577006A3-79B3-1783-523B-4B8CCDD1651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94" name="Shape 45">
            <a:extLst>
              <a:ext uri="{FF2B5EF4-FFF2-40B4-BE49-F238E27FC236}">
                <a16:creationId xmlns:a16="http://schemas.microsoft.com/office/drawing/2014/main" id="{C7BEA2B4-7B0C-7BFF-FA44-F40CCE563D0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95" name="Shape 46">
            <a:extLst>
              <a:ext uri="{FF2B5EF4-FFF2-40B4-BE49-F238E27FC236}">
                <a16:creationId xmlns:a16="http://schemas.microsoft.com/office/drawing/2014/main" id="{86AAA548-3B7A-60A1-C5D0-AED5F36F4362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455</xdr:row>
      <xdr:rowOff>3409</xdr:rowOff>
    </xdr:from>
    <xdr:ext cx="33655" cy="33655"/>
    <xdr:grpSp>
      <xdr:nvGrpSpPr>
        <xdr:cNvPr id="11096" name="Group 47">
          <a:extLst>
            <a:ext uri="{FF2B5EF4-FFF2-40B4-BE49-F238E27FC236}">
              <a16:creationId xmlns:a16="http://schemas.microsoft.com/office/drawing/2014/main" id="{6275632B-EC70-4579-8020-CA18CA5E987D}"/>
            </a:ext>
          </a:extLst>
        </xdr:cNvPr>
        <xdr:cNvGrpSpPr/>
      </xdr:nvGrpSpPr>
      <xdr:grpSpPr>
        <a:xfrm>
          <a:off x="4603072" y="86084425"/>
          <a:ext cx="33655" cy="33655"/>
          <a:chOff x="0" y="0"/>
          <a:chExt cx="33655" cy="33655"/>
        </a:xfrm>
      </xdr:grpSpPr>
      <xdr:sp macro="" textlink="">
        <xdr:nvSpPr>
          <xdr:cNvPr id="11097" name="Shape 48">
            <a:extLst>
              <a:ext uri="{FF2B5EF4-FFF2-40B4-BE49-F238E27FC236}">
                <a16:creationId xmlns:a16="http://schemas.microsoft.com/office/drawing/2014/main" id="{D4DD99FA-E06C-C965-03FA-775786E04D82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098" name="Shape 49">
            <a:extLst>
              <a:ext uri="{FF2B5EF4-FFF2-40B4-BE49-F238E27FC236}">
                <a16:creationId xmlns:a16="http://schemas.microsoft.com/office/drawing/2014/main" id="{44F7916E-46A9-59F0-781B-EA4CCBC51243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099" name="Shape 50">
            <a:extLst>
              <a:ext uri="{FF2B5EF4-FFF2-40B4-BE49-F238E27FC236}">
                <a16:creationId xmlns:a16="http://schemas.microsoft.com/office/drawing/2014/main" id="{CE69E886-D19B-43A5-7440-7AFBD688C2BA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00" name="Shape 51">
            <a:extLst>
              <a:ext uri="{FF2B5EF4-FFF2-40B4-BE49-F238E27FC236}">
                <a16:creationId xmlns:a16="http://schemas.microsoft.com/office/drawing/2014/main" id="{7F7F2BCB-F7AD-C523-095A-D155C28F7BC1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01" name="Shape 52">
            <a:extLst>
              <a:ext uri="{FF2B5EF4-FFF2-40B4-BE49-F238E27FC236}">
                <a16:creationId xmlns:a16="http://schemas.microsoft.com/office/drawing/2014/main" id="{1D081F22-10CA-A673-DA9C-E7480CCE9C3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02" name="Shape 53">
            <a:extLst>
              <a:ext uri="{FF2B5EF4-FFF2-40B4-BE49-F238E27FC236}">
                <a16:creationId xmlns:a16="http://schemas.microsoft.com/office/drawing/2014/main" id="{3D2DD33C-3020-2515-3E96-95AAA88F840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03" name="Shape 54">
            <a:extLst>
              <a:ext uri="{FF2B5EF4-FFF2-40B4-BE49-F238E27FC236}">
                <a16:creationId xmlns:a16="http://schemas.microsoft.com/office/drawing/2014/main" id="{A11F773A-586C-3383-E6C5-713A70B04D00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04" name="Shape 55">
            <a:extLst>
              <a:ext uri="{FF2B5EF4-FFF2-40B4-BE49-F238E27FC236}">
                <a16:creationId xmlns:a16="http://schemas.microsoft.com/office/drawing/2014/main" id="{C2E6DB7C-2F0C-1299-7444-07C60C8964E8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05" name="Shape 56">
            <a:extLst>
              <a:ext uri="{FF2B5EF4-FFF2-40B4-BE49-F238E27FC236}">
                <a16:creationId xmlns:a16="http://schemas.microsoft.com/office/drawing/2014/main" id="{7B1FA71A-B5B0-7FBF-8CAB-A644A3150383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06" name="Shape 57">
            <a:extLst>
              <a:ext uri="{FF2B5EF4-FFF2-40B4-BE49-F238E27FC236}">
                <a16:creationId xmlns:a16="http://schemas.microsoft.com/office/drawing/2014/main" id="{8AC3C1CC-5FD1-D736-6CC7-A031B5F69A42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07" name="Shape 58">
            <a:extLst>
              <a:ext uri="{FF2B5EF4-FFF2-40B4-BE49-F238E27FC236}">
                <a16:creationId xmlns:a16="http://schemas.microsoft.com/office/drawing/2014/main" id="{22D116BB-770E-F129-5C23-D129B69ABC5D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08" name="Shape 59">
            <a:extLst>
              <a:ext uri="{FF2B5EF4-FFF2-40B4-BE49-F238E27FC236}">
                <a16:creationId xmlns:a16="http://schemas.microsoft.com/office/drawing/2014/main" id="{98D7EAA1-C0B9-2691-6CF2-710965C62FBB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09" name="Shape 60">
            <a:extLst>
              <a:ext uri="{FF2B5EF4-FFF2-40B4-BE49-F238E27FC236}">
                <a16:creationId xmlns:a16="http://schemas.microsoft.com/office/drawing/2014/main" id="{A7BBF4A8-6E0A-7F7B-43CA-6FE99B287DAB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10" name="Shape 61">
            <a:extLst>
              <a:ext uri="{FF2B5EF4-FFF2-40B4-BE49-F238E27FC236}">
                <a16:creationId xmlns:a16="http://schemas.microsoft.com/office/drawing/2014/main" id="{CFD694C0-B01D-9A66-78F9-7CDF5686F3B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455</xdr:row>
      <xdr:rowOff>3962</xdr:rowOff>
    </xdr:from>
    <xdr:ext cx="33655" cy="33655"/>
    <xdr:grpSp>
      <xdr:nvGrpSpPr>
        <xdr:cNvPr id="11111" name="Group 62">
          <a:extLst>
            <a:ext uri="{FF2B5EF4-FFF2-40B4-BE49-F238E27FC236}">
              <a16:creationId xmlns:a16="http://schemas.microsoft.com/office/drawing/2014/main" id="{7097BA31-ED2F-4F27-AF85-DADF7B841A43}"/>
            </a:ext>
          </a:extLst>
        </xdr:cNvPr>
        <xdr:cNvGrpSpPr/>
      </xdr:nvGrpSpPr>
      <xdr:grpSpPr>
        <a:xfrm>
          <a:off x="4603072" y="86084978"/>
          <a:ext cx="33655" cy="33655"/>
          <a:chOff x="0" y="0"/>
          <a:chExt cx="33655" cy="33655"/>
        </a:xfrm>
      </xdr:grpSpPr>
      <xdr:sp macro="" textlink="">
        <xdr:nvSpPr>
          <xdr:cNvPr id="11112" name="Shape 63">
            <a:extLst>
              <a:ext uri="{FF2B5EF4-FFF2-40B4-BE49-F238E27FC236}">
                <a16:creationId xmlns:a16="http://schemas.microsoft.com/office/drawing/2014/main" id="{D457EA9F-3045-F65E-24DE-E02BE6D37FEB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13" name="Shape 64">
            <a:extLst>
              <a:ext uri="{FF2B5EF4-FFF2-40B4-BE49-F238E27FC236}">
                <a16:creationId xmlns:a16="http://schemas.microsoft.com/office/drawing/2014/main" id="{6074050B-1B9C-0A35-6E77-480870643B7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14" name="Shape 65">
            <a:extLst>
              <a:ext uri="{FF2B5EF4-FFF2-40B4-BE49-F238E27FC236}">
                <a16:creationId xmlns:a16="http://schemas.microsoft.com/office/drawing/2014/main" id="{D3CA53B1-B738-124D-0779-0DD305222693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15" name="Shape 66">
            <a:extLst>
              <a:ext uri="{FF2B5EF4-FFF2-40B4-BE49-F238E27FC236}">
                <a16:creationId xmlns:a16="http://schemas.microsoft.com/office/drawing/2014/main" id="{E8A7D917-7BDF-D7AA-BF54-0E901114B625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16" name="Shape 67">
            <a:extLst>
              <a:ext uri="{FF2B5EF4-FFF2-40B4-BE49-F238E27FC236}">
                <a16:creationId xmlns:a16="http://schemas.microsoft.com/office/drawing/2014/main" id="{9A95D221-6F5A-1F09-E2D1-F24C134E65F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17" name="Shape 68">
            <a:extLst>
              <a:ext uri="{FF2B5EF4-FFF2-40B4-BE49-F238E27FC236}">
                <a16:creationId xmlns:a16="http://schemas.microsoft.com/office/drawing/2014/main" id="{2C37BCDD-F836-93DD-5A99-B3FA213FEB38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18" name="Shape 69">
            <a:extLst>
              <a:ext uri="{FF2B5EF4-FFF2-40B4-BE49-F238E27FC236}">
                <a16:creationId xmlns:a16="http://schemas.microsoft.com/office/drawing/2014/main" id="{AC26C14E-1D9C-6EFD-4A63-E9B619867A7D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19" name="Shape 70">
            <a:extLst>
              <a:ext uri="{FF2B5EF4-FFF2-40B4-BE49-F238E27FC236}">
                <a16:creationId xmlns:a16="http://schemas.microsoft.com/office/drawing/2014/main" id="{0FA8A83A-E647-BB3A-4686-E0D3CA591445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20" name="Shape 71">
            <a:extLst>
              <a:ext uri="{FF2B5EF4-FFF2-40B4-BE49-F238E27FC236}">
                <a16:creationId xmlns:a16="http://schemas.microsoft.com/office/drawing/2014/main" id="{5730E4F3-7053-847B-655D-B91034D5B42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21" name="Shape 72">
            <a:extLst>
              <a:ext uri="{FF2B5EF4-FFF2-40B4-BE49-F238E27FC236}">
                <a16:creationId xmlns:a16="http://schemas.microsoft.com/office/drawing/2014/main" id="{9C423A47-1CF8-0DB9-CF1F-C86BFC40760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22" name="Shape 73">
            <a:extLst>
              <a:ext uri="{FF2B5EF4-FFF2-40B4-BE49-F238E27FC236}">
                <a16:creationId xmlns:a16="http://schemas.microsoft.com/office/drawing/2014/main" id="{676613C5-AAD9-96A0-6E36-22419BF3328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23" name="Shape 74">
            <a:extLst>
              <a:ext uri="{FF2B5EF4-FFF2-40B4-BE49-F238E27FC236}">
                <a16:creationId xmlns:a16="http://schemas.microsoft.com/office/drawing/2014/main" id="{7EA1B0E6-B347-08B9-EAB6-8365C13CEFF2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24" name="Shape 75">
            <a:extLst>
              <a:ext uri="{FF2B5EF4-FFF2-40B4-BE49-F238E27FC236}">
                <a16:creationId xmlns:a16="http://schemas.microsoft.com/office/drawing/2014/main" id="{ABC1C11F-B316-9406-0208-774E6246451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25" name="Shape 76">
            <a:extLst>
              <a:ext uri="{FF2B5EF4-FFF2-40B4-BE49-F238E27FC236}">
                <a16:creationId xmlns:a16="http://schemas.microsoft.com/office/drawing/2014/main" id="{D652A0B4-2F89-602D-C2AE-66FBBAFFCC1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  <xdr:oneCellAnchor>
    <xdr:from>
      <xdr:col>4</xdr:col>
      <xdr:colOff>143498</xdr:colOff>
      <xdr:row>455</xdr:row>
      <xdr:rowOff>2978</xdr:rowOff>
    </xdr:from>
    <xdr:ext cx="33655" cy="33655"/>
    <xdr:grpSp>
      <xdr:nvGrpSpPr>
        <xdr:cNvPr id="11126" name="Group 2">
          <a:extLst>
            <a:ext uri="{FF2B5EF4-FFF2-40B4-BE49-F238E27FC236}">
              <a16:creationId xmlns:a16="http://schemas.microsoft.com/office/drawing/2014/main" id="{90AEE147-A4EF-47E0-ABC0-6B7106BE3463}"/>
            </a:ext>
          </a:extLst>
        </xdr:cNvPr>
        <xdr:cNvGrpSpPr/>
      </xdr:nvGrpSpPr>
      <xdr:grpSpPr>
        <a:xfrm>
          <a:off x="4603072" y="86083994"/>
          <a:ext cx="33655" cy="33655"/>
          <a:chOff x="0" y="0"/>
          <a:chExt cx="33655" cy="33655"/>
        </a:xfrm>
      </xdr:grpSpPr>
      <xdr:sp macro="" textlink="">
        <xdr:nvSpPr>
          <xdr:cNvPr id="11127" name="Shape 3">
            <a:extLst>
              <a:ext uri="{FF2B5EF4-FFF2-40B4-BE49-F238E27FC236}">
                <a16:creationId xmlns:a16="http://schemas.microsoft.com/office/drawing/2014/main" id="{00D1FC32-148B-CF6B-FA41-7AF6B8691258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28" name="Shape 4">
            <a:extLst>
              <a:ext uri="{FF2B5EF4-FFF2-40B4-BE49-F238E27FC236}">
                <a16:creationId xmlns:a16="http://schemas.microsoft.com/office/drawing/2014/main" id="{2FAEF2A2-9356-B4D4-198E-3FF28783BA4C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29" name="Shape 5">
            <a:extLst>
              <a:ext uri="{FF2B5EF4-FFF2-40B4-BE49-F238E27FC236}">
                <a16:creationId xmlns:a16="http://schemas.microsoft.com/office/drawing/2014/main" id="{BEF625BE-8764-573C-FFEF-62F2781FB130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30" name="Shape 6">
            <a:extLst>
              <a:ext uri="{FF2B5EF4-FFF2-40B4-BE49-F238E27FC236}">
                <a16:creationId xmlns:a16="http://schemas.microsoft.com/office/drawing/2014/main" id="{2DA86FA6-2E05-2E3D-02BA-18A973901E19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31" name="Shape 7">
            <a:extLst>
              <a:ext uri="{FF2B5EF4-FFF2-40B4-BE49-F238E27FC236}">
                <a16:creationId xmlns:a16="http://schemas.microsoft.com/office/drawing/2014/main" id="{56CF5F2C-253D-A928-AE80-0172908E6DDA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32" name="Shape 8">
            <a:extLst>
              <a:ext uri="{FF2B5EF4-FFF2-40B4-BE49-F238E27FC236}">
                <a16:creationId xmlns:a16="http://schemas.microsoft.com/office/drawing/2014/main" id="{A433CE8F-3165-25D4-13A4-0C33E3091CF0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33" name="Shape 9">
            <a:extLst>
              <a:ext uri="{FF2B5EF4-FFF2-40B4-BE49-F238E27FC236}">
                <a16:creationId xmlns:a16="http://schemas.microsoft.com/office/drawing/2014/main" id="{5E573F16-342C-BB76-70D2-BE7674E3E465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34" name="Shape 10">
            <a:extLst>
              <a:ext uri="{FF2B5EF4-FFF2-40B4-BE49-F238E27FC236}">
                <a16:creationId xmlns:a16="http://schemas.microsoft.com/office/drawing/2014/main" id="{4EBA2960-319F-A98D-ADC4-EBF5C2F258F9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35" name="Shape 11">
            <a:extLst>
              <a:ext uri="{FF2B5EF4-FFF2-40B4-BE49-F238E27FC236}">
                <a16:creationId xmlns:a16="http://schemas.microsoft.com/office/drawing/2014/main" id="{14EEDCD1-7E90-C8B2-972B-625B54DA588B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36" name="Shape 12">
            <a:extLst>
              <a:ext uri="{FF2B5EF4-FFF2-40B4-BE49-F238E27FC236}">
                <a16:creationId xmlns:a16="http://schemas.microsoft.com/office/drawing/2014/main" id="{21DA5ED1-D29D-78D8-51FA-68B3134FCA7E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37" name="Shape 13">
            <a:extLst>
              <a:ext uri="{FF2B5EF4-FFF2-40B4-BE49-F238E27FC236}">
                <a16:creationId xmlns:a16="http://schemas.microsoft.com/office/drawing/2014/main" id="{F4841710-0762-19C4-56D3-B9AFE57CADE3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38" name="Shape 14">
            <a:extLst>
              <a:ext uri="{FF2B5EF4-FFF2-40B4-BE49-F238E27FC236}">
                <a16:creationId xmlns:a16="http://schemas.microsoft.com/office/drawing/2014/main" id="{2FBE4A49-0102-5042-BBC6-660A60C16C90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39" name="Shape 15">
            <a:extLst>
              <a:ext uri="{FF2B5EF4-FFF2-40B4-BE49-F238E27FC236}">
                <a16:creationId xmlns:a16="http://schemas.microsoft.com/office/drawing/2014/main" id="{A43E2232-5F04-E7E9-3A75-DB39D175A4E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40" name="Shape 16">
            <a:extLst>
              <a:ext uri="{FF2B5EF4-FFF2-40B4-BE49-F238E27FC236}">
                <a16:creationId xmlns:a16="http://schemas.microsoft.com/office/drawing/2014/main" id="{18E3CB1E-AD84-ABA3-DE6F-FC85E9B718E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455</xdr:row>
      <xdr:rowOff>3246</xdr:rowOff>
    </xdr:from>
    <xdr:ext cx="33655" cy="33655"/>
    <xdr:grpSp>
      <xdr:nvGrpSpPr>
        <xdr:cNvPr id="11141" name="Group 17">
          <a:extLst>
            <a:ext uri="{FF2B5EF4-FFF2-40B4-BE49-F238E27FC236}">
              <a16:creationId xmlns:a16="http://schemas.microsoft.com/office/drawing/2014/main" id="{54B84BA3-65C4-4040-8A60-28B2AC92B7EA}"/>
            </a:ext>
          </a:extLst>
        </xdr:cNvPr>
        <xdr:cNvGrpSpPr/>
      </xdr:nvGrpSpPr>
      <xdr:grpSpPr>
        <a:xfrm>
          <a:off x="4603072" y="86084262"/>
          <a:ext cx="33655" cy="33655"/>
          <a:chOff x="0" y="0"/>
          <a:chExt cx="33655" cy="33655"/>
        </a:xfrm>
      </xdr:grpSpPr>
      <xdr:sp macro="" textlink="">
        <xdr:nvSpPr>
          <xdr:cNvPr id="11142" name="Shape 18">
            <a:extLst>
              <a:ext uri="{FF2B5EF4-FFF2-40B4-BE49-F238E27FC236}">
                <a16:creationId xmlns:a16="http://schemas.microsoft.com/office/drawing/2014/main" id="{289F810B-44F9-2085-C1F1-DCF0E8B7CF35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43" name="Shape 19">
            <a:extLst>
              <a:ext uri="{FF2B5EF4-FFF2-40B4-BE49-F238E27FC236}">
                <a16:creationId xmlns:a16="http://schemas.microsoft.com/office/drawing/2014/main" id="{2F7A6B60-9732-A9B8-AF8F-00DE920F76F7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44" name="Shape 20">
            <a:extLst>
              <a:ext uri="{FF2B5EF4-FFF2-40B4-BE49-F238E27FC236}">
                <a16:creationId xmlns:a16="http://schemas.microsoft.com/office/drawing/2014/main" id="{9F7F0C9F-AA3E-9506-0611-20A17477EF2D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45" name="Shape 21">
            <a:extLst>
              <a:ext uri="{FF2B5EF4-FFF2-40B4-BE49-F238E27FC236}">
                <a16:creationId xmlns:a16="http://schemas.microsoft.com/office/drawing/2014/main" id="{C0C7FD59-06A3-EF80-ECF6-E31F337D2360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46" name="Shape 22">
            <a:extLst>
              <a:ext uri="{FF2B5EF4-FFF2-40B4-BE49-F238E27FC236}">
                <a16:creationId xmlns:a16="http://schemas.microsoft.com/office/drawing/2014/main" id="{968B52B1-17F8-CEB5-0099-7C16EDEE4885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47" name="Shape 23">
            <a:extLst>
              <a:ext uri="{FF2B5EF4-FFF2-40B4-BE49-F238E27FC236}">
                <a16:creationId xmlns:a16="http://schemas.microsoft.com/office/drawing/2014/main" id="{CA5B3C55-B43C-5C5A-ED67-0A4FD8D0DBD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48" name="Shape 24">
            <a:extLst>
              <a:ext uri="{FF2B5EF4-FFF2-40B4-BE49-F238E27FC236}">
                <a16:creationId xmlns:a16="http://schemas.microsoft.com/office/drawing/2014/main" id="{605CE9E2-4243-1005-1CDE-6572BFC0C35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49" name="Shape 25">
            <a:extLst>
              <a:ext uri="{FF2B5EF4-FFF2-40B4-BE49-F238E27FC236}">
                <a16:creationId xmlns:a16="http://schemas.microsoft.com/office/drawing/2014/main" id="{A8231A5F-113D-4E71-2ABA-19601F4160F6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50" name="Shape 26">
            <a:extLst>
              <a:ext uri="{FF2B5EF4-FFF2-40B4-BE49-F238E27FC236}">
                <a16:creationId xmlns:a16="http://schemas.microsoft.com/office/drawing/2014/main" id="{F944030C-7E57-BF32-300C-2DB0AECAA657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51" name="Shape 27">
            <a:extLst>
              <a:ext uri="{FF2B5EF4-FFF2-40B4-BE49-F238E27FC236}">
                <a16:creationId xmlns:a16="http://schemas.microsoft.com/office/drawing/2014/main" id="{3A962754-8B92-259A-E127-5E7A98B0297D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52" name="Shape 28">
            <a:extLst>
              <a:ext uri="{FF2B5EF4-FFF2-40B4-BE49-F238E27FC236}">
                <a16:creationId xmlns:a16="http://schemas.microsoft.com/office/drawing/2014/main" id="{CB8655F0-B154-512C-6235-CDDCC5293ECF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53" name="Shape 29">
            <a:extLst>
              <a:ext uri="{FF2B5EF4-FFF2-40B4-BE49-F238E27FC236}">
                <a16:creationId xmlns:a16="http://schemas.microsoft.com/office/drawing/2014/main" id="{7F188761-AD8E-28D6-9C8A-813CC80E618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54" name="Shape 30">
            <a:extLst>
              <a:ext uri="{FF2B5EF4-FFF2-40B4-BE49-F238E27FC236}">
                <a16:creationId xmlns:a16="http://schemas.microsoft.com/office/drawing/2014/main" id="{782B5C51-7751-3F68-2F99-57FCB0CB41A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55" name="Shape 31">
            <a:extLst>
              <a:ext uri="{FF2B5EF4-FFF2-40B4-BE49-F238E27FC236}">
                <a16:creationId xmlns:a16="http://schemas.microsoft.com/office/drawing/2014/main" id="{7C1AFFE9-BA01-F0C7-1BA7-A0AB9363E52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455</xdr:row>
      <xdr:rowOff>3703</xdr:rowOff>
    </xdr:from>
    <xdr:ext cx="33655" cy="33655"/>
    <xdr:grpSp>
      <xdr:nvGrpSpPr>
        <xdr:cNvPr id="11156" name="Group 32">
          <a:extLst>
            <a:ext uri="{FF2B5EF4-FFF2-40B4-BE49-F238E27FC236}">
              <a16:creationId xmlns:a16="http://schemas.microsoft.com/office/drawing/2014/main" id="{BDF7B784-1DAE-4F0E-8067-12A5E65FA3D0}"/>
            </a:ext>
          </a:extLst>
        </xdr:cNvPr>
        <xdr:cNvGrpSpPr/>
      </xdr:nvGrpSpPr>
      <xdr:grpSpPr>
        <a:xfrm>
          <a:off x="4603072" y="86084719"/>
          <a:ext cx="33655" cy="33655"/>
          <a:chOff x="0" y="0"/>
          <a:chExt cx="33655" cy="33655"/>
        </a:xfrm>
      </xdr:grpSpPr>
      <xdr:sp macro="" textlink="">
        <xdr:nvSpPr>
          <xdr:cNvPr id="11157" name="Shape 33">
            <a:extLst>
              <a:ext uri="{FF2B5EF4-FFF2-40B4-BE49-F238E27FC236}">
                <a16:creationId xmlns:a16="http://schemas.microsoft.com/office/drawing/2014/main" id="{B928F3CE-BFA1-45C6-C3F1-1170C8B737B6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58" name="Shape 34">
            <a:extLst>
              <a:ext uri="{FF2B5EF4-FFF2-40B4-BE49-F238E27FC236}">
                <a16:creationId xmlns:a16="http://schemas.microsoft.com/office/drawing/2014/main" id="{2871B5CE-9B6E-08B7-8BBA-05DCFF546245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59" name="Shape 35">
            <a:extLst>
              <a:ext uri="{FF2B5EF4-FFF2-40B4-BE49-F238E27FC236}">
                <a16:creationId xmlns:a16="http://schemas.microsoft.com/office/drawing/2014/main" id="{3B0331F8-98CA-1D2C-5E5D-44BA508943A5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60" name="Shape 36">
            <a:extLst>
              <a:ext uri="{FF2B5EF4-FFF2-40B4-BE49-F238E27FC236}">
                <a16:creationId xmlns:a16="http://schemas.microsoft.com/office/drawing/2014/main" id="{8B87B850-928E-3EEA-D60F-C011B43EDF5A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61" name="Shape 37">
            <a:extLst>
              <a:ext uri="{FF2B5EF4-FFF2-40B4-BE49-F238E27FC236}">
                <a16:creationId xmlns:a16="http://schemas.microsoft.com/office/drawing/2014/main" id="{B802841E-2B3B-3021-2A23-B313281E0D92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62" name="Shape 38">
            <a:extLst>
              <a:ext uri="{FF2B5EF4-FFF2-40B4-BE49-F238E27FC236}">
                <a16:creationId xmlns:a16="http://schemas.microsoft.com/office/drawing/2014/main" id="{5D3F34F9-C6CF-ABA0-9D10-35891C470B5B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63" name="Shape 39">
            <a:extLst>
              <a:ext uri="{FF2B5EF4-FFF2-40B4-BE49-F238E27FC236}">
                <a16:creationId xmlns:a16="http://schemas.microsoft.com/office/drawing/2014/main" id="{6D260205-D62A-D21F-0956-821B0B62BE12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64" name="Shape 40">
            <a:extLst>
              <a:ext uri="{FF2B5EF4-FFF2-40B4-BE49-F238E27FC236}">
                <a16:creationId xmlns:a16="http://schemas.microsoft.com/office/drawing/2014/main" id="{6CB3C9EF-A192-7DC5-CFA1-7971D8DEFEDE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65" name="Shape 41">
            <a:extLst>
              <a:ext uri="{FF2B5EF4-FFF2-40B4-BE49-F238E27FC236}">
                <a16:creationId xmlns:a16="http://schemas.microsoft.com/office/drawing/2014/main" id="{51342F31-EB3A-28DD-865E-3B64C204CC21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66" name="Shape 42">
            <a:extLst>
              <a:ext uri="{FF2B5EF4-FFF2-40B4-BE49-F238E27FC236}">
                <a16:creationId xmlns:a16="http://schemas.microsoft.com/office/drawing/2014/main" id="{97559C9B-733C-0BFB-531D-6CF431BBE1C5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67" name="Shape 43">
            <a:extLst>
              <a:ext uri="{FF2B5EF4-FFF2-40B4-BE49-F238E27FC236}">
                <a16:creationId xmlns:a16="http://schemas.microsoft.com/office/drawing/2014/main" id="{BBE0C9ED-3D36-B9E9-79B4-35F775AEEBF2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68" name="Shape 44">
            <a:extLst>
              <a:ext uri="{FF2B5EF4-FFF2-40B4-BE49-F238E27FC236}">
                <a16:creationId xmlns:a16="http://schemas.microsoft.com/office/drawing/2014/main" id="{6F36FE5A-1726-05F0-DCF6-A5FA7610BE6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69" name="Shape 45">
            <a:extLst>
              <a:ext uri="{FF2B5EF4-FFF2-40B4-BE49-F238E27FC236}">
                <a16:creationId xmlns:a16="http://schemas.microsoft.com/office/drawing/2014/main" id="{8F1288C4-E4ED-BF52-0448-C14ACE2FC48E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70" name="Shape 46">
            <a:extLst>
              <a:ext uri="{FF2B5EF4-FFF2-40B4-BE49-F238E27FC236}">
                <a16:creationId xmlns:a16="http://schemas.microsoft.com/office/drawing/2014/main" id="{3247B885-EF7B-6CF2-0D32-E29030C3D1E6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455</xdr:row>
      <xdr:rowOff>3409</xdr:rowOff>
    </xdr:from>
    <xdr:ext cx="33655" cy="33655"/>
    <xdr:grpSp>
      <xdr:nvGrpSpPr>
        <xdr:cNvPr id="11171" name="Group 47">
          <a:extLst>
            <a:ext uri="{FF2B5EF4-FFF2-40B4-BE49-F238E27FC236}">
              <a16:creationId xmlns:a16="http://schemas.microsoft.com/office/drawing/2014/main" id="{9D9DA4DC-36C3-43C2-8F10-283C116A4021}"/>
            </a:ext>
          </a:extLst>
        </xdr:cNvPr>
        <xdr:cNvGrpSpPr/>
      </xdr:nvGrpSpPr>
      <xdr:grpSpPr>
        <a:xfrm>
          <a:off x="4603072" y="86084425"/>
          <a:ext cx="33655" cy="33655"/>
          <a:chOff x="0" y="0"/>
          <a:chExt cx="33655" cy="33655"/>
        </a:xfrm>
      </xdr:grpSpPr>
      <xdr:sp macro="" textlink="">
        <xdr:nvSpPr>
          <xdr:cNvPr id="11172" name="Shape 48">
            <a:extLst>
              <a:ext uri="{FF2B5EF4-FFF2-40B4-BE49-F238E27FC236}">
                <a16:creationId xmlns:a16="http://schemas.microsoft.com/office/drawing/2014/main" id="{3C079317-9D23-CD6D-4A77-DE90C469C12A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73" name="Shape 49">
            <a:extLst>
              <a:ext uri="{FF2B5EF4-FFF2-40B4-BE49-F238E27FC236}">
                <a16:creationId xmlns:a16="http://schemas.microsoft.com/office/drawing/2014/main" id="{35A7FF13-CBF6-722B-7FBB-8894A447148B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74" name="Shape 50">
            <a:extLst>
              <a:ext uri="{FF2B5EF4-FFF2-40B4-BE49-F238E27FC236}">
                <a16:creationId xmlns:a16="http://schemas.microsoft.com/office/drawing/2014/main" id="{C66384A1-D996-0CB5-2E11-9F5C9CACBB3F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75" name="Shape 51">
            <a:extLst>
              <a:ext uri="{FF2B5EF4-FFF2-40B4-BE49-F238E27FC236}">
                <a16:creationId xmlns:a16="http://schemas.microsoft.com/office/drawing/2014/main" id="{EAEE94D6-80F1-09AF-8DA5-09E14ABA9B9B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76" name="Shape 52">
            <a:extLst>
              <a:ext uri="{FF2B5EF4-FFF2-40B4-BE49-F238E27FC236}">
                <a16:creationId xmlns:a16="http://schemas.microsoft.com/office/drawing/2014/main" id="{3FAEE473-5802-8402-EFFE-4FEBF229353B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77" name="Shape 53">
            <a:extLst>
              <a:ext uri="{FF2B5EF4-FFF2-40B4-BE49-F238E27FC236}">
                <a16:creationId xmlns:a16="http://schemas.microsoft.com/office/drawing/2014/main" id="{2DEA394C-08F5-72D8-B414-5DD3BE06E2FE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78" name="Shape 54">
            <a:extLst>
              <a:ext uri="{FF2B5EF4-FFF2-40B4-BE49-F238E27FC236}">
                <a16:creationId xmlns:a16="http://schemas.microsoft.com/office/drawing/2014/main" id="{94F2AF1C-37F3-B712-4338-D4409BD3F46B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79" name="Shape 55">
            <a:extLst>
              <a:ext uri="{FF2B5EF4-FFF2-40B4-BE49-F238E27FC236}">
                <a16:creationId xmlns:a16="http://schemas.microsoft.com/office/drawing/2014/main" id="{3EFDD9BA-2010-ECAD-4725-5EB6AEBD56D7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80" name="Shape 56">
            <a:extLst>
              <a:ext uri="{FF2B5EF4-FFF2-40B4-BE49-F238E27FC236}">
                <a16:creationId xmlns:a16="http://schemas.microsoft.com/office/drawing/2014/main" id="{4F5959F5-FC6D-C7D8-FCDD-BFD9C7BFAC4E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81" name="Shape 57">
            <a:extLst>
              <a:ext uri="{FF2B5EF4-FFF2-40B4-BE49-F238E27FC236}">
                <a16:creationId xmlns:a16="http://schemas.microsoft.com/office/drawing/2014/main" id="{597B3741-3218-E052-3EBA-82AA18EF00E1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82" name="Shape 58">
            <a:extLst>
              <a:ext uri="{FF2B5EF4-FFF2-40B4-BE49-F238E27FC236}">
                <a16:creationId xmlns:a16="http://schemas.microsoft.com/office/drawing/2014/main" id="{29BC7919-546D-7AF2-19D8-697187DFB031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83" name="Shape 59">
            <a:extLst>
              <a:ext uri="{FF2B5EF4-FFF2-40B4-BE49-F238E27FC236}">
                <a16:creationId xmlns:a16="http://schemas.microsoft.com/office/drawing/2014/main" id="{B9A59064-1CAE-CAAA-017F-2EBD735D5545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84" name="Shape 60">
            <a:extLst>
              <a:ext uri="{FF2B5EF4-FFF2-40B4-BE49-F238E27FC236}">
                <a16:creationId xmlns:a16="http://schemas.microsoft.com/office/drawing/2014/main" id="{732C20CF-C953-99E8-9735-BAD7DF63CED0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/>
          </a:solidFill>
        </xdr:spPr>
      </xdr:sp>
      <xdr:sp macro="" textlink="">
        <xdr:nvSpPr>
          <xdr:cNvPr id="11185" name="Shape 61">
            <a:extLst>
              <a:ext uri="{FF2B5EF4-FFF2-40B4-BE49-F238E27FC236}">
                <a16:creationId xmlns:a16="http://schemas.microsoft.com/office/drawing/2014/main" id="{A51E06E3-48C7-81F1-6CF5-EE4A2A2D7E08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4</xdr:col>
      <xdr:colOff>143498</xdr:colOff>
      <xdr:row>455</xdr:row>
      <xdr:rowOff>3962</xdr:rowOff>
    </xdr:from>
    <xdr:ext cx="33655" cy="33655"/>
    <xdr:grpSp>
      <xdr:nvGrpSpPr>
        <xdr:cNvPr id="11186" name="Group 62">
          <a:extLst>
            <a:ext uri="{FF2B5EF4-FFF2-40B4-BE49-F238E27FC236}">
              <a16:creationId xmlns:a16="http://schemas.microsoft.com/office/drawing/2014/main" id="{FB505F4C-E16C-461A-84FE-633FC1FD4691}"/>
            </a:ext>
          </a:extLst>
        </xdr:cNvPr>
        <xdr:cNvGrpSpPr/>
      </xdr:nvGrpSpPr>
      <xdr:grpSpPr>
        <a:xfrm>
          <a:off x="4603072" y="86084978"/>
          <a:ext cx="33655" cy="33655"/>
          <a:chOff x="0" y="0"/>
          <a:chExt cx="33655" cy="33655"/>
        </a:xfrm>
      </xdr:grpSpPr>
      <xdr:sp macro="" textlink="">
        <xdr:nvSpPr>
          <xdr:cNvPr id="11187" name="Shape 63">
            <a:extLst>
              <a:ext uri="{FF2B5EF4-FFF2-40B4-BE49-F238E27FC236}">
                <a16:creationId xmlns:a16="http://schemas.microsoft.com/office/drawing/2014/main" id="{05497DDD-AF12-56A7-DB91-006EF04C3673}"/>
              </a:ext>
            </a:extLst>
          </xdr:cNvPr>
          <xdr:cNvSpPr/>
        </xdr:nvSpPr>
        <xdr:spPr>
          <a:xfrm>
            <a:off x="2380" y="2381"/>
            <a:ext cx="28575" cy="0"/>
          </a:xfrm>
          <a:custGeom>
            <a:avLst/>
            <a:gdLst/>
            <a:ahLst/>
            <a:cxnLst/>
            <a:rect l="0" t="0" r="0" b="0"/>
            <a:pathLst>
              <a:path w="28575">
                <a:moveTo>
                  <a:pt x="0" y="0"/>
                </a:moveTo>
                <a:lnTo>
                  <a:pt x="28565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88" name="Shape 64">
            <a:extLst>
              <a:ext uri="{FF2B5EF4-FFF2-40B4-BE49-F238E27FC236}">
                <a16:creationId xmlns:a16="http://schemas.microsoft.com/office/drawing/2014/main" id="{CDA4DBF5-6631-F040-0831-3EBEE7E617A6}"/>
              </a:ext>
            </a:extLst>
          </xdr:cNvPr>
          <xdr:cNvSpPr/>
        </xdr:nvSpPr>
        <xdr:spPr>
          <a:xfrm>
            <a:off x="0" y="0"/>
            <a:ext cx="33655" cy="5080"/>
          </a:xfrm>
          <a:custGeom>
            <a:avLst/>
            <a:gdLst/>
            <a:ahLst/>
            <a:cxnLst/>
            <a:rect l="0" t="0" r="0" b="0"/>
            <a:pathLst>
              <a:path w="33655" h="5080">
                <a:moveTo>
                  <a:pt x="33326" y="0"/>
                </a:moveTo>
                <a:lnTo>
                  <a:pt x="0" y="0"/>
                </a:lnTo>
                <a:lnTo>
                  <a:pt x="0" y="4762"/>
                </a:lnTo>
                <a:lnTo>
                  <a:pt x="33326" y="4762"/>
                </a:lnTo>
                <a:lnTo>
                  <a:pt x="33326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89" name="Shape 65">
            <a:extLst>
              <a:ext uri="{FF2B5EF4-FFF2-40B4-BE49-F238E27FC236}">
                <a16:creationId xmlns:a16="http://schemas.microsoft.com/office/drawing/2014/main" id="{19908D43-3FC5-1175-929F-FC9532313069}"/>
              </a:ext>
            </a:extLst>
          </xdr:cNvPr>
          <xdr:cNvSpPr/>
        </xdr:nvSpPr>
        <xdr:spPr>
          <a:xfrm>
            <a:off x="2380" y="7143"/>
            <a:ext cx="24130" cy="0"/>
          </a:xfrm>
          <a:custGeom>
            <a:avLst/>
            <a:gdLst/>
            <a:ahLst/>
            <a:cxnLst/>
            <a:rect l="0" t="0" r="0" b="0"/>
            <a:pathLst>
              <a:path w="24130">
                <a:moveTo>
                  <a:pt x="0" y="0"/>
                </a:moveTo>
                <a:lnTo>
                  <a:pt x="23804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90" name="Shape 66">
            <a:extLst>
              <a:ext uri="{FF2B5EF4-FFF2-40B4-BE49-F238E27FC236}">
                <a16:creationId xmlns:a16="http://schemas.microsoft.com/office/drawing/2014/main" id="{DBCA5084-FA51-5BC1-5D82-F254D3D9C3D8}"/>
              </a:ext>
            </a:extLst>
          </xdr:cNvPr>
          <xdr:cNvSpPr/>
        </xdr:nvSpPr>
        <xdr:spPr>
          <a:xfrm>
            <a:off x="0" y="4762"/>
            <a:ext cx="28575" cy="5080"/>
          </a:xfrm>
          <a:custGeom>
            <a:avLst/>
            <a:gdLst/>
            <a:ahLst/>
            <a:cxnLst/>
            <a:rect l="0" t="0" r="0" b="0"/>
            <a:pathLst>
              <a:path w="28575" h="5080">
                <a:moveTo>
                  <a:pt x="28565" y="0"/>
                </a:moveTo>
                <a:lnTo>
                  <a:pt x="0" y="0"/>
                </a:lnTo>
                <a:lnTo>
                  <a:pt x="0" y="4762"/>
                </a:lnTo>
                <a:lnTo>
                  <a:pt x="28565" y="4762"/>
                </a:lnTo>
                <a:lnTo>
                  <a:pt x="28565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91" name="Shape 67">
            <a:extLst>
              <a:ext uri="{FF2B5EF4-FFF2-40B4-BE49-F238E27FC236}">
                <a16:creationId xmlns:a16="http://schemas.microsoft.com/office/drawing/2014/main" id="{59E9A807-58C0-1DFF-8937-A0DA5CBB0A76}"/>
              </a:ext>
            </a:extLst>
          </xdr:cNvPr>
          <xdr:cNvSpPr/>
        </xdr:nvSpPr>
        <xdr:spPr>
          <a:xfrm>
            <a:off x="2380" y="11905"/>
            <a:ext cx="19050" cy="0"/>
          </a:xfrm>
          <a:custGeom>
            <a:avLst/>
            <a:gdLst/>
            <a:ahLst/>
            <a:cxnLst/>
            <a:rect l="0" t="0" r="0" b="0"/>
            <a:pathLst>
              <a:path w="19050">
                <a:moveTo>
                  <a:pt x="0" y="0"/>
                </a:moveTo>
                <a:lnTo>
                  <a:pt x="19043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92" name="Shape 68">
            <a:extLst>
              <a:ext uri="{FF2B5EF4-FFF2-40B4-BE49-F238E27FC236}">
                <a16:creationId xmlns:a16="http://schemas.microsoft.com/office/drawing/2014/main" id="{83BA6E04-D37F-E58A-E2A9-B96246140A41}"/>
              </a:ext>
            </a:extLst>
          </xdr:cNvPr>
          <xdr:cNvSpPr/>
        </xdr:nvSpPr>
        <xdr:spPr>
          <a:xfrm>
            <a:off x="0" y="9524"/>
            <a:ext cx="24130" cy="5080"/>
          </a:xfrm>
          <a:custGeom>
            <a:avLst/>
            <a:gdLst/>
            <a:ahLst/>
            <a:cxnLst/>
            <a:rect l="0" t="0" r="0" b="0"/>
            <a:pathLst>
              <a:path w="24130" h="5080">
                <a:moveTo>
                  <a:pt x="23804" y="0"/>
                </a:moveTo>
                <a:lnTo>
                  <a:pt x="0" y="0"/>
                </a:lnTo>
                <a:lnTo>
                  <a:pt x="0" y="4762"/>
                </a:lnTo>
                <a:lnTo>
                  <a:pt x="23804" y="4762"/>
                </a:lnTo>
                <a:lnTo>
                  <a:pt x="23804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93" name="Shape 69">
            <a:extLst>
              <a:ext uri="{FF2B5EF4-FFF2-40B4-BE49-F238E27FC236}">
                <a16:creationId xmlns:a16="http://schemas.microsoft.com/office/drawing/2014/main" id="{2E619A97-1D90-B48A-F4F6-8BE17CF21869}"/>
              </a:ext>
            </a:extLst>
          </xdr:cNvPr>
          <xdr:cNvSpPr/>
        </xdr:nvSpPr>
        <xdr:spPr>
          <a:xfrm>
            <a:off x="2380" y="16667"/>
            <a:ext cx="14604" cy="0"/>
          </a:xfrm>
          <a:custGeom>
            <a:avLst/>
            <a:gdLst/>
            <a:ahLst/>
            <a:cxnLst/>
            <a:rect l="0" t="0" r="0" b="0"/>
            <a:pathLst>
              <a:path w="14604">
                <a:moveTo>
                  <a:pt x="0" y="0"/>
                </a:moveTo>
                <a:lnTo>
                  <a:pt x="14282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94" name="Shape 70">
            <a:extLst>
              <a:ext uri="{FF2B5EF4-FFF2-40B4-BE49-F238E27FC236}">
                <a16:creationId xmlns:a16="http://schemas.microsoft.com/office/drawing/2014/main" id="{5B634717-8873-B63B-6B06-E77E92D9472D}"/>
              </a:ext>
            </a:extLst>
          </xdr:cNvPr>
          <xdr:cNvSpPr/>
        </xdr:nvSpPr>
        <xdr:spPr>
          <a:xfrm>
            <a:off x="0" y="14286"/>
            <a:ext cx="19050" cy="5080"/>
          </a:xfrm>
          <a:custGeom>
            <a:avLst/>
            <a:gdLst/>
            <a:ahLst/>
            <a:cxnLst/>
            <a:rect l="0" t="0" r="0" b="0"/>
            <a:pathLst>
              <a:path w="19050" h="5080">
                <a:moveTo>
                  <a:pt x="19043" y="0"/>
                </a:moveTo>
                <a:lnTo>
                  <a:pt x="0" y="0"/>
                </a:lnTo>
                <a:lnTo>
                  <a:pt x="0" y="4762"/>
                </a:lnTo>
                <a:lnTo>
                  <a:pt x="19043" y="4762"/>
                </a:lnTo>
                <a:lnTo>
                  <a:pt x="19043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95" name="Shape 71">
            <a:extLst>
              <a:ext uri="{FF2B5EF4-FFF2-40B4-BE49-F238E27FC236}">
                <a16:creationId xmlns:a16="http://schemas.microsoft.com/office/drawing/2014/main" id="{DFA50668-A56E-743A-8429-9ABC9F6734B9}"/>
              </a:ext>
            </a:extLst>
          </xdr:cNvPr>
          <xdr:cNvSpPr/>
        </xdr:nvSpPr>
        <xdr:spPr>
          <a:xfrm>
            <a:off x="2380" y="21429"/>
            <a:ext cx="9525" cy="0"/>
          </a:xfrm>
          <a:custGeom>
            <a:avLst/>
            <a:gdLst/>
            <a:ahLst/>
            <a:cxnLst/>
            <a:rect l="0" t="0" r="0" b="0"/>
            <a:pathLst>
              <a:path w="9525">
                <a:moveTo>
                  <a:pt x="0" y="0"/>
                </a:moveTo>
                <a:lnTo>
                  <a:pt x="9521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96" name="Shape 72">
            <a:extLst>
              <a:ext uri="{FF2B5EF4-FFF2-40B4-BE49-F238E27FC236}">
                <a16:creationId xmlns:a16="http://schemas.microsoft.com/office/drawing/2014/main" id="{5E21E264-B58A-3210-C44C-0712E935DC3B}"/>
              </a:ext>
            </a:extLst>
          </xdr:cNvPr>
          <xdr:cNvSpPr/>
        </xdr:nvSpPr>
        <xdr:spPr>
          <a:xfrm>
            <a:off x="0" y="19048"/>
            <a:ext cx="14604" cy="5080"/>
          </a:xfrm>
          <a:custGeom>
            <a:avLst/>
            <a:gdLst/>
            <a:ahLst/>
            <a:cxnLst/>
            <a:rect l="0" t="0" r="0" b="0"/>
            <a:pathLst>
              <a:path w="14604" h="5080">
                <a:moveTo>
                  <a:pt x="14282" y="0"/>
                </a:moveTo>
                <a:lnTo>
                  <a:pt x="0" y="0"/>
                </a:lnTo>
                <a:lnTo>
                  <a:pt x="0" y="4762"/>
                </a:lnTo>
                <a:lnTo>
                  <a:pt x="14282" y="4762"/>
                </a:lnTo>
                <a:lnTo>
                  <a:pt x="14282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97" name="Shape 73">
            <a:extLst>
              <a:ext uri="{FF2B5EF4-FFF2-40B4-BE49-F238E27FC236}">
                <a16:creationId xmlns:a16="http://schemas.microsoft.com/office/drawing/2014/main" id="{BB180044-C783-D621-203D-D0924A0A9E07}"/>
              </a:ext>
            </a:extLst>
          </xdr:cNvPr>
          <xdr:cNvSpPr/>
        </xdr:nvSpPr>
        <xdr:spPr>
          <a:xfrm>
            <a:off x="2380" y="26191"/>
            <a:ext cx="5080" cy="0"/>
          </a:xfrm>
          <a:custGeom>
            <a:avLst/>
            <a:gdLst/>
            <a:ahLst/>
            <a:cxnLst/>
            <a:rect l="0" t="0" r="0" b="0"/>
            <a:pathLst>
              <a:path w="5080">
                <a:moveTo>
                  <a:pt x="0" y="0"/>
                </a:moveTo>
                <a:lnTo>
                  <a:pt x="4760" y="0"/>
                </a:lnTo>
              </a:path>
            </a:pathLst>
          </a:custGeom>
          <a:ln w="4762">
            <a:solidFill>
              <a:srgbClr val="008000"/>
            </a:solidFill>
          </a:ln>
        </xdr:spPr>
      </xdr:sp>
      <xdr:sp macro="" textlink="">
        <xdr:nvSpPr>
          <xdr:cNvPr id="11198" name="Shape 74">
            <a:extLst>
              <a:ext uri="{FF2B5EF4-FFF2-40B4-BE49-F238E27FC236}">
                <a16:creationId xmlns:a16="http://schemas.microsoft.com/office/drawing/2014/main" id="{65CE538B-83C4-4B0F-4A08-F24392DA72C3}"/>
              </a:ext>
            </a:extLst>
          </xdr:cNvPr>
          <xdr:cNvSpPr/>
        </xdr:nvSpPr>
        <xdr:spPr>
          <a:xfrm>
            <a:off x="0" y="23810"/>
            <a:ext cx="9525" cy="5080"/>
          </a:xfrm>
          <a:custGeom>
            <a:avLst/>
            <a:gdLst/>
            <a:ahLst/>
            <a:cxnLst/>
            <a:rect l="0" t="0" r="0" b="0"/>
            <a:pathLst>
              <a:path w="9525" h="5080">
                <a:moveTo>
                  <a:pt x="9521" y="0"/>
                </a:moveTo>
                <a:lnTo>
                  <a:pt x="0" y="0"/>
                </a:lnTo>
                <a:lnTo>
                  <a:pt x="0" y="4762"/>
                </a:lnTo>
                <a:lnTo>
                  <a:pt x="9521" y="4762"/>
                </a:lnTo>
                <a:lnTo>
                  <a:pt x="9521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199" name="Shape 75">
            <a:extLst>
              <a:ext uri="{FF2B5EF4-FFF2-40B4-BE49-F238E27FC236}">
                <a16:creationId xmlns:a16="http://schemas.microsoft.com/office/drawing/2014/main" id="{22721537-C8C4-F164-C183-AB6DCEA11F73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0" y="2381"/>
                </a:moveTo>
                <a:lnTo>
                  <a:pt x="697" y="697"/>
                </a:lnTo>
                <a:lnTo>
                  <a:pt x="2380" y="0"/>
                </a:lnTo>
                <a:lnTo>
                  <a:pt x="4063" y="697"/>
                </a:lnTo>
                <a:lnTo>
                  <a:pt x="4760" y="2381"/>
                </a:lnTo>
                <a:lnTo>
                  <a:pt x="4063" y="4064"/>
                </a:lnTo>
                <a:lnTo>
                  <a:pt x="2380" y="4762"/>
                </a:lnTo>
                <a:lnTo>
                  <a:pt x="697" y="4064"/>
                </a:lnTo>
                <a:lnTo>
                  <a:pt x="0" y="2381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  <xdr:sp macro="" textlink="">
        <xdr:nvSpPr>
          <xdr:cNvPr id="11200" name="Shape 76">
            <a:extLst>
              <a:ext uri="{FF2B5EF4-FFF2-40B4-BE49-F238E27FC236}">
                <a16:creationId xmlns:a16="http://schemas.microsoft.com/office/drawing/2014/main" id="{50B04D78-9D4C-6AC0-8803-329176AA9691}"/>
              </a:ext>
            </a:extLst>
          </xdr:cNvPr>
          <xdr:cNvSpPr/>
        </xdr:nvSpPr>
        <xdr:spPr>
          <a:xfrm>
            <a:off x="0" y="28572"/>
            <a:ext cx="5080" cy="5080"/>
          </a:xfrm>
          <a:custGeom>
            <a:avLst/>
            <a:gdLst/>
            <a:ahLst/>
            <a:cxnLst/>
            <a:rect l="0" t="0" r="0" b="0"/>
            <a:pathLst>
              <a:path w="5080" h="5080">
                <a:moveTo>
                  <a:pt x="4760" y="0"/>
                </a:moveTo>
                <a:lnTo>
                  <a:pt x="0" y="0"/>
                </a:lnTo>
                <a:lnTo>
                  <a:pt x="0" y="4762"/>
                </a:lnTo>
                <a:lnTo>
                  <a:pt x="4760" y="4762"/>
                </a:lnTo>
                <a:lnTo>
                  <a:pt x="4760" y="0"/>
                </a:lnTo>
                <a:close/>
              </a:path>
            </a:pathLst>
          </a:custGeom>
          <a:solidFill>
            <a:srgbClr val="008000">
              <a:alpha val="50000"/>
            </a:srgbClr>
          </a:solidFill>
        </xdr:spPr>
      </xdr:sp>
    </xdr:grp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APPELITBANGDA%20BULANAN%202025\24.%20KARTU%20PEMELIHARAAN.xlsx" TargetMode="External"/><Relationship Id="rId1" Type="http://schemas.openxmlformats.org/officeDocument/2006/relationships/externalLinkPath" Target="file:///E:\BAPPELITBANGDA%20BULANAN%202025\24.%20KARTU%20PEMELIHARA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mp. 42"/>
    </sheetNames>
    <sheetDataSet>
      <sheetData sheetId="0">
        <row r="119">
          <cell r="D119" t="str">
            <v>ED 1056 WB</v>
          </cell>
        </row>
        <row r="120">
          <cell r="D120" t="str">
            <v>ED 8045 WB</v>
          </cell>
          <cell r="E120" t="str">
            <v>Perpanjangan STNK</v>
          </cell>
          <cell r="G120" t="str">
            <v>11 Februari 2025</v>
          </cell>
          <cell r="H120">
            <v>1704900</v>
          </cell>
        </row>
        <row r="121">
          <cell r="D121" t="str">
            <v>ED 1056 WB</v>
          </cell>
          <cell r="E121" t="str">
            <v>Perpanjangan STNK</v>
          </cell>
          <cell r="G121" t="str">
            <v>12 Februari 2025</v>
          </cell>
          <cell r="H121">
            <v>72000</v>
          </cell>
        </row>
        <row r="122">
          <cell r="D122" t="str">
            <v>ED 8045 WB</v>
          </cell>
          <cell r="E122" t="str">
            <v>Perpanjangan STNK</v>
          </cell>
          <cell r="G122" t="str">
            <v>12 Februari 2025</v>
          </cell>
          <cell r="H122">
            <v>72000</v>
          </cell>
        </row>
        <row r="123">
          <cell r="D123" t="str">
            <v>ED 8053 WB</v>
          </cell>
          <cell r="E123" t="str">
            <v>Perpanjangan STNK</v>
          </cell>
          <cell r="G123" t="str">
            <v>21 Februari 2025</v>
          </cell>
        </row>
        <row r="124">
          <cell r="D124" t="str">
            <v>ED 8053 WB</v>
          </cell>
          <cell r="E124" t="str">
            <v>Perpanjangan STNK</v>
          </cell>
          <cell r="G124" t="str">
            <v>21 Februari 2025</v>
          </cell>
          <cell r="H124">
            <v>72000</v>
          </cell>
        </row>
        <row r="125">
          <cell r="D125" t="str">
            <v>ED 2780 WB</v>
          </cell>
          <cell r="E125" t="str">
            <v>Perpanjangan STNK</v>
          </cell>
          <cell r="G125" t="str">
            <v>21 Februari 2025</v>
          </cell>
          <cell r="H125">
            <v>119000</v>
          </cell>
        </row>
        <row r="126">
          <cell r="D126" t="str">
            <v>ED 2678  WB</v>
          </cell>
          <cell r="E126" t="str">
            <v>Perpanjangan STNK</v>
          </cell>
          <cell r="G126" t="str">
            <v>21 Februari 2025</v>
          </cell>
          <cell r="H126">
            <v>123800</v>
          </cell>
        </row>
        <row r="127">
          <cell r="D127" t="str">
            <v>ED 2780  WB</v>
          </cell>
          <cell r="E127" t="str">
            <v>Perpanjangan STNK</v>
          </cell>
          <cell r="G127" t="str">
            <v>21 Februari 2025</v>
          </cell>
          <cell r="H127">
            <v>60000</v>
          </cell>
        </row>
        <row r="128">
          <cell r="D128" t="str">
            <v>ED 2678  WB</v>
          </cell>
          <cell r="E128" t="str">
            <v>Perpanjangan STNK</v>
          </cell>
          <cell r="G128" t="str">
            <v>21 Februari 2025</v>
          </cell>
          <cell r="H128">
            <v>60000</v>
          </cell>
        </row>
        <row r="129">
          <cell r="D129" t="str">
            <v>ED 2218 WB</v>
          </cell>
          <cell r="E129" t="str">
            <v>Perpanjangan STNK</v>
          </cell>
          <cell r="G129" t="str">
            <v>18 Februari 2025</v>
          </cell>
          <cell r="H129">
            <v>91200</v>
          </cell>
        </row>
        <row r="130">
          <cell r="D130" t="str">
            <v>ED 2028 WB</v>
          </cell>
          <cell r="E130" t="str">
            <v>Perpanjangan STNK</v>
          </cell>
          <cell r="G130" t="str">
            <v>18 Februari 2025</v>
          </cell>
          <cell r="H130">
            <v>115600</v>
          </cell>
        </row>
        <row r="131">
          <cell r="D131" t="str">
            <v>ED 2905 WB</v>
          </cell>
          <cell r="E131" t="str">
            <v>Perpanjangan STNK</v>
          </cell>
          <cell r="G131" t="str">
            <v>18 Februari 2025</v>
          </cell>
          <cell r="H131">
            <v>99900</v>
          </cell>
        </row>
        <row r="132">
          <cell r="D132" t="str">
            <v>ED 2759 WB</v>
          </cell>
          <cell r="E132" t="str">
            <v>Perpanjangan STNK</v>
          </cell>
          <cell r="G132" t="str">
            <v>18 Februari 2025</v>
          </cell>
          <cell r="H132">
            <v>101700</v>
          </cell>
        </row>
        <row r="133">
          <cell r="D133" t="str">
            <v>ED 2779 WB</v>
          </cell>
          <cell r="E133" t="str">
            <v>Perpanjangan STNK</v>
          </cell>
          <cell r="G133" t="str">
            <v>18 Februari 2025</v>
          </cell>
          <cell r="H133">
            <v>129100</v>
          </cell>
        </row>
        <row r="134">
          <cell r="D134" t="str">
            <v>ED 2019 WB</v>
          </cell>
          <cell r="E134" t="str">
            <v>Perpanjangan STNK</v>
          </cell>
          <cell r="G134" t="str">
            <v>18 Februari 2025</v>
          </cell>
          <cell r="H134">
            <v>123800</v>
          </cell>
        </row>
        <row r="135">
          <cell r="D135" t="str">
            <v>ED 2766 WB</v>
          </cell>
          <cell r="E135" t="str">
            <v>Perpanjangan STNK</v>
          </cell>
          <cell r="G135" t="str">
            <v>18 Februari 2025</v>
          </cell>
          <cell r="H135">
            <v>119000</v>
          </cell>
        </row>
        <row r="136">
          <cell r="D136" t="str">
            <v>ED 2215 WB</v>
          </cell>
          <cell r="E136" t="str">
            <v>Perpanjangan STNK</v>
          </cell>
          <cell r="G136" t="str">
            <v>18 Februari 2025</v>
          </cell>
          <cell r="H136">
            <v>91200</v>
          </cell>
        </row>
        <row r="137">
          <cell r="D137" t="str">
            <v>ED 2214 WB</v>
          </cell>
          <cell r="E137" t="str">
            <v>Perpanjangan STNK</v>
          </cell>
          <cell r="G137" t="str">
            <v>18 Februari 2025</v>
          </cell>
          <cell r="H137">
            <v>91200</v>
          </cell>
        </row>
        <row r="138">
          <cell r="D138" t="str">
            <v>ED 2218 WB</v>
          </cell>
          <cell r="E138" t="str">
            <v>Perpanjangan STNK</v>
          </cell>
          <cell r="G138" t="str">
            <v>18 Februari 2025</v>
          </cell>
          <cell r="H138">
            <v>60000</v>
          </cell>
        </row>
        <row r="139">
          <cell r="D139" t="str">
            <v>ED 2028 WB</v>
          </cell>
          <cell r="E139" t="str">
            <v>Perpanjangan STNK</v>
          </cell>
          <cell r="G139" t="str">
            <v>18 Februari 2025</v>
          </cell>
          <cell r="H139">
            <v>60000</v>
          </cell>
        </row>
        <row r="140">
          <cell r="D140" t="str">
            <v>ED 2905 WB</v>
          </cell>
          <cell r="E140" t="str">
            <v>Perpanjangan STNK</v>
          </cell>
          <cell r="G140" t="str">
            <v>18 Februari 2025</v>
          </cell>
          <cell r="H140">
            <v>60000</v>
          </cell>
        </row>
        <row r="141">
          <cell r="D141" t="str">
            <v>ED 2759 WB</v>
          </cell>
          <cell r="E141" t="str">
            <v>Perpanjangan STNK</v>
          </cell>
          <cell r="G141" t="str">
            <v>18 Februari 2025</v>
          </cell>
          <cell r="H141">
            <v>60000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05D3-2FED-42F5-A348-AACFE6889EBD}">
  <sheetPr>
    <pageSetUpPr fitToPage="1"/>
  </sheetPr>
  <dimension ref="A1:J960"/>
  <sheetViews>
    <sheetView tabSelected="1" topLeftCell="A939" zoomScale="122" zoomScaleNormal="130" workbookViewId="0">
      <selection activeCell="H942" sqref="H942"/>
    </sheetView>
  </sheetViews>
  <sheetFormatPr defaultColWidth="9.33203125" defaultRowHeight="13.2" x14ac:dyDescent="0.25"/>
  <cols>
    <col min="1" max="1" width="5.77734375" style="1" customWidth="1"/>
    <col min="2" max="2" width="14" style="1" customWidth="1"/>
    <col min="3" max="3" width="26.77734375" style="1" bestFit="1" customWidth="1"/>
    <col min="4" max="4" width="18.44140625" style="1" bestFit="1" customWidth="1"/>
    <col min="5" max="5" width="18.109375" style="1" bestFit="1" customWidth="1"/>
    <col min="6" max="6" width="15.109375" style="1" customWidth="1"/>
    <col min="7" max="7" width="10.44140625" style="1" customWidth="1"/>
    <col min="8" max="9" width="4.6640625" style="1" customWidth="1"/>
    <col min="10" max="10" width="16" style="1" bestFit="1" customWidth="1"/>
    <col min="11" max="13" width="9.33203125" style="1"/>
    <col min="14" max="14" width="14.6640625" style="1" bestFit="1" customWidth="1"/>
    <col min="15" max="15" width="22.77734375" style="1" bestFit="1" customWidth="1"/>
    <col min="16" max="16384" width="9.33203125" style="1"/>
  </cols>
  <sheetData>
    <row r="1" spans="1:10" ht="154.5" hidden="1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</row>
    <row r="2" spans="1:10" ht="15.75" customHeight="1" x14ac:dyDescent="0.25"/>
    <row r="3" spans="1:10" x14ac:dyDescent="0.25">
      <c r="A3" s="60" t="s">
        <v>0</v>
      </c>
      <c r="B3" s="61"/>
      <c r="C3" s="61"/>
      <c r="D3" s="61"/>
      <c r="E3" s="61"/>
      <c r="F3" s="61"/>
      <c r="G3" s="61"/>
      <c r="H3" s="62"/>
    </row>
    <row r="4" spans="1:10" x14ac:dyDescent="0.25">
      <c r="A4" s="59"/>
      <c r="B4" s="59"/>
      <c r="C4" s="59"/>
      <c r="D4" s="59"/>
      <c r="E4" s="59"/>
      <c r="F4" s="63" t="s">
        <v>1</v>
      </c>
      <c r="G4" s="63"/>
    </row>
    <row r="5" spans="1:10" x14ac:dyDescent="0.25">
      <c r="A5" s="57" t="s">
        <v>2</v>
      </c>
      <c r="B5" s="58"/>
      <c r="C5" s="58"/>
      <c r="D5" s="58"/>
      <c r="E5" s="2">
        <v>-7</v>
      </c>
      <c r="F5" s="59"/>
      <c r="G5" s="59"/>
    </row>
    <row r="6" spans="1:10" x14ac:dyDescent="0.25">
      <c r="A6" s="57" t="s">
        <v>13</v>
      </c>
      <c r="B6" s="58"/>
      <c r="C6" s="58"/>
      <c r="D6" s="58"/>
      <c r="E6" s="2">
        <v>-8</v>
      </c>
      <c r="F6" s="59"/>
      <c r="G6" s="59"/>
    </row>
    <row r="7" spans="1:10" x14ac:dyDescent="0.25">
      <c r="A7" s="58" t="s">
        <v>3</v>
      </c>
      <c r="B7" s="58"/>
      <c r="C7" s="58"/>
      <c r="D7" s="58"/>
      <c r="E7" s="2">
        <v>-9</v>
      </c>
      <c r="F7" s="59" t="s">
        <v>124</v>
      </c>
      <c r="G7" s="59"/>
    </row>
    <row r="8" spans="1:10" x14ac:dyDescent="0.25">
      <c r="A8" s="58" t="s">
        <v>4</v>
      </c>
      <c r="B8" s="58"/>
      <c r="C8" s="58"/>
      <c r="D8" s="58"/>
      <c r="E8" s="2">
        <v>-10</v>
      </c>
      <c r="F8" s="59" t="s">
        <v>159</v>
      </c>
      <c r="G8" s="59"/>
    </row>
    <row r="9" spans="1:10" x14ac:dyDescent="0.25">
      <c r="A9" s="58" t="s">
        <v>5</v>
      </c>
      <c r="B9" s="58"/>
      <c r="C9" s="58"/>
      <c r="D9" s="58"/>
      <c r="E9" s="2">
        <v>-11</v>
      </c>
      <c r="F9" s="59" t="s">
        <v>21</v>
      </c>
      <c r="G9" s="59"/>
    </row>
    <row r="10" spans="1:10" ht="24" x14ac:dyDescent="0.25">
      <c r="A10" s="3" t="s">
        <v>6</v>
      </c>
      <c r="B10" s="4" t="s">
        <v>7</v>
      </c>
      <c r="C10" s="4" t="s">
        <v>8</v>
      </c>
      <c r="D10" s="17" t="s">
        <v>9</v>
      </c>
      <c r="E10" s="5" t="s">
        <v>10</v>
      </c>
      <c r="F10" s="6" t="s">
        <v>11</v>
      </c>
      <c r="G10" s="7" t="s">
        <v>12</v>
      </c>
    </row>
    <row r="11" spans="1:10" x14ac:dyDescent="0.25">
      <c r="A11" s="8">
        <v>9</v>
      </c>
      <c r="B11" s="8">
        <v>-8</v>
      </c>
      <c r="C11" s="8">
        <v>-9</v>
      </c>
      <c r="D11" s="9">
        <v>-10</v>
      </c>
      <c r="E11" s="9">
        <v>-11</v>
      </c>
      <c r="F11" s="9">
        <v>-12</v>
      </c>
      <c r="G11" s="10">
        <v>-13</v>
      </c>
      <c r="H11" s="11"/>
    </row>
    <row r="12" spans="1:10" x14ac:dyDescent="0.25">
      <c r="A12" s="8">
        <v>1</v>
      </c>
      <c r="B12" s="30" t="s">
        <v>156</v>
      </c>
      <c r="C12" s="27" t="s">
        <v>157</v>
      </c>
      <c r="D12" s="28">
        <v>250000</v>
      </c>
      <c r="E12" s="29" t="s">
        <v>158</v>
      </c>
      <c r="F12" s="9"/>
      <c r="G12" s="10"/>
      <c r="H12" s="11"/>
    </row>
    <row r="13" spans="1:10" x14ac:dyDescent="0.25">
      <c r="A13" s="8">
        <v>2</v>
      </c>
      <c r="B13" s="30" t="s">
        <v>156</v>
      </c>
      <c r="C13" s="27" t="s">
        <v>157</v>
      </c>
      <c r="D13" s="28">
        <v>250000</v>
      </c>
      <c r="E13" s="29" t="s">
        <v>158</v>
      </c>
      <c r="F13" s="9"/>
      <c r="G13" s="10"/>
      <c r="H13" s="11"/>
    </row>
    <row r="14" spans="1:10" x14ac:dyDescent="0.25">
      <c r="A14" s="8">
        <v>3</v>
      </c>
      <c r="B14" s="30" t="s">
        <v>156</v>
      </c>
      <c r="C14" s="27" t="s">
        <v>157</v>
      </c>
      <c r="D14" s="28">
        <v>250000</v>
      </c>
      <c r="E14" s="29" t="s">
        <v>158</v>
      </c>
      <c r="F14" s="9"/>
      <c r="G14" s="10"/>
      <c r="H14" s="11"/>
    </row>
    <row r="15" spans="1:10" x14ac:dyDescent="0.25">
      <c r="A15" s="8">
        <v>4</v>
      </c>
      <c r="B15" s="30" t="s">
        <v>156</v>
      </c>
      <c r="C15" s="27" t="s">
        <v>157</v>
      </c>
      <c r="D15" s="28">
        <v>250000</v>
      </c>
      <c r="E15" s="29" t="s">
        <v>158</v>
      </c>
      <c r="F15" s="9"/>
      <c r="G15" s="10"/>
      <c r="H15" s="11"/>
    </row>
    <row r="16" spans="1:10" x14ac:dyDescent="0.25">
      <c r="A16" s="8">
        <v>5</v>
      </c>
      <c r="B16" s="30" t="s">
        <v>156</v>
      </c>
      <c r="C16" s="27" t="s">
        <v>157</v>
      </c>
      <c r="D16" s="28">
        <v>250000</v>
      </c>
      <c r="E16" s="29" t="s">
        <v>158</v>
      </c>
      <c r="F16" s="9"/>
      <c r="G16" s="10"/>
      <c r="H16" s="11"/>
    </row>
    <row r="17" spans="1:9" x14ac:dyDescent="0.25">
      <c r="A17" s="8">
        <v>6</v>
      </c>
      <c r="B17" s="30" t="s">
        <v>156</v>
      </c>
      <c r="C17" s="27" t="s">
        <v>157</v>
      </c>
      <c r="D17" s="28">
        <v>250000</v>
      </c>
      <c r="E17" s="29" t="s">
        <v>158</v>
      </c>
      <c r="F17" s="9"/>
      <c r="G17" s="10"/>
      <c r="H17" s="11"/>
    </row>
    <row r="18" spans="1:9" x14ac:dyDescent="0.25">
      <c r="A18" s="9"/>
      <c r="B18" s="31"/>
      <c r="C18" s="32"/>
      <c r="D18" s="33"/>
      <c r="E18" s="34"/>
      <c r="F18" s="35"/>
      <c r="G18" s="36"/>
      <c r="H18" s="11"/>
    </row>
    <row r="19" spans="1:9" ht="15.6" x14ac:dyDescent="0.25">
      <c r="A19" s="60" t="s">
        <v>0</v>
      </c>
      <c r="B19" s="61"/>
      <c r="C19" s="61"/>
      <c r="D19" s="61"/>
      <c r="E19" s="61"/>
      <c r="F19" s="61"/>
      <c r="G19" s="61"/>
      <c r="H19" s="62"/>
      <c r="I19" s="16"/>
    </row>
    <row r="20" spans="1:9" x14ac:dyDescent="0.25">
      <c r="A20" s="59"/>
      <c r="B20" s="59"/>
      <c r="C20" s="59"/>
      <c r="D20" s="59"/>
      <c r="E20" s="59"/>
      <c r="F20" s="63" t="s">
        <v>1</v>
      </c>
      <c r="G20" s="63"/>
    </row>
    <row r="21" spans="1:9" x14ac:dyDescent="0.25">
      <c r="A21" s="57" t="s">
        <v>2</v>
      </c>
      <c r="B21" s="58"/>
      <c r="C21" s="58"/>
      <c r="D21" s="58"/>
      <c r="E21" s="2">
        <v>-2</v>
      </c>
      <c r="F21" s="59"/>
      <c r="G21" s="59"/>
    </row>
    <row r="22" spans="1:9" x14ac:dyDescent="0.25">
      <c r="A22" s="57" t="s">
        <v>13</v>
      </c>
      <c r="B22" s="58"/>
      <c r="C22" s="58"/>
      <c r="D22" s="58"/>
      <c r="E22" s="2">
        <v>-3</v>
      </c>
      <c r="F22" s="59"/>
      <c r="G22" s="59"/>
    </row>
    <row r="23" spans="1:9" x14ac:dyDescent="0.25">
      <c r="A23" s="58" t="s">
        <v>3</v>
      </c>
      <c r="B23" s="58"/>
      <c r="C23" s="58"/>
      <c r="D23" s="58"/>
      <c r="E23" s="2">
        <v>-4</v>
      </c>
      <c r="F23" s="59"/>
      <c r="G23" s="59"/>
    </row>
    <row r="24" spans="1:9" x14ac:dyDescent="0.25">
      <c r="A24" s="58" t="s">
        <v>4</v>
      </c>
      <c r="B24" s="58"/>
      <c r="C24" s="58"/>
      <c r="D24" s="58"/>
      <c r="E24" s="2">
        <v>-5</v>
      </c>
      <c r="F24" s="59" t="str">
        <f>'[1]Lamp. 42'!$D$119</f>
        <v>ED 1056 WB</v>
      </c>
      <c r="G24" s="59"/>
    </row>
    <row r="25" spans="1:9" x14ac:dyDescent="0.25">
      <c r="A25" s="58" t="s">
        <v>5</v>
      </c>
      <c r="B25" s="58"/>
      <c r="C25" s="58"/>
      <c r="D25" s="58"/>
      <c r="E25" s="2">
        <v>-6</v>
      </c>
      <c r="F25" s="59"/>
      <c r="G25" s="59"/>
    </row>
    <row r="26" spans="1:9" ht="24" x14ac:dyDescent="0.25">
      <c r="A26" s="3" t="s">
        <v>6</v>
      </c>
      <c r="B26" s="4" t="s">
        <v>7</v>
      </c>
      <c r="C26" s="4" t="s">
        <v>8</v>
      </c>
      <c r="D26" s="17" t="s">
        <v>9</v>
      </c>
      <c r="E26" s="5" t="s">
        <v>10</v>
      </c>
      <c r="F26" s="6" t="s">
        <v>11</v>
      </c>
      <c r="G26" s="7" t="s">
        <v>12</v>
      </c>
    </row>
    <row r="27" spans="1:9" x14ac:dyDescent="0.25">
      <c r="A27" s="8">
        <v>-7</v>
      </c>
      <c r="B27" s="8">
        <v>-8</v>
      </c>
      <c r="C27" s="8">
        <v>-9</v>
      </c>
      <c r="D27" s="9">
        <v>-10</v>
      </c>
      <c r="E27" s="9">
        <v>-11</v>
      </c>
      <c r="F27" s="9">
        <v>-12</v>
      </c>
      <c r="G27" s="10">
        <v>-13</v>
      </c>
      <c r="H27" s="11"/>
    </row>
    <row r="28" spans="1:9" ht="26.4" x14ac:dyDescent="0.25">
      <c r="A28" s="12">
        <v>1</v>
      </c>
      <c r="B28" s="12" t="s">
        <v>15</v>
      </c>
      <c r="C28" s="12" t="s">
        <v>16</v>
      </c>
      <c r="D28" s="18">
        <v>1392100</v>
      </c>
      <c r="E28" s="13" t="s">
        <v>14</v>
      </c>
      <c r="F28" s="13"/>
      <c r="G28" s="14"/>
      <c r="I28" s="11"/>
    </row>
    <row r="29" spans="1:9" x14ac:dyDescent="0.25">
      <c r="A29" s="13"/>
      <c r="B29" s="19"/>
      <c r="C29" s="19"/>
      <c r="D29" s="20"/>
      <c r="E29" s="19"/>
      <c r="F29" s="19"/>
      <c r="G29" s="15"/>
      <c r="I29" s="11"/>
    </row>
    <row r="30" spans="1:9" x14ac:dyDescent="0.25">
      <c r="A30" s="60" t="s">
        <v>0</v>
      </c>
      <c r="B30" s="61"/>
      <c r="C30" s="61"/>
      <c r="D30" s="61"/>
      <c r="E30" s="61"/>
      <c r="F30" s="61"/>
      <c r="G30" s="61"/>
      <c r="H30" s="62"/>
    </row>
    <row r="31" spans="1:9" x14ac:dyDescent="0.25">
      <c r="A31" s="59"/>
      <c r="B31" s="59"/>
      <c r="C31" s="59"/>
      <c r="D31" s="59"/>
      <c r="E31" s="59"/>
      <c r="F31" s="63" t="s">
        <v>1</v>
      </c>
      <c r="G31" s="63"/>
    </row>
    <row r="32" spans="1:9" x14ac:dyDescent="0.25">
      <c r="A32" s="57" t="s">
        <v>2</v>
      </c>
      <c r="B32" s="58"/>
      <c r="C32" s="58"/>
      <c r="D32" s="58"/>
      <c r="E32" s="2">
        <v>-2</v>
      </c>
      <c r="F32" s="59"/>
      <c r="G32" s="59"/>
    </row>
    <row r="33" spans="1:9" x14ac:dyDescent="0.25">
      <c r="A33" s="57" t="s">
        <v>13</v>
      </c>
      <c r="B33" s="58"/>
      <c r="C33" s="58"/>
      <c r="D33" s="58"/>
      <c r="E33" s="2">
        <v>-3</v>
      </c>
      <c r="F33" s="59"/>
      <c r="G33" s="59"/>
    </row>
    <row r="34" spans="1:9" x14ac:dyDescent="0.25">
      <c r="A34" s="58" t="s">
        <v>3</v>
      </c>
      <c r="B34" s="58"/>
      <c r="C34" s="58"/>
      <c r="D34" s="58"/>
      <c r="E34" s="2">
        <v>-4</v>
      </c>
      <c r="F34" s="59"/>
      <c r="G34" s="59"/>
    </row>
    <row r="35" spans="1:9" x14ac:dyDescent="0.25">
      <c r="A35" s="58" t="s">
        <v>4</v>
      </c>
      <c r="B35" s="58"/>
      <c r="C35" s="58"/>
      <c r="D35" s="58"/>
      <c r="E35" s="2">
        <v>-5</v>
      </c>
      <c r="F35" s="59" t="str">
        <f>'[1]Lamp. 42'!D120</f>
        <v>ED 8045 WB</v>
      </c>
      <c r="G35" s="59"/>
    </row>
    <row r="36" spans="1:9" x14ac:dyDescent="0.25">
      <c r="A36" s="58" t="s">
        <v>5</v>
      </c>
      <c r="B36" s="58"/>
      <c r="C36" s="58"/>
      <c r="D36" s="58"/>
      <c r="E36" s="2">
        <v>-6</v>
      </c>
      <c r="F36" s="59"/>
      <c r="G36" s="59"/>
    </row>
    <row r="37" spans="1:9" ht="24" x14ac:dyDescent="0.25">
      <c r="A37" s="3" t="s">
        <v>6</v>
      </c>
      <c r="B37" s="4" t="s">
        <v>7</v>
      </c>
      <c r="C37" s="4" t="s">
        <v>8</v>
      </c>
      <c r="D37" s="17" t="s">
        <v>9</v>
      </c>
      <c r="E37" s="5" t="s">
        <v>10</v>
      </c>
      <c r="F37" s="6" t="s">
        <v>11</v>
      </c>
      <c r="G37" s="7" t="s">
        <v>12</v>
      </c>
    </row>
    <row r="38" spans="1:9" x14ac:dyDescent="0.25">
      <c r="A38" s="8">
        <v>-7</v>
      </c>
      <c r="B38" s="8">
        <v>-8</v>
      </c>
      <c r="C38" s="8">
        <v>-9</v>
      </c>
      <c r="D38" s="9">
        <v>-10</v>
      </c>
      <c r="E38" s="9">
        <v>-11</v>
      </c>
      <c r="F38" s="9">
        <v>-12</v>
      </c>
      <c r="G38" s="10">
        <v>-13</v>
      </c>
      <c r="H38" s="11"/>
    </row>
    <row r="39" spans="1:9" ht="26.4" x14ac:dyDescent="0.25">
      <c r="A39" s="12">
        <v>1</v>
      </c>
      <c r="B39" s="12" t="str">
        <f>'[1]Lamp. 42'!G120</f>
        <v>11 Februari 2025</v>
      </c>
      <c r="C39" s="12" t="str">
        <f>'[1]Lamp. 42'!E120</f>
        <v>Perpanjangan STNK</v>
      </c>
      <c r="D39" s="18">
        <f>'[1]Lamp. 42'!H120</f>
        <v>1704900</v>
      </c>
      <c r="E39" s="13" t="s">
        <v>14</v>
      </c>
      <c r="F39" s="13"/>
      <c r="G39" s="14"/>
      <c r="I39" s="11"/>
    </row>
    <row r="41" spans="1:9" x14ac:dyDescent="0.25">
      <c r="A41" s="60" t="s">
        <v>0</v>
      </c>
      <c r="B41" s="61"/>
      <c r="C41" s="61"/>
      <c r="D41" s="61"/>
      <c r="E41" s="61"/>
      <c r="F41" s="61"/>
      <c r="G41" s="61"/>
      <c r="H41" s="62"/>
    </row>
    <row r="42" spans="1:9" x14ac:dyDescent="0.25">
      <c r="A42" s="59"/>
      <c r="B42" s="59"/>
      <c r="C42" s="59"/>
      <c r="D42" s="59"/>
      <c r="E42" s="59"/>
      <c r="F42" s="63" t="s">
        <v>1</v>
      </c>
      <c r="G42" s="63"/>
    </row>
    <row r="43" spans="1:9" x14ac:dyDescent="0.25">
      <c r="A43" s="57" t="s">
        <v>2</v>
      </c>
      <c r="B43" s="58"/>
      <c r="C43" s="58"/>
      <c r="D43" s="58"/>
      <c r="E43" s="2">
        <v>-2</v>
      </c>
      <c r="F43" s="59"/>
      <c r="G43" s="59"/>
    </row>
    <row r="44" spans="1:9" x14ac:dyDescent="0.25">
      <c r="A44" s="57" t="s">
        <v>13</v>
      </c>
      <c r="B44" s="58"/>
      <c r="C44" s="58"/>
      <c r="D44" s="58"/>
      <c r="E44" s="2">
        <v>-3</v>
      </c>
      <c r="F44" s="59"/>
      <c r="G44" s="59"/>
    </row>
    <row r="45" spans="1:9" x14ac:dyDescent="0.25">
      <c r="A45" s="58" t="s">
        <v>3</v>
      </c>
      <c r="B45" s="58"/>
      <c r="C45" s="58"/>
      <c r="D45" s="58"/>
      <c r="E45" s="2">
        <v>-4</v>
      </c>
      <c r="F45" s="59"/>
      <c r="G45" s="59"/>
    </row>
    <row r="46" spans="1:9" x14ac:dyDescent="0.25">
      <c r="A46" s="58" t="s">
        <v>4</v>
      </c>
      <c r="B46" s="58"/>
      <c r="C46" s="58"/>
      <c r="D46" s="58"/>
      <c r="E46" s="2">
        <v>-5</v>
      </c>
      <c r="F46" s="59" t="str">
        <f>'[1]Lamp. 42'!D121</f>
        <v>ED 1056 WB</v>
      </c>
      <c r="G46" s="59"/>
    </row>
    <row r="47" spans="1:9" x14ac:dyDescent="0.25">
      <c r="A47" s="58" t="s">
        <v>5</v>
      </c>
      <c r="B47" s="58"/>
      <c r="C47" s="58"/>
      <c r="D47" s="58"/>
      <c r="E47" s="2">
        <v>-6</v>
      </c>
      <c r="F47" s="59"/>
      <c r="G47" s="59"/>
    </row>
    <row r="48" spans="1:9" ht="24" x14ac:dyDescent="0.25">
      <c r="A48" s="3" t="s">
        <v>6</v>
      </c>
      <c r="B48" s="4" t="s">
        <v>7</v>
      </c>
      <c r="C48" s="4" t="s">
        <v>8</v>
      </c>
      <c r="D48" s="17" t="s">
        <v>9</v>
      </c>
      <c r="E48" s="5" t="s">
        <v>10</v>
      </c>
      <c r="F48" s="6" t="s">
        <v>11</v>
      </c>
      <c r="G48" s="7" t="s">
        <v>12</v>
      </c>
    </row>
    <row r="49" spans="1:8" x14ac:dyDescent="0.25">
      <c r="A49" s="8">
        <v>-7</v>
      </c>
      <c r="B49" s="8">
        <v>-8</v>
      </c>
      <c r="C49" s="8">
        <v>-9</v>
      </c>
      <c r="D49" s="9">
        <v>-10</v>
      </c>
      <c r="E49" s="9">
        <v>-11</v>
      </c>
      <c r="F49" s="9">
        <v>-12</v>
      </c>
      <c r="G49" s="10">
        <v>-13</v>
      </c>
      <c r="H49" s="11"/>
    </row>
    <row r="50" spans="1:8" ht="26.4" x14ac:dyDescent="0.25">
      <c r="A50" s="12">
        <v>1</v>
      </c>
      <c r="B50" s="12" t="str">
        <f>'[1]Lamp. 42'!G121</f>
        <v>12 Februari 2025</v>
      </c>
      <c r="C50" s="12" t="str">
        <f>'[1]Lamp. 42'!E121</f>
        <v>Perpanjangan STNK</v>
      </c>
      <c r="D50" s="18">
        <f>'[1]Lamp. 42'!H121</f>
        <v>72000</v>
      </c>
      <c r="E50" s="13" t="s">
        <v>14</v>
      </c>
      <c r="F50" s="13"/>
      <c r="G50" s="14"/>
    </row>
    <row r="52" spans="1:8" x14ac:dyDescent="0.25">
      <c r="A52" s="60" t="s">
        <v>0</v>
      </c>
      <c r="B52" s="61"/>
      <c r="C52" s="61"/>
      <c r="D52" s="61"/>
      <c r="E52" s="61"/>
      <c r="F52" s="61"/>
      <c r="G52" s="61"/>
      <c r="H52" s="62"/>
    </row>
    <row r="53" spans="1:8" x14ac:dyDescent="0.25">
      <c r="A53" s="59"/>
      <c r="B53" s="59"/>
      <c r="C53" s="59"/>
      <c r="D53" s="59"/>
      <c r="E53" s="59"/>
      <c r="F53" s="63" t="s">
        <v>1</v>
      </c>
      <c r="G53" s="63"/>
    </row>
    <row r="54" spans="1:8" x14ac:dyDescent="0.25">
      <c r="A54" s="57" t="s">
        <v>2</v>
      </c>
      <c r="B54" s="58"/>
      <c r="C54" s="58"/>
      <c r="D54" s="58"/>
      <c r="E54" s="2">
        <v>-2</v>
      </c>
      <c r="F54" s="59"/>
      <c r="G54" s="59"/>
    </row>
    <row r="55" spans="1:8" x14ac:dyDescent="0.25">
      <c r="A55" s="57" t="s">
        <v>13</v>
      </c>
      <c r="B55" s="58"/>
      <c r="C55" s="58"/>
      <c r="D55" s="58"/>
      <c r="E55" s="2">
        <v>-3</v>
      </c>
      <c r="F55" s="59"/>
      <c r="G55" s="59"/>
    </row>
    <row r="56" spans="1:8" x14ac:dyDescent="0.25">
      <c r="A56" s="58" t="s">
        <v>3</v>
      </c>
      <c r="B56" s="58"/>
      <c r="C56" s="58"/>
      <c r="D56" s="58"/>
      <c r="E56" s="2">
        <v>-4</v>
      </c>
      <c r="F56" s="59"/>
      <c r="G56" s="59"/>
    </row>
    <row r="57" spans="1:8" x14ac:dyDescent="0.25">
      <c r="A57" s="58" t="s">
        <v>4</v>
      </c>
      <c r="B57" s="58"/>
      <c r="C57" s="58"/>
      <c r="D57" s="58"/>
      <c r="E57" s="2">
        <v>-5</v>
      </c>
      <c r="F57" s="59" t="str">
        <f>'[1]Lamp. 42'!D122</f>
        <v>ED 8045 WB</v>
      </c>
      <c r="G57" s="59"/>
    </row>
    <row r="58" spans="1:8" x14ac:dyDescent="0.25">
      <c r="A58" s="58" t="s">
        <v>5</v>
      </c>
      <c r="B58" s="58"/>
      <c r="C58" s="58"/>
      <c r="D58" s="58"/>
      <c r="E58" s="2">
        <v>-6</v>
      </c>
      <c r="F58" s="59"/>
      <c r="G58" s="59"/>
    </row>
    <row r="59" spans="1:8" ht="24" x14ac:dyDescent="0.25">
      <c r="A59" s="3" t="s">
        <v>6</v>
      </c>
      <c r="B59" s="4" t="s">
        <v>7</v>
      </c>
      <c r="C59" s="4" t="s">
        <v>8</v>
      </c>
      <c r="D59" s="17" t="s">
        <v>9</v>
      </c>
      <c r="E59" s="5" t="s">
        <v>10</v>
      </c>
      <c r="F59" s="6" t="s">
        <v>11</v>
      </c>
      <c r="G59" s="7" t="s">
        <v>12</v>
      </c>
    </row>
    <row r="60" spans="1:8" x14ac:dyDescent="0.25">
      <c r="A60" s="8">
        <v>-7</v>
      </c>
      <c r="B60" s="8">
        <v>-8</v>
      </c>
      <c r="C60" s="8">
        <v>-9</v>
      </c>
      <c r="D60" s="9">
        <v>-10</v>
      </c>
      <c r="E60" s="9">
        <v>-11</v>
      </c>
      <c r="F60" s="9">
        <v>-12</v>
      </c>
      <c r="G60" s="10">
        <v>-13</v>
      </c>
      <c r="H60" s="11"/>
    </row>
    <row r="61" spans="1:8" ht="26.4" x14ac:dyDescent="0.25">
      <c r="A61" s="12">
        <v>1</v>
      </c>
      <c r="B61" s="12" t="str">
        <f>'[1]Lamp. 42'!G122</f>
        <v>12 Februari 2025</v>
      </c>
      <c r="C61" s="12" t="str">
        <f>'[1]Lamp. 42'!E122</f>
        <v>Perpanjangan STNK</v>
      </c>
      <c r="D61" s="18">
        <f>'[1]Lamp. 42'!H122</f>
        <v>72000</v>
      </c>
      <c r="E61" s="13" t="s">
        <v>14</v>
      </c>
      <c r="F61" s="13"/>
      <c r="G61" s="14"/>
    </row>
    <row r="63" spans="1:8" x14ac:dyDescent="0.25">
      <c r="A63" s="60" t="s">
        <v>0</v>
      </c>
      <c r="B63" s="61"/>
      <c r="C63" s="61"/>
      <c r="D63" s="61"/>
      <c r="E63" s="61"/>
      <c r="F63" s="61"/>
      <c r="G63" s="61"/>
      <c r="H63" s="62"/>
    </row>
    <row r="64" spans="1:8" x14ac:dyDescent="0.25">
      <c r="A64" s="59"/>
      <c r="B64" s="59"/>
      <c r="C64" s="59"/>
      <c r="D64" s="59"/>
      <c r="E64" s="59"/>
      <c r="F64" s="63" t="s">
        <v>1</v>
      </c>
      <c r="G64" s="63"/>
    </row>
    <row r="65" spans="1:8" x14ac:dyDescent="0.25">
      <c r="A65" s="57" t="s">
        <v>2</v>
      </c>
      <c r="B65" s="58"/>
      <c r="C65" s="58"/>
      <c r="D65" s="58"/>
      <c r="E65" s="2">
        <v>-2</v>
      </c>
      <c r="F65" s="59"/>
      <c r="G65" s="59"/>
    </row>
    <row r="66" spans="1:8" x14ac:dyDescent="0.25">
      <c r="A66" s="57" t="s">
        <v>13</v>
      </c>
      <c r="B66" s="58"/>
      <c r="C66" s="58"/>
      <c r="D66" s="58"/>
      <c r="E66" s="2">
        <v>-3</v>
      </c>
      <c r="F66" s="59"/>
      <c r="G66" s="59"/>
    </row>
    <row r="67" spans="1:8" x14ac:dyDescent="0.25">
      <c r="A67" s="58" t="s">
        <v>3</v>
      </c>
      <c r="B67" s="58"/>
      <c r="C67" s="58"/>
      <c r="D67" s="58"/>
      <c r="E67" s="2">
        <v>-4</v>
      </c>
      <c r="F67" s="59"/>
      <c r="G67" s="59"/>
    </row>
    <row r="68" spans="1:8" x14ac:dyDescent="0.25">
      <c r="A68" s="58" t="s">
        <v>4</v>
      </c>
      <c r="B68" s="58"/>
      <c r="C68" s="58"/>
      <c r="D68" s="58"/>
      <c r="E68" s="2">
        <v>-5</v>
      </c>
      <c r="F68" s="59" t="str">
        <f>'[1]Lamp. 42'!D123</f>
        <v>ED 8053 WB</v>
      </c>
      <c r="G68" s="59"/>
    </row>
    <row r="69" spans="1:8" x14ac:dyDescent="0.25">
      <c r="A69" s="58" t="s">
        <v>5</v>
      </c>
      <c r="B69" s="58"/>
      <c r="C69" s="58"/>
      <c r="D69" s="58"/>
      <c r="E69" s="2">
        <v>-6</v>
      </c>
      <c r="F69" s="59"/>
      <c r="G69" s="59"/>
    </row>
    <row r="70" spans="1:8" ht="24" x14ac:dyDescent="0.25">
      <c r="A70" s="3" t="s">
        <v>6</v>
      </c>
      <c r="B70" s="4" t="s">
        <v>7</v>
      </c>
      <c r="C70" s="4" t="s">
        <v>8</v>
      </c>
      <c r="D70" s="17" t="s">
        <v>9</v>
      </c>
      <c r="E70" s="5" t="s">
        <v>10</v>
      </c>
      <c r="F70" s="6" t="s">
        <v>11</v>
      </c>
      <c r="G70" s="7" t="s">
        <v>12</v>
      </c>
    </row>
    <row r="71" spans="1:8" x14ac:dyDescent="0.25">
      <c r="A71" s="8">
        <v>-7</v>
      </c>
      <c r="B71" s="8">
        <v>-8</v>
      </c>
      <c r="C71" s="8">
        <v>-9</v>
      </c>
      <c r="D71" s="9">
        <v>-10</v>
      </c>
      <c r="E71" s="9">
        <v>-11</v>
      </c>
      <c r="F71" s="9">
        <v>-12</v>
      </c>
      <c r="G71" s="10">
        <v>-13</v>
      </c>
      <c r="H71" s="11"/>
    </row>
    <row r="72" spans="1:8" ht="26.4" x14ac:dyDescent="0.25">
      <c r="A72" s="12">
        <v>1</v>
      </c>
      <c r="B72" s="12" t="str">
        <f>'[1]Lamp. 42'!G123</f>
        <v>21 Februari 2025</v>
      </c>
      <c r="C72" s="12" t="str">
        <f>'[1]Lamp. 42'!E123</f>
        <v>Perpanjangan STNK</v>
      </c>
      <c r="D72" s="18">
        <v>1574900</v>
      </c>
      <c r="E72" s="13" t="s">
        <v>14</v>
      </c>
      <c r="F72" s="13"/>
      <c r="G72" s="14"/>
    </row>
    <row r="74" spans="1:8" x14ac:dyDescent="0.25">
      <c r="A74" s="60" t="s">
        <v>0</v>
      </c>
      <c r="B74" s="61"/>
      <c r="C74" s="61"/>
      <c r="D74" s="61"/>
      <c r="E74" s="61"/>
      <c r="F74" s="61"/>
      <c r="G74" s="61"/>
      <c r="H74" s="62"/>
    </row>
    <row r="75" spans="1:8" x14ac:dyDescent="0.25">
      <c r="A75" s="59"/>
      <c r="B75" s="59"/>
      <c r="C75" s="59"/>
      <c r="D75" s="59"/>
      <c r="E75" s="59"/>
      <c r="F75" s="63" t="s">
        <v>1</v>
      </c>
      <c r="G75" s="63"/>
    </row>
    <row r="76" spans="1:8" x14ac:dyDescent="0.25">
      <c r="A76" s="57" t="s">
        <v>2</v>
      </c>
      <c r="B76" s="58"/>
      <c r="C76" s="58"/>
      <c r="D76" s="58"/>
      <c r="E76" s="2">
        <v>-2</v>
      </c>
      <c r="F76" s="59"/>
      <c r="G76" s="59"/>
    </row>
    <row r="77" spans="1:8" x14ac:dyDescent="0.25">
      <c r="A77" s="57" t="s">
        <v>13</v>
      </c>
      <c r="B77" s="58"/>
      <c r="C77" s="58"/>
      <c r="D77" s="58"/>
      <c r="E77" s="2">
        <v>-3</v>
      </c>
      <c r="F77" s="59"/>
      <c r="G77" s="59"/>
    </row>
    <row r="78" spans="1:8" x14ac:dyDescent="0.25">
      <c r="A78" s="58" t="s">
        <v>3</v>
      </c>
      <c r="B78" s="58"/>
      <c r="C78" s="58"/>
      <c r="D78" s="58"/>
      <c r="E78" s="2">
        <v>-4</v>
      </c>
      <c r="F78" s="59"/>
      <c r="G78" s="59"/>
    </row>
    <row r="79" spans="1:8" x14ac:dyDescent="0.25">
      <c r="A79" s="58" t="s">
        <v>4</v>
      </c>
      <c r="B79" s="58"/>
      <c r="C79" s="58"/>
      <c r="D79" s="58"/>
      <c r="E79" s="2">
        <v>-5</v>
      </c>
      <c r="F79" s="59" t="str">
        <f>'[1]Lamp. 42'!D124</f>
        <v>ED 8053 WB</v>
      </c>
      <c r="G79" s="59"/>
    </row>
    <row r="80" spans="1:8" x14ac:dyDescent="0.25">
      <c r="A80" s="58" t="s">
        <v>5</v>
      </c>
      <c r="B80" s="58"/>
      <c r="C80" s="58"/>
      <c r="D80" s="58"/>
      <c r="E80" s="2">
        <v>-6</v>
      </c>
      <c r="F80" s="59"/>
      <c r="G80" s="59"/>
    </row>
    <row r="81" spans="1:8" ht="24" x14ac:dyDescent="0.25">
      <c r="A81" s="3" t="s">
        <v>6</v>
      </c>
      <c r="B81" s="4" t="s">
        <v>7</v>
      </c>
      <c r="C81" s="4" t="s">
        <v>8</v>
      </c>
      <c r="D81" s="17" t="s">
        <v>9</v>
      </c>
      <c r="E81" s="5" t="s">
        <v>10</v>
      </c>
      <c r="F81" s="6" t="s">
        <v>11</v>
      </c>
      <c r="G81" s="7" t="s">
        <v>12</v>
      </c>
    </row>
    <row r="82" spans="1:8" x14ac:dyDescent="0.25">
      <c r="A82" s="8">
        <v>-7</v>
      </c>
      <c r="B82" s="8">
        <v>-8</v>
      </c>
      <c r="C82" s="8">
        <v>-9</v>
      </c>
      <c r="D82" s="9">
        <v>-10</v>
      </c>
      <c r="E82" s="9">
        <v>-11</v>
      </c>
      <c r="F82" s="9">
        <v>-12</v>
      </c>
      <c r="G82" s="10">
        <v>-13</v>
      </c>
      <c r="H82" s="11"/>
    </row>
    <row r="83" spans="1:8" ht="26.4" x14ac:dyDescent="0.25">
      <c r="A83" s="12">
        <v>1</v>
      </c>
      <c r="B83" s="12" t="str">
        <f>'[1]Lamp. 42'!G124</f>
        <v>21 Februari 2025</v>
      </c>
      <c r="C83" s="12" t="str">
        <f>'[1]Lamp. 42'!E124</f>
        <v>Perpanjangan STNK</v>
      </c>
      <c r="D83" s="18">
        <f>'[1]Lamp. 42'!H124</f>
        <v>72000</v>
      </c>
      <c r="E83" s="13" t="s">
        <v>14</v>
      </c>
      <c r="F83" s="13"/>
      <c r="G83" s="14"/>
    </row>
    <row r="85" spans="1:8" x14ac:dyDescent="0.25">
      <c r="A85" s="60" t="s">
        <v>0</v>
      </c>
      <c r="B85" s="61"/>
      <c r="C85" s="61"/>
      <c r="D85" s="61"/>
      <c r="E85" s="61"/>
      <c r="F85" s="61"/>
      <c r="G85" s="61"/>
      <c r="H85" s="62"/>
    </row>
    <row r="86" spans="1:8" x14ac:dyDescent="0.25">
      <c r="A86" s="59"/>
      <c r="B86" s="59"/>
      <c r="C86" s="59"/>
      <c r="D86" s="59"/>
      <c r="E86" s="59"/>
      <c r="F86" s="63" t="s">
        <v>1</v>
      </c>
      <c r="G86" s="63"/>
    </row>
    <row r="87" spans="1:8" x14ac:dyDescent="0.25">
      <c r="A87" s="57" t="s">
        <v>2</v>
      </c>
      <c r="B87" s="58"/>
      <c r="C87" s="58"/>
      <c r="D87" s="58"/>
      <c r="E87" s="2">
        <v>-2</v>
      </c>
      <c r="F87" s="59" t="s">
        <v>71</v>
      </c>
      <c r="G87" s="59"/>
    </row>
    <row r="88" spans="1:8" x14ac:dyDescent="0.25">
      <c r="A88" s="57" t="s">
        <v>13</v>
      </c>
      <c r="B88" s="58"/>
      <c r="C88" s="58"/>
      <c r="D88" s="58"/>
      <c r="E88" s="2">
        <v>-3</v>
      </c>
      <c r="F88" s="59" t="s">
        <v>71</v>
      </c>
      <c r="G88" s="59"/>
    </row>
    <row r="89" spans="1:8" x14ac:dyDescent="0.25">
      <c r="A89" s="58" t="s">
        <v>3</v>
      </c>
      <c r="B89" s="58"/>
      <c r="C89" s="58"/>
      <c r="D89" s="58"/>
      <c r="E89" s="2">
        <v>-4</v>
      </c>
      <c r="F89" s="59" t="s">
        <v>17</v>
      </c>
      <c r="G89" s="59"/>
    </row>
    <row r="90" spans="1:8" x14ac:dyDescent="0.25">
      <c r="A90" s="58" t="s">
        <v>4</v>
      </c>
      <c r="B90" s="58"/>
      <c r="C90" s="58"/>
      <c r="D90" s="58"/>
      <c r="E90" s="2">
        <v>-5</v>
      </c>
      <c r="F90" s="59" t="s">
        <v>70</v>
      </c>
      <c r="G90" s="59"/>
    </row>
    <row r="91" spans="1:8" x14ac:dyDescent="0.25">
      <c r="A91" s="58" t="s">
        <v>5</v>
      </c>
      <c r="B91" s="58"/>
      <c r="C91" s="58"/>
      <c r="D91" s="58"/>
      <c r="E91" s="2">
        <v>-6</v>
      </c>
      <c r="F91" s="59" t="s">
        <v>21</v>
      </c>
      <c r="G91" s="59"/>
    </row>
    <row r="92" spans="1:8" ht="24" x14ac:dyDescent="0.25">
      <c r="A92" s="3" t="s">
        <v>6</v>
      </c>
      <c r="B92" s="4" t="s">
        <v>7</v>
      </c>
      <c r="C92" s="4" t="s">
        <v>8</v>
      </c>
      <c r="D92" s="17" t="s">
        <v>9</v>
      </c>
      <c r="E92" s="5" t="s">
        <v>10</v>
      </c>
      <c r="F92" s="6" t="s">
        <v>11</v>
      </c>
      <c r="G92" s="7" t="s">
        <v>12</v>
      </c>
    </row>
    <row r="93" spans="1:8" x14ac:dyDescent="0.25">
      <c r="A93" s="8">
        <v>-7</v>
      </c>
      <c r="B93" s="8">
        <v>-8</v>
      </c>
      <c r="C93" s="8">
        <v>-9</v>
      </c>
      <c r="D93" s="9">
        <v>-10</v>
      </c>
      <c r="E93" s="9">
        <v>-11</v>
      </c>
      <c r="F93" s="9">
        <v>-12</v>
      </c>
      <c r="G93" s="10">
        <v>-13</v>
      </c>
      <c r="H93" s="11"/>
    </row>
    <row r="94" spans="1:8" x14ac:dyDescent="0.25">
      <c r="A94" s="8">
        <v>1</v>
      </c>
      <c r="B94" s="46" t="s">
        <v>160</v>
      </c>
      <c r="C94" s="8" t="s">
        <v>161</v>
      </c>
      <c r="D94" s="47">
        <v>10000</v>
      </c>
      <c r="E94" s="9" t="s">
        <v>18</v>
      </c>
      <c r="F94" s="9"/>
      <c r="G94" s="10"/>
      <c r="H94" s="11"/>
    </row>
    <row r="95" spans="1:8" x14ac:dyDescent="0.25">
      <c r="A95" s="8">
        <v>2</v>
      </c>
      <c r="B95" s="46" t="s">
        <v>160</v>
      </c>
      <c r="C95" s="8" t="s">
        <v>162</v>
      </c>
      <c r="D95" s="47">
        <v>45000</v>
      </c>
      <c r="E95" s="9" t="s">
        <v>18</v>
      </c>
      <c r="F95" s="9"/>
      <c r="G95" s="10"/>
      <c r="H95" s="11"/>
    </row>
    <row r="96" spans="1:8" x14ac:dyDescent="0.25">
      <c r="A96" s="8">
        <v>3</v>
      </c>
      <c r="B96" s="46" t="s">
        <v>160</v>
      </c>
      <c r="C96" s="8" t="s">
        <v>163</v>
      </c>
      <c r="D96" s="47">
        <v>50000</v>
      </c>
      <c r="E96" s="9" t="s">
        <v>18</v>
      </c>
      <c r="F96" s="9"/>
      <c r="G96" s="10"/>
      <c r="H96" s="11"/>
    </row>
    <row r="97" spans="1:8" x14ac:dyDescent="0.25">
      <c r="A97" s="8">
        <v>4</v>
      </c>
      <c r="B97" s="46" t="s">
        <v>160</v>
      </c>
      <c r="C97" s="8" t="s">
        <v>164</v>
      </c>
      <c r="D97" s="47">
        <v>50000</v>
      </c>
      <c r="E97" s="9" t="s">
        <v>18</v>
      </c>
      <c r="F97" s="9"/>
      <c r="G97" s="10"/>
      <c r="H97" s="11"/>
    </row>
    <row r="98" spans="1:8" x14ac:dyDescent="0.25">
      <c r="A98" s="8">
        <v>5</v>
      </c>
      <c r="B98" s="46" t="s">
        <v>160</v>
      </c>
      <c r="C98" s="8" t="s">
        <v>121</v>
      </c>
      <c r="D98" s="47">
        <v>50000</v>
      </c>
      <c r="E98" s="9" t="s">
        <v>18</v>
      </c>
      <c r="F98" s="9"/>
      <c r="G98" s="10"/>
      <c r="H98" s="11"/>
    </row>
    <row r="99" spans="1:8" x14ac:dyDescent="0.25">
      <c r="A99" s="8">
        <v>6</v>
      </c>
      <c r="B99" s="46" t="s">
        <v>160</v>
      </c>
      <c r="C99" s="8" t="s">
        <v>165</v>
      </c>
      <c r="D99" s="47">
        <v>200000</v>
      </c>
      <c r="E99" s="9" t="s">
        <v>18</v>
      </c>
      <c r="F99" s="9"/>
      <c r="G99" s="10"/>
      <c r="H99" s="11"/>
    </row>
    <row r="100" spans="1:8" x14ac:dyDescent="0.25">
      <c r="A100" s="8">
        <v>7</v>
      </c>
      <c r="B100" s="46" t="s">
        <v>160</v>
      </c>
      <c r="C100" s="8" t="s">
        <v>166</v>
      </c>
      <c r="D100" s="47">
        <v>45000</v>
      </c>
      <c r="E100" s="9" t="s">
        <v>18</v>
      </c>
      <c r="F100" s="9"/>
      <c r="G100" s="10"/>
      <c r="H100" s="11"/>
    </row>
    <row r="103" spans="1:8" x14ac:dyDescent="0.25">
      <c r="A103" s="60" t="s">
        <v>0</v>
      </c>
      <c r="B103" s="61"/>
      <c r="C103" s="61"/>
      <c r="D103" s="61"/>
      <c r="E103" s="61"/>
      <c r="F103" s="61"/>
      <c r="G103" s="61"/>
      <c r="H103" s="62"/>
    </row>
    <row r="104" spans="1:8" x14ac:dyDescent="0.25">
      <c r="A104" s="59"/>
      <c r="B104" s="59"/>
      <c r="C104" s="59"/>
      <c r="D104" s="59"/>
      <c r="E104" s="59"/>
      <c r="F104" s="63" t="s">
        <v>1</v>
      </c>
      <c r="G104" s="63"/>
    </row>
    <row r="105" spans="1:8" x14ac:dyDescent="0.25">
      <c r="A105" s="57" t="s">
        <v>2</v>
      </c>
      <c r="B105" s="58"/>
      <c r="C105" s="58"/>
      <c r="D105" s="58"/>
      <c r="E105" s="2">
        <v>-2</v>
      </c>
      <c r="F105" s="59"/>
      <c r="G105" s="59"/>
    </row>
    <row r="106" spans="1:8" x14ac:dyDescent="0.25">
      <c r="A106" s="57" t="s">
        <v>13</v>
      </c>
      <c r="B106" s="58"/>
      <c r="C106" s="58"/>
      <c r="D106" s="58"/>
      <c r="E106" s="2">
        <v>-3</v>
      </c>
      <c r="F106" s="59"/>
      <c r="G106" s="59"/>
    </row>
    <row r="107" spans="1:8" x14ac:dyDescent="0.25">
      <c r="A107" s="58" t="s">
        <v>3</v>
      </c>
      <c r="B107" s="58"/>
      <c r="C107" s="58"/>
      <c r="D107" s="58"/>
      <c r="E107" s="2">
        <v>-4</v>
      </c>
      <c r="F107" s="59"/>
      <c r="G107" s="59"/>
    </row>
    <row r="108" spans="1:8" x14ac:dyDescent="0.25">
      <c r="A108" s="58" t="s">
        <v>4</v>
      </c>
      <c r="B108" s="58"/>
      <c r="C108" s="58"/>
      <c r="D108" s="58"/>
      <c r="E108" s="2">
        <v>-5</v>
      </c>
      <c r="F108" s="59" t="str">
        <f>'[1]Lamp. 42'!D125</f>
        <v>ED 2780 WB</v>
      </c>
      <c r="G108" s="59"/>
    </row>
    <row r="109" spans="1:8" x14ac:dyDescent="0.25">
      <c r="A109" s="58" t="s">
        <v>5</v>
      </c>
      <c r="B109" s="58"/>
      <c r="C109" s="58"/>
      <c r="D109" s="58"/>
      <c r="E109" s="2">
        <v>-6</v>
      </c>
      <c r="F109" s="59"/>
      <c r="G109" s="59"/>
    </row>
    <row r="110" spans="1:8" ht="24" x14ac:dyDescent="0.25">
      <c r="A110" s="3" t="s">
        <v>6</v>
      </c>
      <c r="B110" s="4" t="s">
        <v>7</v>
      </c>
      <c r="C110" s="4" t="s">
        <v>8</v>
      </c>
      <c r="D110" s="17" t="s">
        <v>9</v>
      </c>
      <c r="E110" s="5" t="s">
        <v>10</v>
      </c>
      <c r="F110" s="6" t="s">
        <v>11</v>
      </c>
      <c r="G110" s="7" t="s">
        <v>12</v>
      </c>
    </row>
    <row r="111" spans="1:8" x14ac:dyDescent="0.25">
      <c r="A111" s="8">
        <v>-7</v>
      </c>
      <c r="B111" s="8">
        <v>-8</v>
      </c>
      <c r="C111" s="8">
        <v>-9</v>
      </c>
      <c r="D111" s="9">
        <v>-10</v>
      </c>
      <c r="E111" s="9">
        <v>-11</v>
      </c>
      <c r="F111" s="9">
        <v>-12</v>
      </c>
      <c r="G111" s="10">
        <v>-13</v>
      </c>
      <c r="H111" s="11"/>
    </row>
    <row r="112" spans="1:8" ht="26.4" x14ac:dyDescent="0.25">
      <c r="A112" s="12">
        <v>1</v>
      </c>
      <c r="B112" s="12" t="str">
        <f>'[1]Lamp. 42'!G125</f>
        <v>21 Februari 2025</v>
      </c>
      <c r="C112" s="12" t="str">
        <f>'[1]Lamp. 42'!E125</f>
        <v>Perpanjangan STNK</v>
      </c>
      <c r="D112" s="18">
        <f>'[1]Lamp. 42'!H125</f>
        <v>119000</v>
      </c>
      <c r="E112" s="13" t="s">
        <v>14</v>
      </c>
      <c r="F112" s="13"/>
      <c r="G112" s="14"/>
    </row>
    <row r="114" spans="1:8" x14ac:dyDescent="0.25">
      <c r="A114" s="60" t="s">
        <v>0</v>
      </c>
      <c r="B114" s="61"/>
      <c r="C114" s="61"/>
      <c r="D114" s="61"/>
      <c r="E114" s="61"/>
      <c r="F114" s="61"/>
      <c r="G114" s="61"/>
      <c r="H114" s="62"/>
    </row>
    <row r="115" spans="1:8" x14ac:dyDescent="0.25">
      <c r="A115" s="59"/>
      <c r="B115" s="59"/>
      <c r="C115" s="59"/>
      <c r="D115" s="59"/>
      <c r="E115" s="59"/>
      <c r="F115" s="63" t="s">
        <v>1</v>
      </c>
      <c r="G115" s="63"/>
    </row>
    <row r="116" spans="1:8" x14ac:dyDescent="0.25">
      <c r="A116" s="57" t="s">
        <v>2</v>
      </c>
      <c r="B116" s="58"/>
      <c r="C116" s="58"/>
      <c r="D116" s="58"/>
      <c r="E116" s="2">
        <v>-2</v>
      </c>
      <c r="F116" s="59"/>
      <c r="G116" s="59"/>
    </row>
    <row r="117" spans="1:8" x14ac:dyDescent="0.25">
      <c r="A117" s="57" t="s">
        <v>13</v>
      </c>
      <c r="B117" s="58"/>
      <c r="C117" s="58"/>
      <c r="D117" s="58"/>
      <c r="E117" s="2">
        <v>-3</v>
      </c>
      <c r="F117" s="59"/>
      <c r="G117" s="59"/>
    </row>
    <row r="118" spans="1:8" x14ac:dyDescent="0.25">
      <c r="A118" s="58" t="s">
        <v>3</v>
      </c>
      <c r="B118" s="58"/>
      <c r="C118" s="58"/>
      <c r="D118" s="58"/>
      <c r="E118" s="2">
        <v>-4</v>
      </c>
      <c r="F118" s="59"/>
      <c r="G118" s="59"/>
    </row>
    <row r="119" spans="1:8" x14ac:dyDescent="0.25">
      <c r="A119" s="58" t="s">
        <v>4</v>
      </c>
      <c r="B119" s="58"/>
      <c r="C119" s="58"/>
      <c r="D119" s="58"/>
      <c r="E119" s="2">
        <v>-5</v>
      </c>
      <c r="F119" s="59" t="str">
        <f>'[1]Lamp. 42'!D126</f>
        <v>ED 2678  WB</v>
      </c>
      <c r="G119" s="59"/>
    </row>
    <row r="120" spans="1:8" x14ac:dyDescent="0.25">
      <c r="A120" s="58" t="s">
        <v>5</v>
      </c>
      <c r="B120" s="58"/>
      <c r="C120" s="58"/>
      <c r="D120" s="58"/>
      <c r="E120" s="2">
        <v>-6</v>
      </c>
      <c r="F120" s="59"/>
      <c r="G120" s="59"/>
    </row>
    <row r="121" spans="1:8" ht="24" x14ac:dyDescent="0.25">
      <c r="A121" s="3" t="s">
        <v>6</v>
      </c>
      <c r="B121" s="4" t="s">
        <v>7</v>
      </c>
      <c r="C121" s="4" t="s">
        <v>8</v>
      </c>
      <c r="D121" s="17" t="s">
        <v>9</v>
      </c>
      <c r="E121" s="5" t="s">
        <v>10</v>
      </c>
      <c r="F121" s="6" t="s">
        <v>11</v>
      </c>
      <c r="G121" s="7" t="s">
        <v>12</v>
      </c>
    </row>
    <row r="122" spans="1:8" x14ac:dyDescent="0.25">
      <c r="A122" s="8">
        <v>-7</v>
      </c>
      <c r="B122" s="8">
        <v>-8</v>
      </c>
      <c r="C122" s="8">
        <v>-9</v>
      </c>
      <c r="D122" s="9">
        <v>-10</v>
      </c>
      <c r="E122" s="9">
        <v>-11</v>
      </c>
      <c r="F122" s="9">
        <v>-12</v>
      </c>
      <c r="G122" s="10">
        <v>-13</v>
      </c>
      <c r="H122" s="11"/>
    </row>
    <row r="123" spans="1:8" ht="26.4" x14ac:dyDescent="0.25">
      <c r="A123" s="12">
        <v>1</v>
      </c>
      <c r="B123" s="12" t="str">
        <f>'[1]Lamp. 42'!G126</f>
        <v>21 Februari 2025</v>
      </c>
      <c r="C123" s="12" t="str">
        <f>'[1]Lamp. 42'!E126</f>
        <v>Perpanjangan STNK</v>
      </c>
      <c r="D123" s="18">
        <f>'[1]Lamp. 42'!H126</f>
        <v>123800</v>
      </c>
      <c r="E123" s="13" t="s">
        <v>14</v>
      </c>
      <c r="F123" s="13"/>
      <c r="G123" s="14"/>
    </row>
    <row r="125" spans="1:8" x14ac:dyDescent="0.25">
      <c r="A125" s="60" t="s">
        <v>0</v>
      </c>
      <c r="B125" s="61"/>
      <c r="C125" s="61"/>
      <c r="D125" s="61"/>
      <c r="E125" s="61"/>
      <c r="F125" s="61"/>
      <c r="G125" s="61"/>
      <c r="H125" s="62"/>
    </row>
    <row r="126" spans="1:8" x14ac:dyDescent="0.25">
      <c r="A126" s="59"/>
      <c r="B126" s="59"/>
      <c r="C126" s="59"/>
      <c r="D126" s="59"/>
      <c r="E126" s="59"/>
      <c r="F126" s="63" t="s">
        <v>1</v>
      </c>
      <c r="G126" s="63"/>
    </row>
    <row r="127" spans="1:8" x14ac:dyDescent="0.25">
      <c r="A127" s="57" t="s">
        <v>2</v>
      </c>
      <c r="B127" s="58"/>
      <c r="C127" s="58"/>
      <c r="D127" s="58"/>
      <c r="E127" s="2">
        <v>-2</v>
      </c>
      <c r="F127" s="59"/>
      <c r="G127" s="59"/>
    </row>
    <row r="128" spans="1:8" x14ac:dyDescent="0.25">
      <c r="A128" s="57" t="s">
        <v>13</v>
      </c>
      <c r="B128" s="58"/>
      <c r="C128" s="58"/>
      <c r="D128" s="58"/>
      <c r="E128" s="2">
        <v>-3</v>
      </c>
      <c r="F128" s="59"/>
      <c r="G128" s="59"/>
    </row>
    <row r="129" spans="1:8" x14ac:dyDescent="0.25">
      <c r="A129" s="58" t="s">
        <v>3</v>
      </c>
      <c r="B129" s="58"/>
      <c r="C129" s="58"/>
      <c r="D129" s="58"/>
      <c r="E129" s="2">
        <v>-4</v>
      </c>
      <c r="F129" s="59"/>
      <c r="G129" s="59"/>
    </row>
    <row r="130" spans="1:8" x14ac:dyDescent="0.25">
      <c r="A130" s="58" t="s">
        <v>4</v>
      </c>
      <c r="B130" s="58"/>
      <c r="C130" s="58"/>
      <c r="D130" s="58"/>
      <c r="E130" s="2">
        <v>-5</v>
      </c>
      <c r="F130" s="59" t="str">
        <f>'[1]Lamp. 42'!D127</f>
        <v>ED 2780  WB</v>
      </c>
      <c r="G130" s="59"/>
    </row>
    <row r="131" spans="1:8" x14ac:dyDescent="0.25">
      <c r="A131" s="58" t="s">
        <v>5</v>
      </c>
      <c r="B131" s="58"/>
      <c r="C131" s="58"/>
      <c r="D131" s="58"/>
      <c r="E131" s="2">
        <v>-6</v>
      </c>
      <c r="F131" s="59"/>
      <c r="G131" s="59"/>
    </row>
    <row r="132" spans="1:8" ht="24" x14ac:dyDescent="0.25">
      <c r="A132" s="3" t="s">
        <v>6</v>
      </c>
      <c r="B132" s="4" t="s">
        <v>7</v>
      </c>
      <c r="C132" s="4" t="s">
        <v>8</v>
      </c>
      <c r="D132" s="17" t="s">
        <v>9</v>
      </c>
      <c r="E132" s="5" t="s">
        <v>10</v>
      </c>
      <c r="F132" s="6" t="s">
        <v>11</v>
      </c>
      <c r="G132" s="7" t="s">
        <v>12</v>
      </c>
    </row>
    <row r="133" spans="1:8" x14ac:dyDescent="0.25">
      <c r="A133" s="8">
        <v>-7</v>
      </c>
      <c r="B133" s="8">
        <v>-8</v>
      </c>
      <c r="C133" s="8">
        <v>-9</v>
      </c>
      <c r="D133" s="9">
        <v>-10</v>
      </c>
      <c r="E133" s="9">
        <v>-11</v>
      </c>
      <c r="F133" s="9">
        <v>-12</v>
      </c>
      <c r="G133" s="10">
        <v>-13</v>
      </c>
      <c r="H133" s="11"/>
    </row>
    <row r="134" spans="1:8" ht="26.4" x14ac:dyDescent="0.25">
      <c r="A134" s="12">
        <v>1</v>
      </c>
      <c r="B134" s="12" t="str">
        <f>'[1]Lamp. 42'!G127</f>
        <v>21 Februari 2025</v>
      </c>
      <c r="C134" s="12" t="str">
        <f>'[1]Lamp. 42'!E127</f>
        <v>Perpanjangan STNK</v>
      </c>
      <c r="D134" s="18">
        <f>'[1]Lamp. 42'!H127</f>
        <v>60000</v>
      </c>
      <c r="E134" s="13" t="s">
        <v>14</v>
      </c>
      <c r="F134" s="13"/>
      <c r="G134" s="14"/>
    </row>
    <row r="136" spans="1:8" x14ac:dyDescent="0.25">
      <c r="A136" s="60" t="s">
        <v>0</v>
      </c>
      <c r="B136" s="61"/>
      <c r="C136" s="61"/>
      <c r="D136" s="61"/>
      <c r="E136" s="61"/>
      <c r="F136" s="61"/>
      <c r="G136" s="61"/>
      <c r="H136" s="62"/>
    </row>
    <row r="137" spans="1:8" x14ac:dyDescent="0.25">
      <c r="A137" s="59"/>
      <c r="B137" s="59"/>
      <c r="C137" s="59"/>
      <c r="D137" s="59"/>
      <c r="E137" s="59"/>
      <c r="F137" s="63" t="s">
        <v>1</v>
      </c>
      <c r="G137" s="63"/>
    </row>
    <row r="138" spans="1:8" x14ac:dyDescent="0.25">
      <c r="A138" s="57" t="s">
        <v>2</v>
      </c>
      <c r="B138" s="58"/>
      <c r="C138" s="58"/>
      <c r="D138" s="58"/>
      <c r="E138" s="2">
        <v>-2</v>
      </c>
      <c r="F138" s="59"/>
      <c r="G138" s="59"/>
    </row>
    <row r="139" spans="1:8" x14ac:dyDescent="0.25">
      <c r="A139" s="57" t="s">
        <v>13</v>
      </c>
      <c r="B139" s="58"/>
      <c r="C139" s="58"/>
      <c r="D139" s="58"/>
      <c r="E139" s="2">
        <v>-3</v>
      </c>
      <c r="F139" s="59"/>
      <c r="G139" s="59"/>
    </row>
    <row r="140" spans="1:8" x14ac:dyDescent="0.25">
      <c r="A140" s="58" t="s">
        <v>3</v>
      </c>
      <c r="B140" s="58"/>
      <c r="C140" s="58"/>
      <c r="D140" s="58"/>
      <c r="E140" s="2">
        <v>-4</v>
      </c>
      <c r="F140" s="59"/>
      <c r="G140" s="59"/>
    </row>
    <row r="141" spans="1:8" x14ac:dyDescent="0.25">
      <c r="A141" s="58" t="s">
        <v>4</v>
      </c>
      <c r="B141" s="58"/>
      <c r="C141" s="58"/>
      <c r="D141" s="58"/>
      <c r="E141" s="2">
        <v>-5</v>
      </c>
      <c r="F141" s="59" t="str">
        <f>'[1]Lamp. 42'!D128</f>
        <v>ED 2678  WB</v>
      </c>
      <c r="G141" s="59"/>
    </row>
    <row r="142" spans="1:8" x14ac:dyDescent="0.25">
      <c r="A142" s="58" t="s">
        <v>5</v>
      </c>
      <c r="B142" s="58"/>
      <c r="C142" s="58"/>
      <c r="D142" s="58"/>
      <c r="E142" s="2">
        <v>-6</v>
      </c>
      <c r="F142" s="59"/>
      <c r="G142" s="59"/>
    </row>
    <row r="143" spans="1:8" ht="24" x14ac:dyDescent="0.25">
      <c r="A143" s="3" t="s">
        <v>6</v>
      </c>
      <c r="B143" s="4" t="s">
        <v>7</v>
      </c>
      <c r="C143" s="4" t="s">
        <v>8</v>
      </c>
      <c r="D143" s="17" t="s">
        <v>9</v>
      </c>
      <c r="E143" s="5" t="s">
        <v>10</v>
      </c>
      <c r="F143" s="6" t="s">
        <v>11</v>
      </c>
      <c r="G143" s="7" t="s">
        <v>12</v>
      </c>
    </row>
    <row r="144" spans="1:8" x14ac:dyDescent="0.25">
      <c r="A144" s="8">
        <v>-7</v>
      </c>
      <c r="B144" s="8">
        <v>-8</v>
      </c>
      <c r="C144" s="8">
        <v>-9</v>
      </c>
      <c r="D144" s="9">
        <v>-10</v>
      </c>
      <c r="E144" s="9">
        <v>-11</v>
      </c>
      <c r="F144" s="9">
        <v>-12</v>
      </c>
      <c r="G144" s="10">
        <v>-13</v>
      </c>
      <c r="H144" s="11"/>
    </row>
    <row r="145" spans="1:8" ht="26.4" x14ac:dyDescent="0.25">
      <c r="A145" s="12">
        <v>1</v>
      </c>
      <c r="B145" s="12" t="str">
        <f>'[1]Lamp. 42'!G128</f>
        <v>21 Februari 2025</v>
      </c>
      <c r="C145" s="12" t="str">
        <f>'[1]Lamp. 42'!E128</f>
        <v>Perpanjangan STNK</v>
      </c>
      <c r="D145" s="18">
        <f>'[1]Lamp. 42'!H128</f>
        <v>60000</v>
      </c>
      <c r="E145" s="13" t="s">
        <v>14</v>
      </c>
      <c r="F145" s="13"/>
      <c r="G145" s="14"/>
    </row>
    <row r="147" spans="1:8" x14ac:dyDescent="0.25">
      <c r="A147" s="60" t="s">
        <v>0</v>
      </c>
      <c r="B147" s="61"/>
      <c r="C147" s="61"/>
      <c r="D147" s="61"/>
      <c r="E147" s="61"/>
      <c r="F147" s="61"/>
      <c r="G147" s="61"/>
      <c r="H147" s="62"/>
    </row>
    <row r="148" spans="1:8" x14ac:dyDescent="0.25">
      <c r="A148" s="59"/>
      <c r="B148" s="59"/>
      <c r="C148" s="59"/>
      <c r="D148" s="59"/>
      <c r="E148" s="59"/>
      <c r="F148" s="63" t="s">
        <v>1</v>
      </c>
      <c r="G148" s="63"/>
    </row>
    <row r="149" spans="1:8" x14ac:dyDescent="0.25">
      <c r="A149" s="57" t="s">
        <v>2</v>
      </c>
      <c r="B149" s="58"/>
      <c r="C149" s="58"/>
      <c r="D149" s="58"/>
      <c r="E149" s="2">
        <v>-2</v>
      </c>
      <c r="F149" s="59"/>
      <c r="G149" s="59"/>
    </row>
    <row r="150" spans="1:8" x14ac:dyDescent="0.25">
      <c r="A150" s="57" t="s">
        <v>13</v>
      </c>
      <c r="B150" s="58"/>
      <c r="C150" s="58"/>
      <c r="D150" s="58"/>
      <c r="E150" s="2">
        <v>-3</v>
      </c>
      <c r="F150" s="59"/>
      <c r="G150" s="59"/>
    </row>
    <row r="151" spans="1:8" x14ac:dyDescent="0.25">
      <c r="A151" s="58" t="s">
        <v>3</v>
      </c>
      <c r="B151" s="58"/>
      <c r="C151" s="58"/>
      <c r="D151" s="58"/>
      <c r="E151" s="2">
        <v>-4</v>
      </c>
      <c r="F151" s="59"/>
      <c r="G151" s="59"/>
    </row>
    <row r="152" spans="1:8" x14ac:dyDescent="0.25">
      <c r="A152" s="58" t="s">
        <v>4</v>
      </c>
      <c r="B152" s="58"/>
      <c r="C152" s="58"/>
      <c r="D152" s="58"/>
      <c r="E152" s="2">
        <v>-5</v>
      </c>
      <c r="F152" s="59" t="str">
        <f>'[1]Lamp. 42'!D129</f>
        <v>ED 2218 WB</v>
      </c>
      <c r="G152" s="59"/>
    </row>
    <row r="153" spans="1:8" x14ac:dyDescent="0.25">
      <c r="A153" s="58" t="s">
        <v>5</v>
      </c>
      <c r="B153" s="58"/>
      <c r="C153" s="58"/>
      <c r="D153" s="58"/>
      <c r="E153" s="2">
        <v>-6</v>
      </c>
      <c r="F153" s="59"/>
      <c r="G153" s="59"/>
    </row>
    <row r="154" spans="1:8" ht="24" x14ac:dyDescent="0.25">
      <c r="A154" s="3" t="s">
        <v>6</v>
      </c>
      <c r="B154" s="4" t="s">
        <v>7</v>
      </c>
      <c r="C154" s="4" t="s">
        <v>8</v>
      </c>
      <c r="D154" s="17" t="s">
        <v>9</v>
      </c>
      <c r="E154" s="5" t="s">
        <v>10</v>
      </c>
      <c r="F154" s="6" t="s">
        <v>11</v>
      </c>
      <c r="G154" s="7" t="s">
        <v>12</v>
      </c>
    </row>
    <row r="155" spans="1:8" x14ac:dyDescent="0.25">
      <c r="A155" s="8">
        <v>-7</v>
      </c>
      <c r="B155" s="8">
        <v>-8</v>
      </c>
      <c r="C155" s="8">
        <v>-9</v>
      </c>
      <c r="D155" s="9">
        <v>-10</v>
      </c>
      <c r="E155" s="9">
        <v>-11</v>
      </c>
      <c r="F155" s="9">
        <v>-12</v>
      </c>
      <c r="G155" s="10">
        <v>-13</v>
      </c>
      <c r="H155" s="11"/>
    </row>
    <row r="156" spans="1:8" ht="26.4" x14ac:dyDescent="0.25">
      <c r="A156" s="12">
        <v>1</v>
      </c>
      <c r="B156" s="12" t="str">
        <f>'[1]Lamp. 42'!G129</f>
        <v>18 Februari 2025</v>
      </c>
      <c r="C156" s="12" t="str">
        <f>'[1]Lamp. 42'!E129</f>
        <v>Perpanjangan STNK</v>
      </c>
      <c r="D156" s="18">
        <f>'[1]Lamp. 42'!H129</f>
        <v>91200</v>
      </c>
      <c r="E156" s="13" t="s">
        <v>14</v>
      </c>
      <c r="F156" s="13"/>
      <c r="G156" s="14"/>
    </row>
    <row r="158" spans="1:8" x14ac:dyDescent="0.25">
      <c r="A158" s="60" t="s">
        <v>0</v>
      </c>
      <c r="B158" s="61"/>
      <c r="C158" s="61"/>
      <c r="D158" s="61"/>
      <c r="E158" s="61"/>
      <c r="F158" s="61"/>
      <c r="G158" s="61"/>
      <c r="H158" s="62"/>
    </row>
    <row r="159" spans="1:8" x14ac:dyDescent="0.25">
      <c r="A159" s="59"/>
      <c r="B159" s="59"/>
      <c r="C159" s="59"/>
      <c r="D159" s="59"/>
      <c r="E159" s="59"/>
      <c r="F159" s="63" t="s">
        <v>1</v>
      </c>
      <c r="G159" s="63"/>
    </row>
    <row r="160" spans="1:8" x14ac:dyDescent="0.25">
      <c r="A160" s="57" t="s">
        <v>2</v>
      </c>
      <c r="B160" s="58"/>
      <c r="C160" s="58"/>
      <c r="D160" s="58"/>
      <c r="E160" s="2">
        <v>-2</v>
      </c>
      <c r="F160" s="59"/>
      <c r="G160" s="59"/>
    </row>
    <row r="161" spans="1:8" x14ac:dyDescent="0.25">
      <c r="A161" s="57" t="s">
        <v>13</v>
      </c>
      <c r="B161" s="58"/>
      <c r="C161" s="58"/>
      <c r="D161" s="58"/>
      <c r="E161" s="2">
        <v>-3</v>
      </c>
      <c r="F161" s="59"/>
      <c r="G161" s="59"/>
    </row>
    <row r="162" spans="1:8" x14ac:dyDescent="0.25">
      <c r="A162" s="58" t="s">
        <v>3</v>
      </c>
      <c r="B162" s="58"/>
      <c r="C162" s="58"/>
      <c r="D162" s="58"/>
      <c r="E162" s="2">
        <v>-4</v>
      </c>
      <c r="F162" s="59"/>
      <c r="G162" s="59"/>
    </row>
    <row r="163" spans="1:8" x14ac:dyDescent="0.25">
      <c r="A163" s="58" t="s">
        <v>4</v>
      </c>
      <c r="B163" s="58"/>
      <c r="C163" s="58"/>
      <c r="D163" s="58"/>
      <c r="E163" s="2">
        <v>-5</v>
      </c>
      <c r="F163" s="59" t="str">
        <f>'[1]Lamp. 42'!D130</f>
        <v>ED 2028 WB</v>
      </c>
      <c r="G163" s="59"/>
    </row>
    <row r="164" spans="1:8" x14ac:dyDescent="0.25">
      <c r="A164" s="58" t="s">
        <v>5</v>
      </c>
      <c r="B164" s="58"/>
      <c r="C164" s="58"/>
      <c r="D164" s="58"/>
      <c r="E164" s="2">
        <v>-6</v>
      </c>
      <c r="F164" s="59"/>
      <c r="G164" s="59"/>
    </row>
    <row r="165" spans="1:8" ht="24" x14ac:dyDescent="0.25">
      <c r="A165" s="3" t="s">
        <v>6</v>
      </c>
      <c r="B165" s="4" t="s">
        <v>7</v>
      </c>
      <c r="C165" s="4" t="s">
        <v>8</v>
      </c>
      <c r="D165" s="17" t="s">
        <v>9</v>
      </c>
      <c r="E165" s="5" t="s">
        <v>10</v>
      </c>
      <c r="F165" s="6" t="s">
        <v>11</v>
      </c>
      <c r="G165" s="7" t="s">
        <v>12</v>
      </c>
    </row>
    <row r="166" spans="1:8" x14ac:dyDescent="0.25">
      <c r="A166" s="8">
        <v>-7</v>
      </c>
      <c r="B166" s="8">
        <v>-8</v>
      </c>
      <c r="C166" s="8">
        <v>-9</v>
      </c>
      <c r="D166" s="9">
        <v>-10</v>
      </c>
      <c r="E166" s="9">
        <v>-11</v>
      </c>
      <c r="F166" s="9">
        <v>-12</v>
      </c>
      <c r="G166" s="10">
        <v>-13</v>
      </c>
      <c r="H166" s="11"/>
    </row>
    <row r="167" spans="1:8" ht="26.4" x14ac:dyDescent="0.25">
      <c r="A167" s="12">
        <v>1</v>
      </c>
      <c r="B167" s="12" t="str">
        <f>'[1]Lamp. 42'!G130</f>
        <v>18 Februari 2025</v>
      </c>
      <c r="C167" s="12" t="str">
        <f>'[1]Lamp. 42'!E130</f>
        <v>Perpanjangan STNK</v>
      </c>
      <c r="D167" s="18">
        <f>'[1]Lamp. 42'!H130</f>
        <v>115600</v>
      </c>
      <c r="E167" s="13" t="s">
        <v>14</v>
      </c>
      <c r="F167" s="13"/>
      <c r="G167" s="14"/>
    </row>
    <row r="169" spans="1:8" x14ac:dyDescent="0.25">
      <c r="A169" s="60" t="s">
        <v>0</v>
      </c>
      <c r="B169" s="61"/>
      <c r="C169" s="61"/>
      <c r="D169" s="61"/>
      <c r="E169" s="61"/>
      <c r="F169" s="61"/>
      <c r="G169" s="61"/>
      <c r="H169" s="62"/>
    </row>
    <row r="170" spans="1:8" x14ac:dyDescent="0.25">
      <c r="A170" s="59"/>
      <c r="B170" s="59"/>
      <c r="C170" s="59"/>
      <c r="D170" s="59"/>
      <c r="E170" s="59"/>
      <c r="F170" s="63" t="s">
        <v>1</v>
      </c>
      <c r="G170" s="63"/>
    </row>
    <row r="171" spans="1:8" x14ac:dyDescent="0.25">
      <c r="A171" s="57" t="s">
        <v>2</v>
      </c>
      <c r="B171" s="58"/>
      <c r="C171" s="58"/>
      <c r="D171" s="58"/>
      <c r="E171" s="2">
        <v>-2</v>
      </c>
      <c r="F171" s="59"/>
      <c r="G171" s="59"/>
    </row>
    <row r="172" spans="1:8" x14ac:dyDescent="0.25">
      <c r="A172" s="57" t="s">
        <v>13</v>
      </c>
      <c r="B172" s="58"/>
      <c r="C172" s="58"/>
      <c r="D172" s="58"/>
      <c r="E172" s="2">
        <v>-3</v>
      </c>
      <c r="F172" s="59"/>
      <c r="G172" s="59"/>
    </row>
    <row r="173" spans="1:8" x14ac:dyDescent="0.25">
      <c r="A173" s="58" t="s">
        <v>3</v>
      </c>
      <c r="B173" s="58"/>
      <c r="C173" s="58"/>
      <c r="D173" s="58"/>
      <c r="E173" s="2">
        <v>-4</v>
      </c>
      <c r="F173" s="59"/>
      <c r="G173" s="59"/>
    </row>
    <row r="174" spans="1:8" x14ac:dyDescent="0.25">
      <c r="A174" s="58" t="s">
        <v>4</v>
      </c>
      <c r="B174" s="58"/>
      <c r="C174" s="58"/>
      <c r="D174" s="58"/>
      <c r="E174" s="2">
        <v>-5</v>
      </c>
      <c r="F174" s="59" t="str">
        <f>'[1]Lamp. 42'!D131</f>
        <v>ED 2905 WB</v>
      </c>
      <c r="G174" s="59"/>
    </row>
    <row r="175" spans="1:8" x14ac:dyDescent="0.25">
      <c r="A175" s="58" t="s">
        <v>5</v>
      </c>
      <c r="B175" s="58"/>
      <c r="C175" s="58"/>
      <c r="D175" s="58"/>
      <c r="E175" s="2">
        <v>-6</v>
      </c>
      <c r="F175" s="59"/>
      <c r="G175" s="59"/>
    </row>
    <row r="176" spans="1:8" ht="24" x14ac:dyDescent="0.25">
      <c r="A176" s="3" t="s">
        <v>6</v>
      </c>
      <c r="B176" s="4" t="s">
        <v>7</v>
      </c>
      <c r="C176" s="4" t="s">
        <v>8</v>
      </c>
      <c r="D176" s="17" t="s">
        <v>9</v>
      </c>
      <c r="E176" s="5" t="s">
        <v>10</v>
      </c>
      <c r="F176" s="6" t="s">
        <v>11</v>
      </c>
      <c r="G176" s="7" t="s">
        <v>12</v>
      </c>
    </row>
    <row r="177" spans="1:8" x14ac:dyDescent="0.25">
      <c r="A177" s="8">
        <v>-7</v>
      </c>
      <c r="B177" s="8">
        <v>-8</v>
      </c>
      <c r="C177" s="8">
        <v>-9</v>
      </c>
      <c r="D177" s="9">
        <v>-10</v>
      </c>
      <c r="E177" s="9">
        <v>-11</v>
      </c>
      <c r="F177" s="9">
        <v>-12</v>
      </c>
      <c r="G177" s="10">
        <v>-13</v>
      </c>
      <c r="H177" s="11"/>
    </row>
    <row r="178" spans="1:8" ht="26.4" x14ac:dyDescent="0.25">
      <c r="A178" s="12">
        <v>1</v>
      </c>
      <c r="B178" s="12" t="str">
        <f>'[1]Lamp. 42'!G131</f>
        <v>18 Februari 2025</v>
      </c>
      <c r="C178" s="12" t="str">
        <f>'[1]Lamp. 42'!E131</f>
        <v>Perpanjangan STNK</v>
      </c>
      <c r="D178" s="18">
        <f>'[1]Lamp. 42'!H131</f>
        <v>99900</v>
      </c>
      <c r="E178" s="13" t="s">
        <v>14</v>
      </c>
      <c r="F178" s="13"/>
      <c r="G178" s="14"/>
    </row>
    <row r="180" spans="1:8" x14ac:dyDescent="0.25">
      <c r="A180" s="60" t="s">
        <v>0</v>
      </c>
      <c r="B180" s="61"/>
      <c r="C180" s="61"/>
      <c r="D180" s="61"/>
      <c r="E180" s="61"/>
      <c r="F180" s="61"/>
      <c r="G180" s="61"/>
      <c r="H180" s="62"/>
    </row>
    <row r="181" spans="1:8" x14ac:dyDescent="0.25">
      <c r="A181" s="59"/>
      <c r="B181" s="59"/>
      <c r="C181" s="59"/>
      <c r="D181" s="59"/>
      <c r="E181" s="59"/>
      <c r="F181" s="63" t="s">
        <v>1</v>
      </c>
      <c r="G181" s="63"/>
    </row>
    <row r="182" spans="1:8" x14ac:dyDescent="0.25">
      <c r="A182" s="57" t="s">
        <v>2</v>
      </c>
      <c r="B182" s="58"/>
      <c r="C182" s="58"/>
      <c r="D182" s="58"/>
      <c r="E182" s="2">
        <v>-2</v>
      </c>
      <c r="F182" s="59"/>
      <c r="G182" s="59"/>
    </row>
    <row r="183" spans="1:8" x14ac:dyDescent="0.25">
      <c r="A183" s="57" t="s">
        <v>13</v>
      </c>
      <c r="B183" s="58"/>
      <c r="C183" s="58"/>
      <c r="D183" s="58"/>
      <c r="E183" s="2">
        <v>-3</v>
      </c>
      <c r="F183" s="59"/>
      <c r="G183" s="59"/>
    </row>
    <row r="184" spans="1:8" x14ac:dyDescent="0.25">
      <c r="A184" s="58" t="s">
        <v>3</v>
      </c>
      <c r="B184" s="58"/>
      <c r="C184" s="58"/>
      <c r="D184" s="58"/>
      <c r="E184" s="2">
        <v>-4</v>
      </c>
      <c r="F184" s="59"/>
      <c r="G184" s="59"/>
    </row>
    <row r="185" spans="1:8" x14ac:dyDescent="0.25">
      <c r="A185" s="58" t="s">
        <v>4</v>
      </c>
      <c r="B185" s="58"/>
      <c r="C185" s="58"/>
      <c r="D185" s="58"/>
      <c r="E185" s="2">
        <v>-5</v>
      </c>
      <c r="F185" s="59" t="str">
        <f>'[1]Lamp. 42'!D132</f>
        <v>ED 2759 WB</v>
      </c>
      <c r="G185" s="59"/>
    </row>
    <row r="186" spans="1:8" x14ac:dyDescent="0.25">
      <c r="A186" s="58" t="s">
        <v>5</v>
      </c>
      <c r="B186" s="58"/>
      <c r="C186" s="58"/>
      <c r="D186" s="58"/>
      <c r="E186" s="2">
        <v>-6</v>
      </c>
      <c r="F186" s="59"/>
      <c r="G186" s="59"/>
    </row>
    <row r="187" spans="1:8" ht="24" x14ac:dyDescent="0.25">
      <c r="A187" s="3" t="s">
        <v>6</v>
      </c>
      <c r="B187" s="4" t="s">
        <v>7</v>
      </c>
      <c r="C187" s="4" t="s">
        <v>8</v>
      </c>
      <c r="D187" s="17" t="s">
        <v>9</v>
      </c>
      <c r="E187" s="5" t="s">
        <v>10</v>
      </c>
      <c r="F187" s="6" t="s">
        <v>11</v>
      </c>
      <c r="G187" s="7" t="s">
        <v>12</v>
      </c>
    </row>
    <row r="188" spans="1:8" x14ac:dyDescent="0.25">
      <c r="A188" s="8">
        <v>-7</v>
      </c>
      <c r="B188" s="8">
        <v>-8</v>
      </c>
      <c r="C188" s="8">
        <v>-9</v>
      </c>
      <c r="D188" s="9">
        <v>-10</v>
      </c>
      <c r="E188" s="9">
        <v>-11</v>
      </c>
      <c r="F188" s="9">
        <v>-12</v>
      </c>
      <c r="G188" s="10">
        <v>-13</v>
      </c>
      <c r="H188" s="11"/>
    </row>
    <row r="189" spans="1:8" ht="26.4" x14ac:dyDescent="0.25">
      <c r="A189" s="12">
        <v>1</v>
      </c>
      <c r="B189" s="12" t="str">
        <f>'[1]Lamp. 42'!G132</f>
        <v>18 Februari 2025</v>
      </c>
      <c r="C189" s="12" t="str">
        <f>'[1]Lamp. 42'!E132</f>
        <v>Perpanjangan STNK</v>
      </c>
      <c r="D189" s="18">
        <f>'[1]Lamp. 42'!H132</f>
        <v>101700</v>
      </c>
      <c r="E189" s="13" t="s">
        <v>14</v>
      </c>
      <c r="F189" s="13"/>
      <c r="G189" s="14"/>
    </row>
    <row r="191" spans="1:8" x14ac:dyDescent="0.25">
      <c r="A191" s="60" t="s">
        <v>0</v>
      </c>
      <c r="B191" s="61"/>
      <c r="C191" s="61"/>
      <c r="D191" s="61"/>
      <c r="E191" s="61"/>
      <c r="F191" s="61"/>
      <c r="G191" s="61"/>
      <c r="H191" s="62"/>
    </row>
    <row r="192" spans="1:8" x14ac:dyDescent="0.25">
      <c r="A192" s="59"/>
      <c r="B192" s="59"/>
      <c r="C192" s="59"/>
      <c r="D192" s="59"/>
      <c r="E192" s="59"/>
      <c r="F192" s="63" t="s">
        <v>1</v>
      </c>
      <c r="G192" s="63"/>
    </row>
    <row r="193" spans="1:8" x14ac:dyDescent="0.25">
      <c r="A193" s="57" t="s">
        <v>2</v>
      </c>
      <c r="B193" s="58"/>
      <c r="C193" s="58"/>
      <c r="D193" s="58"/>
      <c r="E193" s="2">
        <v>-2</v>
      </c>
      <c r="F193" s="59"/>
      <c r="G193" s="59"/>
    </row>
    <row r="194" spans="1:8" x14ac:dyDescent="0.25">
      <c r="A194" s="57" t="s">
        <v>13</v>
      </c>
      <c r="B194" s="58"/>
      <c r="C194" s="58"/>
      <c r="D194" s="58"/>
      <c r="E194" s="2">
        <v>-3</v>
      </c>
      <c r="F194" s="59"/>
      <c r="G194" s="59"/>
    </row>
    <row r="195" spans="1:8" x14ac:dyDescent="0.25">
      <c r="A195" s="58" t="s">
        <v>3</v>
      </c>
      <c r="B195" s="58"/>
      <c r="C195" s="58"/>
      <c r="D195" s="58"/>
      <c r="E195" s="2">
        <v>-4</v>
      </c>
      <c r="F195" s="59"/>
      <c r="G195" s="59"/>
    </row>
    <row r="196" spans="1:8" x14ac:dyDescent="0.25">
      <c r="A196" s="58" t="s">
        <v>4</v>
      </c>
      <c r="B196" s="58"/>
      <c r="C196" s="58"/>
      <c r="D196" s="58"/>
      <c r="E196" s="2">
        <v>-5</v>
      </c>
      <c r="F196" s="59" t="str">
        <f>'[1]Lamp. 42'!D133</f>
        <v>ED 2779 WB</v>
      </c>
      <c r="G196" s="59"/>
    </row>
    <row r="197" spans="1:8" x14ac:dyDescent="0.25">
      <c r="A197" s="58" t="s">
        <v>5</v>
      </c>
      <c r="B197" s="58"/>
      <c r="C197" s="58"/>
      <c r="D197" s="58"/>
      <c r="E197" s="2">
        <v>-6</v>
      </c>
      <c r="F197" s="59"/>
      <c r="G197" s="59"/>
    </row>
    <row r="198" spans="1:8" ht="24" x14ac:dyDescent="0.25">
      <c r="A198" s="3" t="s">
        <v>6</v>
      </c>
      <c r="B198" s="4" t="s">
        <v>7</v>
      </c>
      <c r="C198" s="4" t="s">
        <v>8</v>
      </c>
      <c r="D198" s="17" t="s">
        <v>9</v>
      </c>
      <c r="E198" s="5" t="s">
        <v>10</v>
      </c>
      <c r="F198" s="6" t="s">
        <v>11</v>
      </c>
      <c r="G198" s="7" t="s">
        <v>12</v>
      </c>
    </row>
    <row r="199" spans="1:8" x14ac:dyDescent="0.25">
      <c r="A199" s="8">
        <v>-7</v>
      </c>
      <c r="B199" s="8">
        <v>-8</v>
      </c>
      <c r="C199" s="8">
        <v>-9</v>
      </c>
      <c r="D199" s="9">
        <v>-10</v>
      </c>
      <c r="E199" s="9">
        <v>-11</v>
      </c>
      <c r="F199" s="9">
        <v>-12</v>
      </c>
      <c r="G199" s="10">
        <v>-13</v>
      </c>
      <c r="H199" s="11"/>
    </row>
    <row r="200" spans="1:8" ht="26.4" x14ac:dyDescent="0.25">
      <c r="A200" s="12">
        <v>1</v>
      </c>
      <c r="B200" s="12" t="str">
        <f>'[1]Lamp. 42'!G133</f>
        <v>18 Februari 2025</v>
      </c>
      <c r="C200" s="12" t="str">
        <f>'[1]Lamp. 42'!E133</f>
        <v>Perpanjangan STNK</v>
      </c>
      <c r="D200" s="18">
        <f>'[1]Lamp. 42'!H133</f>
        <v>129100</v>
      </c>
      <c r="E200" s="13" t="s">
        <v>14</v>
      </c>
      <c r="F200" s="13"/>
      <c r="G200" s="14"/>
    </row>
    <row r="202" spans="1:8" x14ac:dyDescent="0.25">
      <c r="A202" s="60" t="s">
        <v>0</v>
      </c>
      <c r="B202" s="61"/>
      <c r="C202" s="61"/>
      <c r="D202" s="61"/>
      <c r="E202" s="61"/>
      <c r="F202" s="61"/>
      <c r="G202" s="61"/>
      <c r="H202" s="62"/>
    </row>
    <row r="203" spans="1:8" x14ac:dyDescent="0.25">
      <c r="A203" s="59"/>
      <c r="B203" s="59"/>
      <c r="C203" s="59"/>
      <c r="D203" s="59"/>
      <c r="E203" s="59"/>
      <c r="F203" s="63" t="s">
        <v>1</v>
      </c>
      <c r="G203" s="63"/>
    </row>
    <row r="204" spans="1:8" x14ac:dyDescent="0.25">
      <c r="A204" s="57" t="s">
        <v>2</v>
      </c>
      <c r="B204" s="58"/>
      <c r="C204" s="58"/>
      <c r="D204" s="58"/>
      <c r="E204" s="2">
        <v>-2</v>
      </c>
      <c r="F204" s="59"/>
      <c r="G204" s="59"/>
    </row>
    <row r="205" spans="1:8" x14ac:dyDescent="0.25">
      <c r="A205" s="57" t="s">
        <v>13</v>
      </c>
      <c r="B205" s="58"/>
      <c r="C205" s="58"/>
      <c r="D205" s="58"/>
      <c r="E205" s="2">
        <v>-3</v>
      </c>
      <c r="F205" s="59"/>
      <c r="G205" s="59"/>
    </row>
    <row r="206" spans="1:8" x14ac:dyDescent="0.25">
      <c r="A206" s="58" t="s">
        <v>3</v>
      </c>
      <c r="B206" s="58"/>
      <c r="C206" s="58"/>
      <c r="D206" s="58"/>
      <c r="E206" s="2">
        <v>-4</v>
      </c>
      <c r="F206" s="59"/>
      <c r="G206" s="59"/>
    </row>
    <row r="207" spans="1:8" x14ac:dyDescent="0.25">
      <c r="A207" s="58" t="s">
        <v>4</v>
      </c>
      <c r="B207" s="58"/>
      <c r="C207" s="58"/>
      <c r="D207" s="58"/>
      <c r="E207" s="2">
        <v>-5</v>
      </c>
      <c r="F207" s="59" t="str">
        <f>'[1]Lamp. 42'!D134</f>
        <v>ED 2019 WB</v>
      </c>
      <c r="G207" s="59"/>
    </row>
    <row r="208" spans="1:8" x14ac:dyDescent="0.25">
      <c r="A208" s="58" t="s">
        <v>5</v>
      </c>
      <c r="B208" s="58"/>
      <c r="C208" s="58"/>
      <c r="D208" s="58"/>
      <c r="E208" s="2">
        <v>-6</v>
      </c>
      <c r="F208" s="59"/>
      <c r="G208" s="59"/>
    </row>
    <row r="209" spans="1:8" ht="24" x14ac:dyDescent="0.25">
      <c r="A209" s="3" t="s">
        <v>6</v>
      </c>
      <c r="B209" s="4" t="s">
        <v>7</v>
      </c>
      <c r="C209" s="4" t="s">
        <v>8</v>
      </c>
      <c r="D209" s="17" t="s">
        <v>9</v>
      </c>
      <c r="E209" s="5" t="s">
        <v>10</v>
      </c>
      <c r="F209" s="6" t="s">
        <v>11</v>
      </c>
      <c r="G209" s="7" t="s">
        <v>12</v>
      </c>
    </row>
    <row r="210" spans="1:8" x14ac:dyDescent="0.25">
      <c r="A210" s="8">
        <v>-7</v>
      </c>
      <c r="B210" s="8">
        <v>-8</v>
      </c>
      <c r="C210" s="8">
        <v>-9</v>
      </c>
      <c r="D210" s="9">
        <v>-10</v>
      </c>
      <c r="E210" s="9">
        <v>-11</v>
      </c>
      <c r="F210" s="9">
        <v>-12</v>
      </c>
      <c r="G210" s="10">
        <v>-13</v>
      </c>
      <c r="H210" s="11"/>
    </row>
    <row r="211" spans="1:8" ht="26.4" x14ac:dyDescent="0.25">
      <c r="A211" s="12">
        <v>1</v>
      </c>
      <c r="B211" s="12" t="str">
        <f>'[1]Lamp. 42'!G134</f>
        <v>18 Februari 2025</v>
      </c>
      <c r="C211" s="12" t="str">
        <f>'[1]Lamp. 42'!E134</f>
        <v>Perpanjangan STNK</v>
      </c>
      <c r="D211" s="18">
        <f>'[1]Lamp. 42'!H134</f>
        <v>123800</v>
      </c>
      <c r="E211" s="13" t="s">
        <v>14</v>
      </c>
      <c r="F211" s="13"/>
      <c r="G211" s="14"/>
    </row>
    <row r="213" spans="1:8" x14ac:dyDescent="0.25">
      <c r="A213" s="60" t="s">
        <v>0</v>
      </c>
      <c r="B213" s="61"/>
      <c r="C213" s="61"/>
      <c r="D213" s="61"/>
      <c r="E213" s="61"/>
      <c r="F213" s="61"/>
      <c r="G213" s="61"/>
      <c r="H213" s="62"/>
    </row>
    <row r="214" spans="1:8" x14ac:dyDescent="0.25">
      <c r="A214" s="59"/>
      <c r="B214" s="59"/>
      <c r="C214" s="59"/>
      <c r="D214" s="59"/>
      <c r="E214" s="59"/>
      <c r="F214" s="63" t="s">
        <v>1</v>
      </c>
      <c r="G214" s="63"/>
    </row>
    <row r="215" spans="1:8" x14ac:dyDescent="0.25">
      <c r="A215" s="57" t="s">
        <v>2</v>
      </c>
      <c r="B215" s="58"/>
      <c r="C215" s="58"/>
      <c r="D215" s="58"/>
      <c r="E215" s="2">
        <v>-2</v>
      </c>
      <c r="F215" s="59"/>
      <c r="G215" s="59"/>
    </row>
    <row r="216" spans="1:8" x14ac:dyDescent="0.25">
      <c r="A216" s="57" t="s">
        <v>13</v>
      </c>
      <c r="B216" s="58"/>
      <c r="C216" s="58"/>
      <c r="D216" s="58"/>
      <c r="E216" s="2">
        <v>-3</v>
      </c>
      <c r="F216" s="59"/>
      <c r="G216" s="59"/>
    </row>
    <row r="217" spans="1:8" x14ac:dyDescent="0.25">
      <c r="A217" s="58" t="s">
        <v>3</v>
      </c>
      <c r="B217" s="58"/>
      <c r="C217" s="58"/>
      <c r="D217" s="58"/>
      <c r="E217" s="2">
        <v>-4</v>
      </c>
      <c r="F217" s="59"/>
      <c r="G217" s="59"/>
    </row>
    <row r="218" spans="1:8" x14ac:dyDescent="0.25">
      <c r="A218" s="58" t="s">
        <v>4</v>
      </c>
      <c r="B218" s="58"/>
      <c r="C218" s="58"/>
      <c r="D218" s="58"/>
      <c r="E218" s="2">
        <v>-5</v>
      </c>
      <c r="F218" s="59" t="str">
        <f>'[1]Lamp. 42'!D135</f>
        <v>ED 2766 WB</v>
      </c>
      <c r="G218" s="59"/>
    </row>
    <row r="219" spans="1:8" x14ac:dyDescent="0.25">
      <c r="A219" s="58" t="s">
        <v>5</v>
      </c>
      <c r="B219" s="58"/>
      <c r="C219" s="58"/>
      <c r="D219" s="58"/>
      <c r="E219" s="2">
        <v>-6</v>
      </c>
      <c r="F219" s="59"/>
      <c r="G219" s="59"/>
    </row>
    <row r="220" spans="1:8" ht="24" x14ac:dyDescent="0.25">
      <c r="A220" s="3" t="s">
        <v>6</v>
      </c>
      <c r="B220" s="4" t="s">
        <v>7</v>
      </c>
      <c r="C220" s="4" t="s">
        <v>8</v>
      </c>
      <c r="D220" s="17" t="s">
        <v>9</v>
      </c>
      <c r="E220" s="5" t="s">
        <v>10</v>
      </c>
      <c r="F220" s="6" t="s">
        <v>11</v>
      </c>
      <c r="G220" s="7" t="s">
        <v>12</v>
      </c>
    </row>
    <row r="221" spans="1:8" x14ac:dyDescent="0.25">
      <c r="A221" s="8">
        <v>-7</v>
      </c>
      <c r="B221" s="8">
        <v>-8</v>
      </c>
      <c r="C221" s="8">
        <v>-9</v>
      </c>
      <c r="D221" s="9">
        <v>-10</v>
      </c>
      <c r="E221" s="9">
        <v>-11</v>
      </c>
      <c r="F221" s="9">
        <v>-12</v>
      </c>
      <c r="G221" s="10">
        <v>-13</v>
      </c>
      <c r="H221" s="11"/>
    </row>
    <row r="222" spans="1:8" ht="26.4" x14ac:dyDescent="0.25">
      <c r="A222" s="12">
        <v>1</v>
      </c>
      <c r="B222" s="12" t="str">
        <f>'[1]Lamp. 42'!G135</f>
        <v>18 Februari 2025</v>
      </c>
      <c r="C222" s="12" t="str">
        <f>'[1]Lamp. 42'!E135</f>
        <v>Perpanjangan STNK</v>
      </c>
      <c r="D222" s="18">
        <f>'[1]Lamp. 42'!H135</f>
        <v>119000</v>
      </c>
      <c r="E222" s="13" t="s">
        <v>14</v>
      </c>
      <c r="F222" s="13"/>
      <c r="G222" s="14"/>
    </row>
    <row r="224" spans="1:8" x14ac:dyDescent="0.25">
      <c r="A224" s="60" t="s">
        <v>0</v>
      </c>
      <c r="B224" s="61"/>
      <c r="C224" s="61"/>
      <c r="D224" s="61"/>
      <c r="E224" s="61"/>
      <c r="F224" s="61"/>
      <c r="G224" s="61"/>
      <c r="H224" s="62"/>
    </row>
    <row r="225" spans="1:8" x14ac:dyDescent="0.25">
      <c r="A225" s="59"/>
      <c r="B225" s="59"/>
      <c r="C225" s="59"/>
      <c r="D225" s="59"/>
      <c r="E225" s="59"/>
      <c r="F225" s="63" t="s">
        <v>1</v>
      </c>
      <c r="G225" s="63"/>
    </row>
    <row r="226" spans="1:8" x14ac:dyDescent="0.25">
      <c r="A226" s="57" t="s">
        <v>2</v>
      </c>
      <c r="B226" s="58"/>
      <c r="C226" s="58"/>
      <c r="D226" s="58"/>
      <c r="E226" s="2">
        <v>-2</v>
      </c>
      <c r="F226" s="59"/>
      <c r="G226" s="59"/>
    </row>
    <row r="227" spans="1:8" x14ac:dyDescent="0.25">
      <c r="A227" s="57" t="s">
        <v>13</v>
      </c>
      <c r="B227" s="58"/>
      <c r="C227" s="58"/>
      <c r="D227" s="58"/>
      <c r="E227" s="2">
        <v>-3</v>
      </c>
      <c r="F227" s="59"/>
      <c r="G227" s="59"/>
    </row>
    <row r="228" spans="1:8" x14ac:dyDescent="0.25">
      <c r="A228" s="58" t="s">
        <v>3</v>
      </c>
      <c r="B228" s="58"/>
      <c r="C228" s="58"/>
      <c r="D228" s="58"/>
      <c r="E228" s="2">
        <v>-4</v>
      </c>
      <c r="F228" s="59"/>
      <c r="G228" s="59"/>
    </row>
    <row r="229" spans="1:8" x14ac:dyDescent="0.25">
      <c r="A229" s="58" t="s">
        <v>4</v>
      </c>
      <c r="B229" s="58"/>
      <c r="C229" s="58"/>
      <c r="D229" s="58"/>
      <c r="E229" s="2">
        <v>-5</v>
      </c>
      <c r="F229" s="59" t="str">
        <f>'[1]Lamp. 42'!D136</f>
        <v>ED 2215 WB</v>
      </c>
      <c r="G229" s="59"/>
    </row>
    <row r="230" spans="1:8" x14ac:dyDescent="0.25">
      <c r="A230" s="58" t="s">
        <v>5</v>
      </c>
      <c r="B230" s="58"/>
      <c r="C230" s="58"/>
      <c r="D230" s="58"/>
      <c r="E230" s="2">
        <v>-6</v>
      </c>
      <c r="F230" s="59"/>
      <c r="G230" s="59"/>
    </row>
    <row r="231" spans="1:8" ht="24" x14ac:dyDescent="0.25">
      <c r="A231" s="3" t="s">
        <v>6</v>
      </c>
      <c r="B231" s="4" t="s">
        <v>7</v>
      </c>
      <c r="C231" s="4" t="s">
        <v>8</v>
      </c>
      <c r="D231" s="17" t="s">
        <v>9</v>
      </c>
      <c r="E231" s="5" t="s">
        <v>10</v>
      </c>
      <c r="F231" s="6" t="s">
        <v>11</v>
      </c>
      <c r="G231" s="7" t="s">
        <v>12</v>
      </c>
    </row>
    <row r="232" spans="1:8" x14ac:dyDescent="0.25">
      <c r="A232" s="8">
        <v>-7</v>
      </c>
      <c r="B232" s="8">
        <v>-8</v>
      </c>
      <c r="C232" s="8">
        <v>-9</v>
      </c>
      <c r="D232" s="9">
        <v>-10</v>
      </c>
      <c r="E232" s="9">
        <v>-11</v>
      </c>
      <c r="F232" s="9">
        <v>-12</v>
      </c>
      <c r="G232" s="10">
        <v>-13</v>
      </c>
      <c r="H232" s="11"/>
    </row>
    <row r="233" spans="1:8" ht="26.4" x14ac:dyDescent="0.25">
      <c r="A233" s="12">
        <v>1</v>
      </c>
      <c r="B233" s="12" t="str">
        <f>'[1]Lamp. 42'!G136</f>
        <v>18 Februari 2025</v>
      </c>
      <c r="C233" s="12" t="str">
        <f>'[1]Lamp. 42'!E136</f>
        <v>Perpanjangan STNK</v>
      </c>
      <c r="D233" s="18">
        <f>'[1]Lamp. 42'!H136</f>
        <v>91200</v>
      </c>
      <c r="E233" s="13" t="s">
        <v>14</v>
      </c>
      <c r="F233" s="13"/>
      <c r="G233" s="14"/>
    </row>
    <row r="235" spans="1:8" x14ac:dyDescent="0.25">
      <c r="A235" s="60" t="s">
        <v>0</v>
      </c>
      <c r="B235" s="61"/>
      <c r="C235" s="61"/>
      <c r="D235" s="61"/>
      <c r="E235" s="61"/>
      <c r="F235" s="61"/>
      <c r="G235" s="61"/>
      <c r="H235" s="62"/>
    </row>
    <row r="236" spans="1:8" x14ac:dyDescent="0.25">
      <c r="A236" s="59"/>
      <c r="B236" s="59"/>
      <c r="C236" s="59"/>
      <c r="D236" s="59"/>
      <c r="E236" s="59"/>
      <c r="F236" s="63" t="s">
        <v>1</v>
      </c>
      <c r="G236" s="63"/>
    </row>
    <row r="237" spans="1:8" x14ac:dyDescent="0.25">
      <c r="A237" s="57" t="s">
        <v>2</v>
      </c>
      <c r="B237" s="58"/>
      <c r="C237" s="58"/>
      <c r="D237" s="58"/>
      <c r="E237" s="2">
        <v>-2</v>
      </c>
      <c r="F237" s="59"/>
      <c r="G237" s="59"/>
    </row>
    <row r="238" spans="1:8" x14ac:dyDescent="0.25">
      <c r="A238" s="57" t="s">
        <v>13</v>
      </c>
      <c r="B238" s="58"/>
      <c r="C238" s="58"/>
      <c r="D238" s="58"/>
      <c r="E238" s="2">
        <v>-3</v>
      </c>
      <c r="F238" s="59"/>
      <c r="G238" s="59"/>
    </row>
    <row r="239" spans="1:8" x14ac:dyDescent="0.25">
      <c r="A239" s="58" t="s">
        <v>3</v>
      </c>
      <c r="B239" s="58"/>
      <c r="C239" s="58"/>
      <c r="D239" s="58"/>
      <c r="E239" s="2">
        <v>-4</v>
      </c>
      <c r="F239" s="59"/>
      <c r="G239" s="59"/>
    </row>
    <row r="240" spans="1:8" x14ac:dyDescent="0.25">
      <c r="A240" s="58" t="s">
        <v>4</v>
      </c>
      <c r="B240" s="58"/>
      <c r="C240" s="58"/>
      <c r="D240" s="58"/>
      <c r="E240" s="2">
        <v>-5</v>
      </c>
      <c r="F240" s="59" t="str">
        <f>'[1]Lamp. 42'!D137</f>
        <v>ED 2214 WB</v>
      </c>
      <c r="G240" s="59"/>
    </row>
    <row r="241" spans="1:8" x14ac:dyDescent="0.25">
      <c r="A241" s="58" t="s">
        <v>5</v>
      </c>
      <c r="B241" s="58"/>
      <c r="C241" s="58"/>
      <c r="D241" s="58"/>
      <c r="E241" s="2">
        <v>-6</v>
      </c>
      <c r="F241" s="59"/>
      <c r="G241" s="59"/>
    </row>
    <row r="242" spans="1:8" ht="24" x14ac:dyDescent="0.25">
      <c r="A242" s="3" t="s">
        <v>6</v>
      </c>
      <c r="B242" s="4" t="s">
        <v>7</v>
      </c>
      <c r="C242" s="4" t="s">
        <v>8</v>
      </c>
      <c r="D242" s="17" t="s">
        <v>9</v>
      </c>
      <c r="E242" s="5" t="s">
        <v>10</v>
      </c>
      <c r="F242" s="6" t="s">
        <v>11</v>
      </c>
      <c r="G242" s="7" t="s">
        <v>12</v>
      </c>
    </row>
    <row r="243" spans="1:8" x14ac:dyDescent="0.25">
      <c r="A243" s="8">
        <v>-7</v>
      </c>
      <c r="B243" s="8">
        <v>-8</v>
      </c>
      <c r="C243" s="8">
        <v>-9</v>
      </c>
      <c r="D243" s="9">
        <v>-10</v>
      </c>
      <c r="E243" s="9">
        <v>-11</v>
      </c>
      <c r="F243" s="9">
        <v>-12</v>
      </c>
      <c r="G243" s="10">
        <v>-13</v>
      </c>
      <c r="H243" s="11"/>
    </row>
    <row r="244" spans="1:8" ht="26.4" x14ac:dyDescent="0.25">
      <c r="A244" s="12">
        <v>1</v>
      </c>
      <c r="B244" s="12" t="str">
        <f>'[1]Lamp. 42'!G137</f>
        <v>18 Februari 2025</v>
      </c>
      <c r="C244" s="12" t="str">
        <f>'[1]Lamp. 42'!E137</f>
        <v>Perpanjangan STNK</v>
      </c>
      <c r="D244" s="18">
        <f>'[1]Lamp. 42'!H137</f>
        <v>91200</v>
      </c>
      <c r="E244" s="13" t="s">
        <v>14</v>
      </c>
      <c r="F244" s="13"/>
      <c r="G244" s="14"/>
    </row>
    <row r="246" spans="1:8" x14ac:dyDescent="0.25">
      <c r="A246" s="60" t="s">
        <v>0</v>
      </c>
      <c r="B246" s="61"/>
      <c r="C246" s="61"/>
      <c r="D246" s="61"/>
      <c r="E246" s="61"/>
      <c r="F246" s="61"/>
      <c r="G246" s="61"/>
      <c r="H246" s="62"/>
    </row>
    <row r="247" spans="1:8" x14ac:dyDescent="0.25">
      <c r="A247" s="59"/>
      <c r="B247" s="59"/>
      <c r="C247" s="59"/>
      <c r="D247" s="59"/>
      <c r="E247" s="59"/>
      <c r="F247" s="63" t="s">
        <v>1</v>
      </c>
      <c r="G247" s="63"/>
    </row>
    <row r="248" spans="1:8" x14ac:dyDescent="0.25">
      <c r="A248" s="57" t="s">
        <v>2</v>
      </c>
      <c r="B248" s="58"/>
      <c r="C248" s="58"/>
      <c r="D248" s="58"/>
      <c r="E248" s="2">
        <v>-2</v>
      </c>
      <c r="F248" s="59"/>
      <c r="G248" s="59"/>
    </row>
    <row r="249" spans="1:8" x14ac:dyDescent="0.25">
      <c r="A249" s="57" t="s">
        <v>13</v>
      </c>
      <c r="B249" s="58"/>
      <c r="C249" s="58"/>
      <c r="D249" s="58"/>
      <c r="E249" s="2">
        <v>-3</v>
      </c>
      <c r="F249" s="59"/>
      <c r="G249" s="59"/>
    </row>
    <row r="250" spans="1:8" x14ac:dyDescent="0.25">
      <c r="A250" s="58" t="s">
        <v>3</v>
      </c>
      <c r="B250" s="58"/>
      <c r="C250" s="58"/>
      <c r="D250" s="58"/>
      <c r="E250" s="2">
        <v>-4</v>
      </c>
      <c r="F250" s="59"/>
      <c r="G250" s="59"/>
    </row>
    <row r="251" spans="1:8" x14ac:dyDescent="0.25">
      <c r="A251" s="58" t="s">
        <v>4</v>
      </c>
      <c r="B251" s="58"/>
      <c r="C251" s="58"/>
      <c r="D251" s="58"/>
      <c r="E251" s="2">
        <v>-5</v>
      </c>
      <c r="F251" s="59" t="str">
        <f>'[1]Lamp. 42'!D138</f>
        <v>ED 2218 WB</v>
      </c>
      <c r="G251" s="59"/>
    </row>
    <row r="252" spans="1:8" x14ac:dyDescent="0.25">
      <c r="A252" s="58" t="s">
        <v>5</v>
      </c>
      <c r="B252" s="58"/>
      <c r="C252" s="58"/>
      <c r="D252" s="58"/>
      <c r="E252" s="2">
        <v>-6</v>
      </c>
      <c r="F252" s="59"/>
      <c r="G252" s="59"/>
    </row>
    <row r="253" spans="1:8" ht="24" x14ac:dyDescent="0.25">
      <c r="A253" s="3" t="s">
        <v>6</v>
      </c>
      <c r="B253" s="4" t="s">
        <v>7</v>
      </c>
      <c r="C253" s="4" t="s">
        <v>8</v>
      </c>
      <c r="D253" s="17" t="s">
        <v>9</v>
      </c>
      <c r="E253" s="5" t="s">
        <v>10</v>
      </c>
      <c r="F253" s="6" t="s">
        <v>11</v>
      </c>
      <c r="G253" s="7" t="s">
        <v>12</v>
      </c>
    </row>
    <row r="254" spans="1:8" x14ac:dyDescent="0.25">
      <c r="A254" s="8">
        <v>-7</v>
      </c>
      <c r="B254" s="8">
        <v>-8</v>
      </c>
      <c r="C254" s="8">
        <v>-9</v>
      </c>
      <c r="D254" s="9">
        <v>-10</v>
      </c>
      <c r="E254" s="9">
        <v>-11</v>
      </c>
      <c r="F254" s="9">
        <v>-12</v>
      </c>
      <c r="G254" s="10">
        <v>-13</v>
      </c>
      <c r="H254" s="11"/>
    </row>
    <row r="255" spans="1:8" ht="26.4" x14ac:dyDescent="0.25">
      <c r="A255" s="12">
        <v>1</v>
      </c>
      <c r="B255" s="12" t="str">
        <f>'[1]Lamp. 42'!G138</f>
        <v>18 Februari 2025</v>
      </c>
      <c r="C255" s="12" t="str">
        <f>'[1]Lamp. 42'!E138</f>
        <v>Perpanjangan STNK</v>
      </c>
      <c r="D255" s="18">
        <f>'[1]Lamp. 42'!H138</f>
        <v>60000</v>
      </c>
      <c r="E255" s="13" t="s">
        <v>14</v>
      </c>
      <c r="F255" s="13"/>
      <c r="G255" s="14"/>
    </row>
    <row r="257" spans="1:8" x14ac:dyDescent="0.25">
      <c r="A257" s="60" t="s">
        <v>0</v>
      </c>
      <c r="B257" s="61"/>
      <c r="C257" s="61"/>
      <c r="D257" s="61"/>
      <c r="E257" s="61"/>
      <c r="F257" s="61"/>
      <c r="G257" s="61"/>
      <c r="H257" s="62"/>
    </row>
    <row r="258" spans="1:8" x14ac:dyDescent="0.25">
      <c r="A258" s="59"/>
      <c r="B258" s="59"/>
      <c r="C258" s="59"/>
      <c r="D258" s="59"/>
      <c r="E258" s="59"/>
      <c r="F258" s="63" t="s">
        <v>1</v>
      </c>
      <c r="G258" s="63"/>
    </row>
    <row r="259" spans="1:8" x14ac:dyDescent="0.25">
      <c r="A259" s="57" t="s">
        <v>2</v>
      </c>
      <c r="B259" s="58"/>
      <c r="C259" s="58"/>
      <c r="D259" s="58"/>
      <c r="E259" s="2">
        <v>-2</v>
      </c>
      <c r="F259" s="59"/>
      <c r="G259" s="59"/>
    </row>
    <row r="260" spans="1:8" x14ac:dyDescent="0.25">
      <c r="A260" s="57" t="s">
        <v>13</v>
      </c>
      <c r="B260" s="58"/>
      <c r="C260" s="58"/>
      <c r="D260" s="58"/>
      <c r="E260" s="2">
        <v>-3</v>
      </c>
      <c r="F260" s="59"/>
      <c r="G260" s="59"/>
    </row>
    <row r="261" spans="1:8" x14ac:dyDescent="0.25">
      <c r="A261" s="58" t="s">
        <v>3</v>
      </c>
      <c r="B261" s="58"/>
      <c r="C261" s="58"/>
      <c r="D261" s="58"/>
      <c r="E261" s="2">
        <v>-4</v>
      </c>
      <c r="F261" s="59"/>
      <c r="G261" s="59"/>
    </row>
    <row r="262" spans="1:8" x14ac:dyDescent="0.25">
      <c r="A262" s="58" t="s">
        <v>4</v>
      </c>
      <c r="B262" s="58"/>
      <c r="C262" s="58"/>
      <c r="D262" s="58"/>
      <c r="E262" s="2">
        <v>-5</v>
      </c>
      <c r="F262" s="59" t="str">
        <f>'[1]Lamp. 42'!D139</f>
        <v>ED 2028 WB</v>
      </c>
      <c r="G262" s="59"/>
    </row>
    <row r="263" spans="1:8" x14ac:dyDescent="0.25">
      <c r="A263" s="58" t="s">
        <v>5</v>
      </c>
      <c r="B263" s="58"/>
      <c r="C263" s="58"/>
      <c r="D263" s="58"/>
      <c r="E263" s="2">
        <v>-6</v>
      </c>
      <c r="F263" s="59"/>
      <c r="G263" s="59"/>
    </row>
    <row r="264" spans="1:8" ht="24" x14ac:dyDescent="0.25">
      <c r="A264" s="3" t="s">
        <v>6</v>
      </c>
      <c r="B264" s="4" t="s">
        <v>7</v>
      </c>
      <c r="C264" s="4" t="s">
        <v>8</v>
      </c>
      <c r="D264" s="17" t="s">
        <v>9</v>
      </c>
      <c r="E264" s="5" t="s">
        <v>10</v>
      </c>
      <c r="F264" s="6" t="s">
        <v>11</v>
      </c>
      <c r="G264" s="7" t="s">
        <v>12</v>
      </c>
    </row>
    <row r="265" spans="1:8" x14ac:dyDescent="0.25">
      <c r="A265" s="8">
        <v>-7</v>
      </c>
      <c r="B265" s="8">
        <v>-8</v>
      </c>
      <c r="C265" s="8">
        <v>-9</v>
      </c>
      <c r="D265" s="9">
        <v>-10</v>
      </c>
      <c r="E265" s="9">
        <v>-11</v>
      </c>
      <c r="F265" s="9">
        <v>-12</v>
      </c>
      <c r="G265" s="10">
        <v>-13</v>
      </c>
      <c r="H265" s="11"/>
    </row>
    <row r="266" spans="1:8" ht="26.4" x14ac:dyDescent="0.25">
      <c r="A266" s="12">
        <v>1</v>
      </c>
      <c r="B266" s="12" t="str">
        <f>'[1]Lamp. 42'!G139</f>
        <v>18 Februari 2025</v>
      </c>
      <c r="C266" s="12" t="str">
        <f>'[1]Lamp. 42'!E139</f>
        <v>Perpanjangan STNK</v>
      </c>
      <c r="D266" s="18">
        <f>'[1]Lamp. 42'!H139</f>
        <v>60000</v>
      </c>
      <c r="E266" s="13" t="s">
        <v>14</v>
      </c>
      <c r="F266" s="13"/>
      <c r="G266" s="14"/>
    </row>
    <row r="268" spans="1:8" x14ac:dyDescent="0.25">
      <c r="A268" s="60" t="s">
        <v>0</v>
      </c>
      <c r="B268" s="61"/>
      <c r="C268" s="61"/>
      <c r="D268" s="61"/>
      <c r="E268" s="61"/>
      <c r="F268" s="61"/>
      <c r="G268" s="61"/>
      <c r="H268" s="62"/>
    </row>
    <row r="269" spans="1:8" x14ac:dyDescent="0.25">
      <c r="A269" s="59"/>
      <c r="B269" s="59"/>
      <c r="C269" s="59"/>
      <c r="D269" s="59"/>
      <c r="E269" s="59"/>
      <c r="F269" s="63" t="s">
        <v>1</v>
      </c>
      <c r="G269" s="63"/>
    </row>
    <row r="270" spans="1:8" x14ac:dyDescent="0.25">
      <c r="A270" s="57" t="s">
        <v>2</v>
      </c>
      <c r="B270" s="58"/>
      <c r="C270" s="58"/>
      <c r="D270" s="58"/>
      <c r="E270" s="2">
        <v>-2</v>
      </c>
      <c r="F270" s="59"/>
      <c r="G270" s="59"/>
    </row>
    <row r="271" spans="1:8" x14ac:dyDescent="0.25">
      <c r="A271" s="57" t="s">
        <v>13</v>
      </c>
      <c r="B271" s="58"/>
      <c r="C271" s="58"/>
      <c r="D271" s="58"/>
      <c r="E271" s="2">
        <v>-3</v>
      </c>
      <c r="F271" s="59"/>
      <c r="G271" s="59"/>
    </row>
    <row r="272" spans="1:8" x14ac:dyDescent="0.25">
      <c r="A272" s="58" t="s">
        <v>3</v>
      </c>
      <c r="B272" s="58"/>
      <c r="C272" s="58"/>
      <c r="D272" s="58"/>
      <c r="E272" s="2">
        <v>-4</v>
      </c>
      <c r="F272" s="59"/>
      <c r="G272" s="59"/>
    </row>
    <row r="273" spans="1:8" x14ac:dyDescent="0.25">
      <c r="A273" s="58" t="s">
        <v>4</v>
      </c>
      <c r="B273" s="58"/>
      <c r="C273" s="58"/>
      <c r="D273" s="58"/>
      <c r="E273" s="2">
        <v>-5</v>
      </c>
      <c r="F273" s="59" t="str">
        <f>'[1]Lamp. 42'!D140</f>
        <v>ED 2905 WB</v>
      </c>
      <c r="G273" s="59"/>
    </row>
    <row r="274" spans="1:8" x14ac:dyDescent="0.25">
      <c r="A274" s="58" t="s">
        <v>5</v>
      </c>
      <c r="B274" s="58"/>
      <c r="C274" s="58"/>
      <c r="D274" s="58"/>
      <c r="E274" s="2">
        <v>-6</v>
      </c>
      <c r="F274" s="59"/>
      <c r="G274" s="59"/>
    </row>
    <row r="275" spans="1:8" ht="24" x14ac:dyDescent="0.25">
      <c r="A275" s="3" t="s">
        <v>6</v>
      </c>
      <c r="B275" s="4" t="s">
        <v>7</v>
      </c>
      <c r="C275" s="4" t="s">
        <v>8</v>
      </c>
      <c r="D275" s="17" t="s">
        <v>9</v>
      </c>
      <c r="E275" s="5" t="s">
        <v>10</v>
      </c>
      <c r="F275" s="6" t="s">
        <v>11</v>
      </c>
      <c r="G275" s="7" t="s">
        <v>12</v>
      </c>
    </row>
    <row r="276" spans="1:8" x14ac:dyDescent="0.25">
      <c r="A276" s="8">
        <v>-7</v>
      </c>
      <c r="B276" s="8">
        <v>-8</v>
      </c>
      <c r="C276" s="8">
        <v>-9</v>
      </c>
      <c r="D276" s="9">
        <v>-10</v>
      </c>
      <c r="E276" s="9">
        <v>-11</v>
      </c>
      <c r="F276" s="9">
        <v>-12</v>
      </c>
      <c r="G276" s="10">
        <v>-13</v>
      </c>
      <c r="H276" s="11"/>
    </row>
    <row r="277" spans="1:8" ht="26.4" x14ac:dyDescent="0.25">
      <c r="A277" s="12">
        <v>1</v>
      </c>
      <c r="B277" s="12" t="str">
        <f>'[1]Lamp. 42'!G140</f>
        <v>18 Februari 2025</v>
      </c>
      <c r="C277" s="12" t="str">
        <f>'[1]Lamp. 42'!E140</f>
        <v>Perpanjangan STNK</v>
      </c>
      <c r="D277" s="18">
        <f>'[1]Lamp. 42'!H140</f>
        <v>60000</v>
      </c>
      <c r="E277" s="13" t="s">
        <v>14</v>
      </c>
      <c r="F277" s="13"/>
      <c r="G277" s="14"/>
    </row>
    <row r="279" spans="1:8" x14ac:dyDescent="0.25">
      <c r="A279" s="60" t="s">
        <v>0</v>
      </c>
      <c r="B279" s="61"/>
      <c r="C279" s="61"/>
      <c r="D279" s="61"/>
      <c r="E279" s="61"/>
      <c r="F279" s="61"/>
      <c r="G279" s="61"/>
      <c r="H279" s="62"/>
    </row>
    <row r="280" spans="1:8" ht="12.75" customHeight="1" x14ac:dyDescent="0.25">
      <c r="A280" s="59"/>
      <c r="B280" s="59"/>
      <c r="C280" s="59"/>
      <c r="D280" s="59"/>
      <c r="E280" s="59"/>
      <c r="F280" s="63" t="s">
        <v>1</v>
      </c>
      <c r="G280" s="63"/>
    </row>
    <row r="281" spans="1:8" x14ac:dyDescent="0.25">
      <c r="A281" s="57" t="s">
        <v>2</v>
      </c>
      <c r="B281" s="58"/>
      <c r="C281" s="58"/>
      <c r="D281" s="58"/>
      <c r="E281" s="2">
        <v>-2</v>
      </c>
      <c r="F281" s="59"/>
      <c r="G281" s="59"/>
    </row>
    <row r="282" spans="1:8" x14ac:dyDescent="0.25">
      <c r="A282" s="57" t="s">
        <v>13</v>
      </c>
      <c r="B282" s="58"/>
      <c r="C282" s="58"/>
      <c r="D282" s="58"/>
      <c r="E282" s="2">
        <v>-3</v>
      </c>
      <c r="F282" s="59"/>
      <c r="G282" s="59"/>
    </row>
    <row r="283" spans="1:8" x14ac:dyDescent="0.25">
      <c r="A283" s="58" t="s">
        <v>3</v>
      </c>
      <c r="B283" s="58"/>
      <c r="C283" s="58"/>
      <c r="D283" s="58"/>
      <c r="E283" s="2">
        <v>-4</v>
      </c>
      <c r="F283" s="59"/>
      <c r="G283" s="59"/>
    </row>
    <row r="284" spans="1:8" x14ac:dyDescent="0.25">
      <c r="A284" s="58" t="s">
        <v>4</v>
      </c>
      <c r="B284" s="58"/>
      <c r="C284" s="58"/>
      <c r="D284" s="58"/>
      <c r="E284" s="2">
        <v>-5</v>
      </c>
      <c r="F284" s="59" t="str">
        <f>'[1]Lamp. 42'!D141</f>
        <v>ED 2759 WB</v>
      </c>
      <c r="G284" s="59"/>
    </row>
    <row r="285" spans="1:8" x14ac:dyDescent="0.25">
      <c r="A285" s="58" t="s">
        <v>5</v>
      </c>
      <c r="B285" s="58"/>
      <c r="C285" s="58"/>
      <c r="D285" s="58"/>
      <c r="E285" s="2">
        <v>-6</v>
      </c>
      <c r="F285" s="59"/>
      <c r="G285" s="59"/>
    </row>
    <row r="286" spans="1:8" ht="24" x14ac:dyDescent="0.25">
      <c r="A286" s="3" t="s">
        <v>6</v>
      </c>
      <c r="B286" s="4" t="s">
        <v>7</v>
      </c>
      <c r="C286" s="4" t="s">
        <v>8</v>
      </c>
      <c r="D286" s="17" t="s">
        <v>9</v>
      </c>
      <c r="E286" s="5" t="s">
        <v>10</v>
      </c>
      <c r="F286" s="6" t="s">
        <v>11</v>
      </c>
      <c r="G286" s="7" t="s">
        <v>12</v>
      </c>
    </row>
    <row r="287" spans="1:8" x14ac:dyDescent="0.25">
      <c r="A287" s="8">
        <v>-7</v>
      </c>
      <c r="B287" s="8">
        <v>-8</v>
      </c>
      <c r="C287" s="8">
        <v>-9</v>
      </c>
      <c r="D287" s="9">
        <v>-10</v>
      </c>
      <c r="E287" s="9">
        <v>-11</v>
      </c>
      <c r="F287" s="9">
        <v>-12</v>
      </c>
      <c r="G287" s="10">
        <v>-13</v>
      </c>
      <c r="H287" s="11"/>
    </row>
    <row r="288" spans="1:8" ht="26.4" x14ac:dyDescent="0.25">
      <c r="A288" s="12">
        <v>1</v>
      </c>
      <c r="B288" s="12" t="str">
        <f>'[1]Lamp. 42'!G141</f>
        <v>18 Februari 2025</v>
      </c>
      <c r="C288" s="12" t="str">
        <f>'[1]Lamp. 42'!E141</f>
        <v>Perpanjangan STNK</v>
      </c>
      <c r="D288" s="18">
        <f>'[1]Lamp. 42'!H141</f>
        <v>60000</v>
      </c>
      <c r="E288" s="13" t="s">
        <v>14</v>
      </c>
      <c r="F288" s="13"/>
      <c r="G288" s="14"/>
    </row>
    <row r="291" spans="1:8" x14ac:dyDescent="0.25">
      <c r="A291" s="60" t="s">
        <v>0</v>
      </c>
      <c r="B291" s="61"/>
      <c r="C291" s="61"/>
      <c r="D291" s="61"/>
      <c r="E291" s="61"/>
      <c r="F291" s="61"/>
      <c r="G291" s="61"/>
      <c r="H291" s="62"/>
    </row>
    <row r="292" spans="1:8" ht="12.75" customHeight="1" x14ac:dyDescent="0.25">
      <c r="A292" s="59"/>
      <c r="B292" s="59"/>
      <c r="C292" s="59"/>
      <c r="D292" s="59"/>
      <c r="E292" s="59"/>
      <c r="F292" s="63" t="s">
        <v>1</v>
      </c>
      <c r="G292" s="63"/>
    </row>
    <row r="293" spans="1:8" x14ac:dyDescent="0.25">
      <c r="A293" s="57" t="s">
        <v>2</v>
      </c>
      <c r="B293" s="58"/>
      <c r="C293" s="58"/>
      <c r="D293" s="58"/>
      <c r="E293" s="2">
        <v>-2</v>
      </c>
      <c r="F293" s="59"/>
      <c r="G293" s="59"/>
    </row>
    <row r="294" spans="1:8" x14ac:dyDescent="0.25">
      <c r="A294" s="57" t="s">
        <v>13</v>
      </c>
      <c r="B294" s="58"/>
      <c r="C294" s="58"/>
      <c r="D294" s="58"/>
      <c r="E294" s="2">
        <v>-3</v>
      </c>
      <c r="F294" s="59"/>
      <c r="G294" s="59"/>
    </row>
    <row r="295" spans="1:8" x14ac:dyDescent="0.25">
      <c r="A295" s="58" t="s">
        <v>3</v>
      </c>
      <c r="B295" s="58"/>
      <c r="C295" s="58"/>
      <c r="D295" s="58"/>
      <c r="E295" s="2">
        <v>-4</v>
      </c>
      <c r="F295" s="59"/>
      <c r="G295" s="59"/>
    </row>
    <row r="296" spans="1:8" x14ac:dyDescent="0.25">
      <c r="A296" s="58" t="s">
        <v>4</v>
      </c>
      <c r="B296" s="58"/>
      <c r="C296" s="58"/>
      <c r="D296" s="58"/>
      <c r="E296" s="2">
        <v>-5</v>
      </c>
      <c r="F296" s="59" t="s">
        <v>169</v>
      </c>
      <c r="G296" s="59"/>
    </row>
    <row r="297" spans="1:8" x14ac:dyDescent="0.25">
      <c r="A297" s="58" t="s">
        <v>5</v>
      </c>
      <c r="B297" s="58"/>
      <c r="C297" s="58"/>
      <c r="D297" s="58"/>
      <c r="E297" s="2">
        <v>-6</v>
      </c>
      <c r="F297" s="59"/>
      <c r="G297" s="59"/>
    </row>
    <row r="298" spans="1:8" ht="24" x14ac:dyDescent="0.25">
      <c r="A298" s="3" t="s">
        <v>6</v>
      </c>
      <c r="B298" s="4" t="s">
        <v>7</v>
      </c>
      <c r="C298" s="4" t="s">
        <v>8</v>
      </c>
      <c r="D298" s="17" t="s">
        <v>9</v>
      </c>
      <c r="E298" s="5" t="s">
        <v>10</v>
      </c>
      <c r="F298" s="6" t="s">
        <v>11</v>
      </c>
      <c r="G298" s="7" t="s">
        <v>12</v>
      </c>
    </row>
    <row r="299" spans="1:8" x14ac:dyDescent="0.25">
      <c r="A299" s="8">
        <v>-7</v>
      </c>
      <c r="B299" s="8">
        <v>-8</v>
      </c>
      <c r="C299" s="8">
        <v>-9</v>
      </c>
      <c r="D299" s="9">
        <v>-10</v>
      </c>
      <c r="E299" s="9">
        <v>-11</v>
      </c>
      <c r="F299" s="9">
        <v>-12</v>
      </c>
      <c r="G299" s="10">
        <v>-13</v>
      </c>
      <c r="H299" s="11"/>
    </row>
    <row r="300" spans="1:8" ht="26.4" x14ac:dyDescent="0.25">
      <c r="A300" s="12">
        <v>1</v>
      </c>
      <c r="B300" s="12" t="s">
        <v>167</v>
      </c>
      <c r="C300" s="12" t="s">
        <v>16</v>
      </c>
      <c r="D300" s="18">
        <v>60000</v>
      </c>
      <c r="E300" s="13" t="s">
        <v>14</v>
      </c>
      <c r="F300" s="13"/>
      <c r="G300" s="14"/>
    </row>
    <row r="303" spans="1:8" x14ac:dyDescent="0.25">
      <c r="A303" s="60" t="s">
        <v>0</v>
      </c>
      <c r="B303" s="61"/>
      <c r="C303" s="61"/>
      <c r="D303" s="61"/>
      <c r="E303" s="61"/>
      <c r="F303" s="61"/>
      <c r="G303" s="61"/>
      <c r="H303" s="62"/>
    </row>
    <row r="304" spans="1:8" ht="12.75" customHeight="1" x14ac:dyDescent="0.25">
      <c r="A304" s="59"/>
      <c r="B304" s="59"/>
      <c r="C304" s="59"/>
      <c r="D304" s="59"/>
      <c r="E304" s="59"/>
      <c r="F304" s="63" t="s">
        <v>1</v>
      </c>
      <c r="G304" s="63"/>
    </row>
    <row r="305" spans="1:8" x14ac:dyDescent="0.25">
      <c r="A305" s="57" t="s">
        <v>2</v>
      </c>
      <c r="B305" s="58"/>
      <c r="C305" s="58"/>
      <c r="D305" s="58"/>
      <c r="E305" s="2">
        <v>-2</v>
      </c>
      <c r="F305" s="59"/>
      <c r="G305" s="59"/>
    </row>
    <row r="306" spans="1:8" x14ac:dyDescent="0.25">
      <c r="A306" s="57" t="s">
        <v>13</v>
      </c>
      <c r="B306" s="58"/>
      <c r="C306" s="58"/>
      <c r="D306" s="58"/>
      <c r="E306" s="2">
        <v>-3</v>
      </c>
      <c r="F306" s="59"/>
      <c r="G306" s="59"/>
    </row>
    <row r="307" spans="1:8" x14ac:dyDescent="0.25">
      <c r="A307" s="58" t="s">
        <v>3</v>
      </c>
      <c r="B307" s="58"/>
      <c r="C307" s="58"/>
      <c r="D307" s="58"/>
      <c r="E307" s="2">
        <v>-4</v>
      </c>
      <c r="F307" s="59"/>
      <c r="G307" s="59"/>
    </row>
    <row r="308" spans="1:8" x14ac:dyDescent="0.25">
      <c r="A308" s="58" t="s">
        <v>4</v>
      </c>
      <c r="B308" s="58"/>
      <c r="C308" s="58"/>
      <c r="D308" s="58"/>
      <c r="E308" s="2">
        <v>-5</v>
      </c>
      <c r="F308" s="59" t="s">
        <v>168</v>
      </c>
      <c r="G308" s="59"/>
    </row>
    <row r="309" spans="1:8" x14ac:dyDescent="0.25">
      <c r="A309" s="58" t="s">
        <v>5</v>
      </c>
      <c r="B309" s="58"/>
      <c r="C309" s="58"/>
      <c r="D309" s="58"/>
      <c r="E309" s="2">
        <v>-6</v>
      </c>
      <c r="F309" s="59"/>
      <c r="G309" s="59"/>
    </row>
    <row r="310" spans="1:8" ht="24" x14ac:dyDescent="0.25">
      <c r="A310" s="3" t="s">
        <v>6</v>
      </c>
      <c r="B310" s="4" t="s">
        <v>7</v>
      </c>
      <c r="C310" s="4" t="s">
        <v>8</v>
      </c>
      <c r="D310" s="17" t="s">
        <v>9</v>
      </c>
      <c r="E310" s="5" t="s">
        <v>10</v>
      </c>
      <c r="F310" s="6" t="s">
        <v>11</v>
      </c>
      <c r="G310" s="7" t="s">
        <v>12</v>
      </c>
    </row>
    <row r="311" spans="1:8" x14ac:dyDescent="0.25">
      <c r="A311" s="8">
        <v>-7</v>
      </c>
      <c r="B311" s="8">
        <v>-8</v>
      </c>
      <c r="C311" s="8">
        <v>-9</v>
      </c>
      <c r="D311" s="9">
        <v>-10</v>
      </c>
      <c r="E311" s="9">
        <v>-11</v>
      </c>
      <c r="F311" s="9">
        <v>-12</v>
      </c>
      <c r="G311" s="10">
        <v>-13</v>
      </c>
      <c r="H311" s="11"/>
    </row>
    <row r="312" spans="1:8" ht="26.4" x14ac:dyDescent="0.25">
      <c r="A312" s="12">
        <v>1</v>
      </c>
      <c r="B312" s="12" t="s">
        <v>167</v>
      </c>
      <c r="C312" s="12" t="s">
        <v>16</v>
      </c>
      <c r="D312" s="18">
        <v>60000</v>
      </c>
      <c r="E312" s="13" t="s">
        <v>14</v>
      </c>
      <c r="F312" s="13"/>
      <c r="G312" s="14"/>
    </row>
    <row r="315" spans="1:8" x14ac:dyDescent="0.25">
      <c r="A315" s="60" t="s">
        <v>0</v>
      </c>
      <c r="B315" s="61"/>
      <c r="C315" s="61"/>
      <c r="D315" s="61"/>
      <c r="E315" s="61"/>
      <c r="F315" s="61"/>
      <c r="G315" s="61"/>
      <c r="H315" s="62"/>
    </row>
    <row r="316" spans="1:8" ht="12.75" customHeight="1" x14ac:dyDescent="0.25">
      <c r="A316" s="59"/>
      <c r="B316" s="59"/>
      <c r="C316" s="59"/>
      <c r="D316" s="59"/>
      <c r="E316" s="59"/>
      <c r="F316" s="63" t="s">
        <v>1</v>
      </c>
      <c r="G316" s="63"/>
    </row>
    <row r="317" spans="1:8" x14ac:dyDescent="0.25">
      <c r="A317" s="57" t="s">
        <v>2</v>
      </c>
      <c r="B317" s="58"/>
      <c r="C317" s="58"/>
      <c r="D317" s="58"/>
      <c r="E317" s="2">
        <v>-2</v>
      </c>
      <c r="F317" s="59"/>
      <c r="G317" s="59"/>
    </row>
    <row r="318" spans="1:8" x14ac:dyDescent="0.25">
      <c r="A318" s="57" t="s">
        <v>13</v>
      </c>
      <c r="B318" s="58"/>
      <c r="C318" s="58"/>
      <c r="D318" s="58"/>
      <c r="E318" s="2">
        <v>-3</v>
      </c>
      <c r="F318" s="59"/>
      <c r="G318" s="59"/>
    </row>
    <row r="319" spans="1:8" x14ac:dyDescent="0.25">
      <c r="A319" s="58" t="s">
        <v>3</v>
      </c>
      <c r="B319" s="58"/>
      <c r="C319" s="58"/>
      <c r="D319" s="58"/>
      <c r="E319" s="2">
        <v>-4</v>
      </c>
      <c r="F319" s="59"/>
      <c r="G319" s="59"/>
    </row>
    <row r="320" spans="1:8" x14ac:dyDescent="0.25">
      <c r="A320" s="58" t="s">
        <v>4</v>
      </c>
      <c r="B320" s="58"/>
      <c r="C320" s="58"/>
      <c r="D320" s="58"/>
      <c r="E320" s="2">
        <v>-5</v>
      </c>
      <c r="F320" s="59" t="s">
        <v>65</v>
      </c>
      <c r="G320" s="59"/>
    </row>
    <row r="321" spans="1:8" x14ac:dyDescent="0.25">
      <c r="A321" s="58" t="s">
        <v>5</v>
      </c>
      <c r="B321" s="58"/>
      <c r="C321" s="58"/>
      <c r="D321" s="58"/>
      <c r="E321" s="2">
        <v>-6</v>
      </c>
      <c r="F321" s="59"/>
      <c r="G321" s="59"/>
    </row>
    <row r="322" spans="1:8" ht="24" x14ac:dyDescent="0.25">
      <c r="A322" s="3" t="s">
        <v>6</v>
      </c>
      <c r="B322" s="4" t="s">
        <v>7</v>
      </c>
      <c r="C322" s="4" t="s">
        <v>8</v>
      </c>
      <c r="D322" s="17" t="s">
        <v>9</v>
      </c>
      <c r="E322" s="5" t="s">
        <v>10</v>
      </c>
      <c r="F322" s="6" t="s">
        <v>11</v>
      </c>
      <c r="G322" s="7" t="s">
        <v>12</v>
      </c>
    </row>
    <row r="323" spans="1:8" x14ac:dyDescent="0.25">
      <c r="A323" s="8">
        <v>-7</v>
      </c>
      <c r="B323" s="8">
        <v>-8</v>
      </c>
      <c r="C323" s="8">
        <v>-9</v>
      </c>
      <c r="D323" s="9">
        <v>-10</v>
      </c>
      <c r="E323" s="9">
        <v>-11</v>
      </c>
      <c r="F323" s="9">
        <v>-12</v>
      </c>
      <c r="G323" s="10">
        <v>-13</v>
      </c>
      <c r="H323" s="11"/>
    </row>
    <row r="324" spans="1:8" ht="26.4" x14ac:dyDescent="0.25">
      <c r="A324" s="12">
        <v>1</v>
      </c>
      <c r="B324" s="12" t="s">
        <v>167</v>
      </c>
      <c r="C324" s="12" t="s">
        <v>16</v>
      </c>
      <c r="D324" s="18">
        <v>60000</v>
      </c>
      <c r="E324" s="13" t="s">
        <v>14</v>
      </c>
      <c r="F324" s="13"/>
      <c r="G324" s="14"/>
    </row>
    <row r="327" spans="1:8" x14ac:dyDescent="0.25">
      <c r="A327" s="60" t="s">
        <v>0</v>
      </c>
      <c r="B327" s="61"/>
      <c r="C327" s="61"/>
      <c r="D327" s="61"/>
      <c r="E327" s="61"/>
      <c r="F327" s="61"/>
      <c r="G327" s="61"/>
      <c r="H327" s="62"/>
    </row>
    <row r="328" spans="1:8" ht="12.75" customHeight="1" x14ac:dyDescent="0.25">
      <c r="A328" s="59"/>
      <c r="B328" s="59"/>
      <c r="C328" s="59"/>
      <c r="D328" s="59"/>
      <c r="E328" s="59"/>
      <c r="F328" s="63" t="s">
        <v>1</v>
      </c>
      <c r="G328" s="63"/>
    </row>
    <row r="329" spans="1:8" x14ac:dyDescent="0.25">
      <c r="A329" s="57" t="s">
        <v>2</v>
      </c>
      <c r="B329" s="58"/>
      <c r="C329" s="58"/>
      <c r="D329" s="58"/>
      <c r="E329" s="2">
        <v>-2</v>
      </c>
      <c r="F329" s="59"/>
      <c r="G329" s="59"/>
    </row>
    <row r="330" spans="1:8" x14ac:dyDescent="0.25">
      <c r="A330" s="57" t="s">
        <v>13</v>
      </c>
      <c r="B330" s="58"/>
      <c r="C330" s="58"/>
      <c r="D330" s="58"/>
      <c r="E330" s="2">
        <v>-3</v>
      </c>
      <c r="F330" s="59"/>
      <c r="G330" s="59"/>
    </row>
    <row r="331" spans="1:8" x14ac:dyDescent="0.25">
      <c r="A331" s="58" t="s">
        <v>3</v>
      </c>
      <c r="B331" s="58"/>
      <c r="C331" s="58"/>
      <c r="D331" s="58"/>
      <c r="E331" s="2">
        <v>-4</v>
      </c>
      <c r="F331" s="59"/>
      <c r="G331" s="59"/>
    </row>
    <row r="332" spans="1:8" x14ac:dyDescent="0.25">
      <c r="A332" s="58" t="s">
        <v>4</v>
      </c>
      <c r="B332" s="58"/>
      <c r="C332" s="58"/>
      <c r="D332" s="58"/>
      <c r="E332" s="2">
        <v>-5</v>
      </c>
      <c r="F332" s="59" t="s">
        <v>70</v>
      </c>
      <c r="G332" s="59"/>
    </row>
    <row r="333" spans="1:8" x14ac:dyDescent="0.25">
      <c r="A333" s="58" t="s">
        <v>5</v>
      </c>
      <c r="B333" s="58"/>
      <c r="C333" s="58"/>
      <c r="D333" s="58"/>
      <c r="E333" s="2">
        <v>-6</v>
      </c>
      <c r="F333" s="59"/>
      <c r="G333" s="59"/>
    </row>
    <row r="334" spans="1:8" ht="24" x14ac:dyDescent="0.25">
      <c r="A334" s="3" t="s">
        <v>6</v>
      </c>
      <c r="B334" s="4" t="s">
        <v>7</v>
      </c>
      <c r="C334" s="4" t="s">
        <v>8</v>
      </c>
      <c r="D334" s="17" t="s">
        <v>9</v>
      </c>
      <c r="E334" s="5" t="s">
        <v>10</v>
      </c>
      <c r="F334" s="6" t="s">
        <v>11</v>
      </c>
      <c r="G334" s="7" t="s">
        <v>12</v>
      </c>
    </row>
    <row r="335" spans="1:8" x14ac:dyDescent="0.25">
      <c r="A335" s="8">
        <v>-7</v>
      </c>
      <c r="B335" s="8">
        <v>-8</v>
      </c>
      <c r="C335" s="8">
        <v>-9</v>
      </c>
      <c r="D335" s="9">
        <v>-10</v>
      </c>
      <c r="E335" s="9">
        <v>-11</v>
      </c>
      <c r="F335" s="9">
        <v>-12</v>
      </c>
      <c r="G335" s="10">
        <v>-13</v>
      </c>
      <c r="H335" s="11"/>
    </row>
    <row r="336" spans="1:8" ht="26.4" x14ac:dyDescent="0.25">
      <c r="A336" s="12">
        <v>1</v>
      </c>
      <c r="B336" s="12" t="s">
        <v>167</v>
      </c>
      <c r="C336" s="12" t="s">
        <v>16</v>
      </c>
      <c r="D336" s="18">
        <v>60000</v>
      </c>
      <c r="E336" s="13" t="s">
        <v>14</v>
      </c>
      <c r="F336" s="13"/>
      <c r="G336" s="14"/>
    </row>
    <row r="338" spans="1:8" x14ac:dyDescent="0.25">
      <c r="A338" s="60" t="s">
        <v>0</v>
      </c>
      <c r="B338" s="61"/>
      <c r="C338" s="61"/>
      <c r="D338" s="61"/>
      <c r="E338" s="61"/>
      <c r="F338" s="61"/>
      <c r="G338" s="61"/>
      <c r="H338" s="62"/>
    </row>
    <row r="339" spans="1:8" ht="12.75" customHeight="1" x14ac:dyDescent="0.25">
      <c r="A339" s="59"/>
      <c r="B339" s="59"/>
      <c r="C339" s="59"/>
      <c r="D339" s="59"/>
      <c r="E339" s="59"/>
      <c r="F339" s="63" t="s">
        <v>1</v>
      </c>
      <c r="G339" s="63"/>
    </row>
    <row r="340" spans="1:8" x14ac:dyDescent="0.25">
      <c r="A340" s="57" t="s">
        <v>2</v>
      </c>
      <c r="B340" s="58"/>
      <c r="C340" s="58"/>
      <c r="D340" s="58"/>
      <c r="E340" s="2">
        <v>-2</v>
      </c>
      <c r="F340" s="59"/>
      <c r="G340" s="59"/>
    </row>
    <row r="341" spans="1:8" x14ac:dyDescent="0.25">
      <c r="A341" s="57" t="s">
        <v>13</v>
      </c>
      <c r="B341" s="58"/>
      <c r="C341" s="58"/>
      <c r="D341" s="58"/>
      <c r="E341" s="2">
        <v>-3</v>
      </c>
      <c r="F341" s="59"/>
      <c r="G341" s="59"/>
    </row>
    <row r="342" spans="1:8" x14ac:dyDescent="0.25">
      <c r="A342" s="58" t="s">
        <v>3</v>
      </c>
      <c r="B342" s="58"/>
      <c r="C342" s="58"/>
      <c r="D342" s="58"/>
      <c r="E342" s="2">
        <v>-4</v>
      </c>
      <c r="F342" s="59"/>
      <c r="G342" s="59"/>
    </row>
    <row r="343" spans="1:8" x14ac:dyDescent="0.25">
      <c r="A343" s="58" t="s">
        <v>4</v>
      </c>
      <c r="B343" s="58"/>
      <c r="C343" s="58"/>
      <c r="D343" s="58"/>
      <c r="E343" s="2">
        <v>-5</v>
      </c>
      <c r="F343" s="59" t="s">
        <v>53</v>
      </c>
      <c r="G343" s="59"/>
    </row>
    <row r="344" spans="1:8" x14ac:dyDescent="0.25">
      <c r="A344" s="58" t="s">
        <v>5</v>
      </c>
      <c r="B344" s="58"/>
      <c r="C344" s="58"/>
      <c r="D344" s="58"/>
      <c r="E344" s="2">
        <v>-6</v>
      </c>
      <c r="F344" s="59"/>
      <c r="G344" s="59"/>
    </row>
    <row r="345" spans="1:8" ht="24" x14ac:dyDescent="0.25">
      <c r="A345" s="3" t="s">
        <v>6</v>
      </c>
      <c r="B345" s="4" t="s">
        <v>7</v>
      </c>
      <c r="C345" s="4" t="s">
        <v>8</v>
      </c>
      <c r="D345" s="17" t="s">
        <v>9</v>
      </c>
      <c r="E345" s="5" t="s">
        <v>10</v>
      </c>
      <c r="F345" s="6" t="s">
        <v>11</v>
      </c>
      <c r="G345" s="7" t="s">
        <v>12</v>
      </c>
    </row>
    <row r="346" spans="1:8" x14ac:dyDescent="0.25">
      <c r="A346" s="8">
        <v>-7</v>
      </c>
      <c r="B346" s="8">
        <v>-8</v>
      </c>
      <c r="C346" s="8">
        <v>-9</v>
      </c>
      <c r="D346" s="9">
        <v>-10</v>
      </c>
      <c r="E346" s="9">
        <v>-11</v>
      </c>
      <c r="F346" s="9">
        <v>-12</v>
      </c>
      <c r="G346" s="10">
        <v>-13</v>
      </c>
      <c r="H346" s="11"/>
    </row>
    <row r="347" spans="1:8" ht="26.4" x14ac:dyDescent="0.25">
      <c r="A347" s="12">
        <v>1</v>
      </c>
      <c r="B347" s="12" t="s">
        <v>167</v>
      </c>
      <c r="C347" s="12" t="s">
        <v>16</v>
      </c>
      <c r="D347" s="18">
        <v>60000</v>
      </c>
      <c r="E347" s="13" t="s">
        <v>14</v>
      </c>
      <c r="F347" s="13"/>
      <c r="G347" s="14"/>
    </row>
    <row r="349" spans="1:8" x14ac:dyDescent="0.25">
      <c r="A349" s="60" t="s">
        <v>0</v>
      </c>
      <c r="B349" s="61"/>
      <c r="C349" s="61"/>
      <c r="D349" s="61"/>
      <c r="E349" s="61"/>
      <c r="F349" s="61"/>
      <c r="G349" s="61"/>
      <c r="H349" s="62"/>
    </row>
    <row r="350" spans="1:8" x14ac:dyDescent="0.25">
      <c r="A350" s="59"/>
      <c r="B350" s="59"/>
      <c r="C350" s="59"/>
      <c r="D350" s="59"/>
      <c r="E350" s="59"/>
      <c r="F350" s="63" t="s">
        <v>1</v>
      </c>
      <c r="G350" s="63"/>
    </row>
    <row r="351" spans="1:8" x14ac:dyDescent="0.25">
      <c r="A351" s="57" t="s">
        <v>2</v>
      </c>
      <c r="B351" s="58"/>
      <c r="C351" s="58"/>
      <c r="D351" s="58"/>
      <c r="E351" s="2">
        <v>-7</v>
      </c>
      <c r="F351" s="59" t="s">
        <v>180</v>
      </c>
      <c r="G351" s="59"/>
    </row>
    <row r="352" spans="1:8" ht="12.75" customHeight="1" x14ac:dyDescent="0.25">
      <c r="A352" s="57" t="s">
        <v>13</v>
      </c>
      <c r="B352" s="58"/>
      <c r="C352" s="58"/>
      <c r="D352" s="58"/>
      <c r="E352" s="2">
        <v>-8</v>
      </c>
      <c r="F352" s="59" t="s">
        <v>180</v>
      </c>
      <c r="G352" s="59"/>
    </row>
    <row r="353" spans="1:8" x14ac:dyDescent="0.25">
      <c r="A353" s="58" t="s">
        <v>3</v>
      </c>
      <c r="B353" s="58"/>
      <c r="C353" s="58"/>
      <c r="D353" s="58"/>
      <c r="E353" s="2">
        <v>-9</v>
      </c>
      <c r="F353" s="59" t="s">
        <v>17</v>
      </c>
      <c r="G353" s="59"/>
    </row>
    <row r="354" spans="1:8" x14ac:dyDescent="0.25">
      <c r="A354" s="58" t="s">
        <v>4</v>
      </c>
      <c r="B354" s="58"/>
      <c r="C354" s="58"/>
      <c r="D354" s="58"/>
      <c r="E354" s="2">
        <v>-10</v>
      </c>
      <c r="F354" s="59" t="s">
        <v>179</v>
      </c>
      <c r="G354" s="59"/>
    </row>
    <row r="355" spans="1:8" x14ac:dyDescent="0.25">
      <c r="A355" s="58" t="s">
        <v>5</v>
      </c>
      <c r="B355" s="58"/>
      <c r="C355" s="58"/>
      <c r="D355" s="58"/>
      <c r="E355" s="2">
        <v>-11</v>
      </c>
      <c r="F355" s="59" t="s">
        <v>21</v>
      </c>
      <c r="G355" s="59"/>
    </row>
    <row r="356" spans="1:8" ht="24" x14ac:dyDescent="0.25">
      <c r="A356" s="3" t="s">
        <v>6</v>
      </c>
      <c r="B356" s="4" t="s">
        <v>7</v>
      </c>
      <c r="C356" s="4" t="s">
        <v>8</v>
      </c>
      <c r="D356" s="17" t="s">
        <v>9</v>
      </c>
      <c r="E356" s="5" t="s">
        <v>10</v>
      </c>
      <c r="F356" s="6" t="s">
        <v>11</v>
      </c>
      <c r="G356" s="7" t="s">
        <v>12</v>
      </c>
    </row>
    <row r="357" spans="1:8" x14ac:dyDescent="0.25">
      <c r="A357" s="8">
        <v>9</v>
      </c>
      <c r="B357" s="8">
        <v>-8</v>
      </c>
      <c r="C357" s="8">
        <v>-9</v>
      </c>
      <c r="D357" s="9">
        <v>-10</v>
      </c>
      <c r="E357" s="9">
        <v>-11</v>
      </c>
      <c r="F357" s="9">
        <v>-12</v>
      </c>
      <c r="G357" s="10">
        <v>-13</v>
      </c>
      <c r="H357" s="11"/>
    </row>
    <row r="358" spans="1:8" x14ac:dyDescent="0.25">
      <c r="A358" s="8">
        <v>1</v>
      </c>
      <c r="B358" s="46" t="s">
        <v>170</v>
      </c>
      <c r="C358" s="27" t="s">
        <v>171</v>
      </c>
      <c r="D358" s="47">
        <v>250000</v>
      </c>
      <c r="E358" s="9" t="s">
        <v>178</v>
      </c>
      <c r="F358" s="9"/>
      <c r="G358" s="10"/>
      <c r="H358" s="11"/>
    </row>
    <row r="359" spans="1:8" x14ac:dyDescent="0.25">
      <c r="A359" s="8">
        <v>2</v>
      </c>
      <c r="B359" s="46" t="s">
        <v>170</v>
      </c>
      <c r="C359" s="27" t="s">
        <v>172</v>
      </c>
      <c r="D359" s="47">
        <v>25000</v>
      </c>
      <c r="E359" s="9" t="s">
        <v>178</v>
      </c>
      <c r="F359" s="9"/>
      <c r="G359" s="10"/>
      <c r="H359" s="11"/>
    </row>
    <row r="360" spans="1:8" x14ac:dyDescent="0.25">
      <c r="A360" s="8">
        <v>3</v>
      </c>
      <c r="B360" s="46" t="s">
        <v>170</v>
      </c>
      <c r="C360" s="27" t="s">
        <v>173</v>
      </c>
      <c r="D360" s="47">
        <v>20000</v>
      </c>
      <c r="E360" s="9" t="s">
        <v>178</v>
      </c>
      <c r="F360" s="9"/>
      <c r="G360" s="10"/>
      <c r="H360" s="11"/>
    </row>
    <row r="361" spans="1:8" x14ac:dyDescent="0.25">
      <c r="A361" s="8">
        <v>4</v>
      </c>
      <c r="B361" s="46" t="s">
        <v>170</v>
      </c>
      <c r="C361" s="27" t="s">
        <v>174</v>
      </c>
      <c r="D361" s="47">
        <v>5000</v>
      </c>
      <c r="E361" s="9" t="s">
        <v>178</v>
      </c>
      <c r="F361" s="9"/>
      <c r="G361" s="10"/>
      <c r="H361" s="11"/>
    </row>
    <row r="362" spans="1:8" x14ac:dyDescent="0.25">
      <c r="A362" s="8">
        <v>5</v>
      </c>
      <c r="B362" s="46" t="s">
        <v>170</v>
      </c>
      <c r="C362" s="27" t="s">
        <v>175</v>
      </c>
      <c r="D362" s="47">
        <v>5000</v>
      </c>
      <c r="E362" s="9" t="s">
        <v>178</v>
      </c>
      <c r="F362" s="9"/>
      <c r="G362" s="10"/>
      <c r="H362" s="11"/>
    </row>
    <row r="363" spans="1:8" x14ac:dyDescent="0.25">
      <c r="A363" s="8">
        <v>6</v>
      </c>
      <c r="B363" s="46" t="s">
        <v>170</v>
      </c>
      <c r="C363" s="27" t="s">
        <v>176</v>
      </c>
      <c r="D363" s="47">
        <v>4000</v>
      </c>
      <c r="E363" s="9" t="s">
        <v>178</v>
      </c>
      <c r="F363" s="9"/>
      <c r="G363" s="10"/>
      <c r="H363" s="11"/>
    </row>
    <row r="364" spans="1:8" x14ac:dyDescent="0.25">
      <c r="A364" s="8">
        <v>7</v>
      </c>
      <c r="B364" s="46" t="s">
        <v>170</v>
      </c>
      <c r="C364" s="27" t="s">
        <v>177</v>
      </c>
      <c r="D364" s="47">
        <v>5000</v>
      </c>
      <c r="E364" s="9" t="s">
        <v>178</v>
      </c>
      <c r="F364" s="9"/>
      <c r="G364" s="10"/>
      <c r="H364" s="11"/>
    </row>
    <row r="365" spans="1:8" x14ac:dyDescent="0.25">
      <c r="A365" s="8">
        <v>8</v>
      </c>
      <c r="B365" s="46" t="s">
        <v>170</v>
      </c>
      <c r="C365" s="27" t="s">
        <v>152</v>
      </c>
      <c r="D365" s="28">
        <v>50000</v>
      </c>
      <c r="E365" s="9" t="s">
        <v>178</v>
      </c>
      <c r="F365" s="9"/>
      <c r="G365" s="10"/>
      <c r="H365" s="11"/>
    </row>
    <row r="368" spans="1:8" x14ac:dyDescent="0.25">
      <c r="A368" s="60" t="s">
        <v>0</v>
      </c>
      <c r="B368" s="61"/>
      <c r="C368" s="61"/>
      <c r="D368" s="61"/>
      <c r="E368" s="61"/>
      <c r="F368" s="61"/>
      <c r="G368" s="61"/>
      <c r="H368" s="62"/>
    </row>
    <row r="369" spans="1:10" x14ac:dyDescent="0.25">
      <c r="A369" s="59"/>
      <c r="B369" s="59"/>
      <c r="C369" s="59"/>
      <c r="D369" s="59"/>
      <c r="E369" s="59"/>
      <c r="F369" s="63" t="s">
        <v>1</v>
      </c>
      <c r="G369" s="63"/>
    </row>
    <row r="370" spans="1:10" x14ac:dyDescent="0.25">
      <c r="A370" s="57" t="s">
        <v>2</v>
      </c>
      <c r="B370" s="58"/>
      <c r="C370" s="58"/>
      <c r="D370" s="58"/>
      <c r="E370" s="2">
        <v>-7</v>
      </c>
      <c r="F370" s="59" t="s">
        <v>180</v>
      </c>
      <c r="G370" s="59"/>
    </row>
    <row r="371" spans="1:10" ht="12.75" customHeight="1" x14ac:dyDescent="0.25">
      <c r="A371" s="57" t="s">
        <v>13</v>
      </c>
      <c r="B371" s="58"/>
      <c r="C371" s="58"/>
      <c r="D371" s="58"/>
      <c r="E371" s="2">
        <v>-8</v>
      </c>
      <c r="F371" s="59" t="s">
        <v>180</v>
      </c>
      <c r="G371" s="59"/>
    </row>
    <row r="372" spans="1:10" x14ac:dyDescent="0.25">
      <c r="A372" s="58" t="s">
        <v>3</v>
      </c>
      <c r="B372" s="58"/>
      <c r="C372" s="58"/>
      <c r="D372" s="58"/>
      <c r="E372" s="2">
        <v>-9</v>
      </c>
      <c r="F372" s="59" t="s">
        <v>17</v>
      </c>
      <c r="G372" s="59"/>
    </row>
    <row r="373" spans="1:10" x14ac:dyDescent="0.25">
      <c r="A373" s="58" t="s">
        <v>4</v>
      </c>
      <c r="B373" s="58"/>
      <c r="C373" s="58"/>
      <c r="D373" s="58"/>
      <c r="E373" s="2">
        <v>-10</v>
      </c>
      <c r="F373" s="59" t="s">
        <v>179</v>
      </c>
      <c r="G373" s="59"/>
    </row>
    <row r="374" spans="1:10" x14ac:dyDescent="0.25">
      <c r="A374" s="58" t="s">
        <v>5</v>
      </c>
      <c r="B374" s="58"/>
      <c r="C374" s="58"/>
      <c r="D374" s="58"/>
      <c r="E374" s="2">
        <v>-11</v>
      </c>
      <c r="F374" s="59" t="s">
        <v>21</v>
      </c>
      <c r="G374" s="59"/>
    </row>
    <row r="375" spans="1:10" ht="24" x14ac:dyDescent="0.25">
      <c r="A375" s="3" t="s">
        <v>6</v>
      </c>
      <c r="B375" s="4" t="s">
        <v>7</v>
      </c>
      <c r="C375" s="4" t="s">
        <v>8</v>
      </c>
      <c r="D375" s="17" t="s">
        <v>9</v>
      </c>
      <c r="E375" s="5" t="s">
        <v>10</v>
      </c>
      <c r="F375" s="6" t="s">
        <v>11</v>
      </c>
      <c r="G375" s="7" t="s">
        <v>12</v>
      </c>
    </row>
    <row r="376" spans="1:10" x14ac:dyDescent="0.25">
      <c r="A376" s="8">
        <v>9</v>
      </c>
      <c r="B376" s="8">
        <v>-8</v>
      </c>
      <c r="C376" s="8">
        <v>-9</v>
      </c>
      <c r="D376" s="9">
        <v>-10</v>
      </c>
      <c r="E376" s="9">
        <v>-11</v>
      </c>
      <c r="F376" s="9">
        <v>-12</v>
      </c>
      <c r="G376" s="10">
        <v>-13</v>
      </c>
      <c r="H376" s="11"/>
      <c r="J376" s="45">
        <f>SUM(D377:D386)+SUM(D358:D366)+D347+D336+D324+D312+D300+D288+D277+D266+D255+D244+D233+D222+D211+D200+D189+D178+D167+D156+D145+D134+D123+D112+SUM(D94:D100)+D83+D72+D61+D50+D39+D28+SUM(D12:D17)</f>
        <v>9592400</v>
      </c>
    </row>
    <row r="377" spans="1:10" x14ac:dyDescent="0.25">
      <c r="A377" s="8">
        <v>1</v>
      </c>
      <c r="B377" s="46" t="s">
        <v>167</v>
      </c>
      <c r="C377" s="27" t="s">
        <v>181</v>
      </c>
      <c r="D377" s="47">
        <v>65000</v>
      </c>
      <c r="E377" s="9" t="s">
        <v>84</v>
      </c>
      <c r="F377" s="9"/>
      <c r="G377" s="10"/>
      <c r="H377" s="11"/>
    </row>
    <row r="378" spans="1:10" x14ac:dyDescent="0.25">
      <c r="A378" s="8">
        <v>2</v>
      </c>
      <c r="B378" s="46" t="s">
        <v>167</v>
      </c>
      <c r="C378" s="27" t="s">
        <v>182</v>
      </c>
      <c r="D378" s="47">
        <v>35000</v>
      </c>
      <c r="E378" s="9" t="s">
        <v>84</v>
      </c>
      <c r="F378" s="9"/>
      <c r="G378" s="10"/>
      <c r="H378" s="11"/>
    </row>
    <row r="379" spans="1:10" x14ac:dyDescent="0.25">
      <c r="A379" s="8">
        <v>3</v>
      </c>
      <c r="B379" s="46" t="s">
        <v>167</v>
      </c>
      <c r="C379" s="27" t="s">
        <v>183</v>
      </c>
      <c r="D379" s="47">
        <v>8000</v>
      </c>
      <c r="E379" s="9" t="s">
        <v>84</v>
      </c>
      <c r="F379" s="9"/>
      <c r="G379" s="10"/>
      <c r="H379" s="11"/>
    </row>
    <row r="380" spans="1:10" x14ac:dyDescent="0.25">
      <c r="A380" s="8">
        <v>4</v>
      </c>
      <c r="B380" s="46" t="s">
        <v>167</v>
      </c>
      <c r="C380" s="27" t="s">
        <v>95</v>
      </c>
      <c r="D380" s="47">
        <v>60000</v>
      </c>
      <c r="E380" s="9" t="s">
        <v>84</v>
      </c>
      <c r="F380" s="9"/>
      <c r="G380" s="10"/>
      <c r="H380" s="11"/>
    </row>
    <row r="381" spans="1:10" x14ac:dyDescent="0.25">
      <c r="A381" s="8">
        <v>5</v>
      </c>
      <c r="B381" s="46" t="s">
        <v>167</v>
      </c>
      <c r="C381" s="27" t="s">
        <v>184</v>
      </c>
      <c r="D381" s="47">
        <v>40000</v>
      </c>
      <c r="E381" s="9" t="s">
        <v>84</v>
      </c>
      <c r="F381" s="9"/>
      <c r="G381" s="10"/>
      <c r="H381" s="11"/>
    </row>
    <row r="382" spans="1:10" x14ac:dyDescent="0.25">
      <c r="A382" s="8">
        <v>6</v>
      </c>
      <c r="B382" s="46" t="s">
        <v>167</v>
      </c>
      <c r="C382" s="27" t="s">
        <v>185</v>
      </c>
      <c r="D382" s="47">
        <v>7000</v>
      </c>
      <c r="E382" s="9" t="s">
        <v>84</v>
      </c>
      <c r="F382" s="9"/>
      <c r="G382" s="10"/>
      <c r="H382" s="11"/>
    </row>
    <row r="383" spans="1:10" x14ac:dyDescent="0.25">
      <c r="A383" s="8">
        <v>7</v>
      </c>
      <c r="B383" s="46" t="s">
        <v>167</v>
      </c>
      <c r="C383" s="27" t="s">
        <v>186</v>
      </c>
      <c r="D383" s="47">
        <v>25000</v>
      </c>
      <c r="E383" s="9" t="s">
        <v>84</v>
      </c>
      <c r="F383" s="9"/>
      <c r="G383" s="10"/>
      <c r="H383" s="11"/>
    </row>
    <row r="384" spans="1:10" x14ac:dyDescent="0.25">
      <c r="A384" s="48">
        <v>8</v>
      </c>
      <c r="B384" s="46" t="s">
        <v>167</v>
      </c>
      <c r="C384" s="38" t="s">
        <v>187</v>
      </c>
      <c r="D384" s="39">
        <v>5000</v>
      </c>
      <c r="E384" s="9" t="s">
        <v>84</v>
      </c>
      <c r="F384" s="40"/>
      <c r="G384" s="41"/>
      <c r="H384" s="11"/>
    </row>
    <row r="385" spans="1:8" x14ac:dyDescent="0.25">
      <c r="A385" s="10">
        <v>9</v>
      </c>
      <c r="B385" s="46" t="s">
        <v>167</v>
      </c>
      <c r="C385" s="54" t="s">
        <v>188</v>
      </c>
      <c r="D385" s="43">
        <v>250000</v>
      </c>
      <c r="E385" s="9" t="s">
        <v>84</v>
      </c>
      <c r="F385" s="10"/>
      <c r="G385" s="10"/>
      <c r="H385" s="11"/>
    </row>
    <row r="386" spans="1:8" x14ac:dyDescent="0.25">
      <c r="A386" s="10">
        <v>10</v>
      </c>
      <c r="B386" s="46" t="s">
        <v>167</v>
      </c>
      <c r="C386" s="54" t="s">
        <v>189</v>
      </c>
      <c r="D386" s="43">
        <v>30000</v>
      </c>
      <c r="E386" s="9" t="s">
        <v>84</v>
      </c>
      <c r="F386" s="10"/>
      <c r="G386" s="10"/>
      <c r="H386" s="11"/>
    </row>
    <row r="387" spans="1:8" x14ac:dyDescent="0.25">
      <c r="A387" s="49"/>
      <c r="B387" s="50"/>
      <c r="C387" s="51"/>
      <c r="D387" s="52"/>
      <c r="E387" s="53"/>
      <c r="F387" s="53"/>
      <c r="G387" s="36"/>
      <c r="H387" s="11"/>
    </row>
    <row r="389" spans="1:8" x14ac:dyDescent="0.25">
      <c r="A389" s="60" t="s">
        <v>0</v>
      </c>
      <c r="B389" s="61"/>
      <c r="C389" s="61"/>
      <c r="D389" s="61"/>
      <c r="E389" s="61"/>
      <c r="F389" s="61"/>
      <c r="G389" s="61"/>
      <c r="H389" s="62"/>
    </row>
    <row r="390" spans="1:8" x14ac:dyDescent="0.25">
      <c r="A390" s="59"/>
      <c r="B390" s="59"/>
      <c r="C390" s="59"/>
      <c r="D390" s="59"/>
      <c r="E390" s="59"/>
      <c r="F390" s="63" t="s">
        <v>1</v>
      </c>
      <c r="G390" s="63"/>
    </row>
    <row r="391" spans="1:8" x14ac:dyDescent="0.25">
      <c r="A391" s="57" t="s">
        <v>2</v>
      </c>
      <c r="B391" s="58"/>
      <c r="C391" s="58"/>
      <c r="D391" s="58"/>
      <c r="E391" s="2">
        <v>-7</v>
      </c>
      <c r="F391" s="59" t="s">
        <v>180</v>
      </c>
      <c r="G391" s="59"/>
    </row>
    <row r="392" spans="1:8" ht="12.75" customHeight="1" x14ac:dyDescent="0.25">
      <c r="A392" s="57" t="s">
        <v>13</v>
      </c>
      <c r="B392" s="58"/>
      <c r="C392" s="58"/>
      <c r="D392" s="58"/>
      <c r="E392" s="2">
        <v>-8</v>
      </c>
      <c r="F392" s="59" t="s">
        <v>180</v>
      </c>
      <c r="G392" s="59"/>
    </row>
    <row r="393" spans="1:8" x14ac:dyDescent="0.25">
      <c r="A393" s="58" t="s">
        <v>3</v>
      </c>
      <c r="B393" s="58"/>
      <c r="C393" s="58"/>
      <c r="D393" s="58"/>
      <c r="E393" s="2">
        <v>-9</v>
      </c>
      <c r="F393" s="59" t="s">
        <v>17</v>
      </c>
      <c r="G393" s="59"/>
    </row>
    <row r="394" spans="1:8" x14ac:dyDescent="0.25">
      <c r="A394" s="58" t="s">
        <v>4</v>
      </c>
      <c r="B394" s="58"/>
      <c r="C394" s="58"/>
      <c r="D394" s="58"/>
      <c r="E394" s="2">
        <v>-10</v>
      </c>
      <c r="F394" s="59" t="s">
        <v>179</v>
      </c>
      <c r="G394" s="59"/>
    </row>
    <row r="395" spans="1:8" x14ac:dyDescent="0.25">
      <c r="A395" s="58" t="s">
        <v>5</v>
      </c>
      <c r="B395" s="58"/>
      <c r="C395" s="58"/>
      <c r="D395" s="58"/>
      <c r="E395" s="2">
        <v>-11</v>
      </c>
      <c r="F395" s="59" t="s">
        <v>21</v>
      </c>
      <c r="G395" s="59"/>
    </row>
    <row r="396" spans="1:8" ht="24" x14ac:dyDescent="0.25">
      <c r="A396" s="3" t="s">
        <v>6</v>
      </c>
      <c r="B396" s="4" t="s">
        <v>7</v>
      </c>
      <c r="C396" s="4" t="s">
        <v>8</v>
      </c>
      <c r="D396" s="17" t="s">
        <v>9</v>
      </c>
      <c r="E396" s="5" t="s">
        <v>10</v>
      </c>
      <c r="F396" s="6" t="s">
        <v>11</v>
      </c>
      <c r="G396" s="7" t="s">
        <v>12</v>
      </c>
    </row>
    <row r="397" spans="1:8" x14ac:dyDescent="0.25">
      <c r="A397" s="8">
        <v>9</v>
      </c>
      <c r="B397" s="8">
        <v>-8</v>
      </c>
      <c r="C397" s="8">
        <v>-9</v>
      </c>
      <c r="D397" s="9">
        <v>-10</v>
      </c>
      <c r="E397" s="9">
        <v>-11</v>
      </c>
      <c r="F397" s="9">
        <v>-12</v>
      </c>
      <c r="G397" s="10">
        <v>-13</v>
      </c>
      <c r="H397" s="11"/>
    </row>
    <row r="398" spans="1:8" x14ac:dyDescent="0.25">
      <c r="A398" s="8">
        <v>1</v>
      </c>
      <c r="B398" s="46" t="s">
        <v>198</v>
      </c>
      <c r="C398" s="27" t="s">
        <v>190</v>
      </c>
      <c r="D398" s="47">
        <v>150000</v>
      </c>
      <c r="E398" s="9" t="s">
        <v>84</v>
      </c>
      <c r="F398" s="9"/>
      <c r="G398" s="10"/>
      <c r="H398" s="11"/>
    </row>
    <row r="399" spans="1:8" x14ac:dyDescent="0.25">
      <c r="A399" s="8">
        <v>2</v>
      </c>
      <c r="B399" s="46" t="s">
        <v>198</v>
      </c>
      <c r="C399" s="27" t="s">
        <v>191</v>
      </c>
      <c r="D399" s="47">
        <v>60000</v>
      </c>
      <c r="E399" s="9" t="s">
        <v>84</v>
      </c>
      <c r="F399" s="9"/>
      <c r="G399" s="10"/>
      <c r="H399" s="11"/>
    </row>
    <row r="400" spans="1:8" x14ac:dyDescent="0.25">
      <c r="A400" s="8">
        <v>3</v>
      </c>
      <c r="B400" s="46" t="s">
        <v>198</v>
      </c>
      <c r="C400" s="27" t="s">
        <v>196</v>
      </c>
      <c r="D400" s="47">
        <v>30000</v>
      </c>
      <c r="E400" s="9" t="s">
        <v>84</v>
      </c>
      <c r="F400" s="9"/>
      <c r="G400" s="10"/>
      <c r="H400" s="11"/>
    </row>
    <row r="401" spans="1:10" x14ac:dyDescent="0.25">
      <c r="A401" s="8">
        <v>4</v>
      </c>
      <c r="B401" s="46" t="s">
        <v>198</v>
      </c>
      <c r="C401" s="27" t="s">
        <v>192</v>
      </c>
      <c r="D401" s="47">
        <v>60000</v>
      </c>
      <c r="E401" s="9" t="s">
        <v>84</v>
      </c>
      <c r="F401" s="9"/>
      <c r="G401" s="10"/>
      <c r="H401" s="11"/>
    </row>
    <row r="402" spans="1:10" x14ac:dyDescent="0.25">
      <c r="A402" s="8">
        <v>5</v>
      </c>
      <c r="B402" s="46" t="s">
        <v>198</v>
      </c>
      <c r="C402" s="27" t="s">
        <v>193</v>
      </c>
      <c r="D402" s="47">
        <v>100000</v>
      </c>
      <c r="E402" s="9" t="s">
        <v>84</v>
      </c>
      <c r="F402" s="9"/>
      <c r="G402" s="10"/>
      <c r="H402" s="11"/>
    </row>
    <row r="403" spans="1:10" x14ac:dyDescent="0.25">
      <c r="A403" s="8">
        <v>6</v>
      </c>
      <c r="B403" s="46" t="s">
        <v>198</v>
      </c>
      <c r="C403" s="1" t="s">
        <v>197</v>
      </c>
      <c r="D403" s="47">
        <v>10000</v>
      </c>
      <c r="E403" s="9" t="s">
        <v>84</v>
      </c>
      <c r="F403" s="9"/>
      <c r="G403" s="10"/>
      <c r="H403" s="11"/>
    </row>
    <row r="404" spans="1:10" x14ac:dyDescent="0.25">
      <c r="A404" s="8">
        <v>7</v>
      </c>
      <c r="B404" s="46" t="s">
        <v>198</v>
      </c>
      <c r="C404" s="27" t="s">
        <v>194</v>
      </c>
      <c r="D404" s="47">
        <v>15000</v>
      </c>
      <c r="E404" s="9" t="s">
        <v>84</v>
      </c>
      <c r="F404" s="9"/>
      <c r="G404" s="10"/>
      <c r="H404" s="11"/>
    </row>
    <row r="405" spans="1:10" x14ac:dyDescent="0.25">
      <c r="A405" s="8">
        <v>8</v>
      </c>
      <c r="B405" s="46" t="s">
        <v>198</v>
      </c>
      <c r="C405" s="27" t="s">
        <v>195</v>
      </c>
      <c r="D405" s="28">
        <v>50000</v>
      </c>
      <c r="E405" s="9" t="s">
        <v>84</v>
      </c>
      <c r="F405" s="9"/>
      <c r="G405" s="10"/>
      <c r="H405" s="11"/>
    </row>
    <row r="408" spans="1:10" x14ac:dyDescent="0.25">
      <c r="A408" s="60" t="s">
        <v>0</v>
      </c>
      <c r="B408" s="61"/>
      <c r="C408" s="61"/>
      <c r="D408" s="61"/>
      <c r="E408" s="61"/>
      <c r="F408" s="61"/>
      <c r="G408" s="61"/>
      <c r="H408" s="62"/>
    </row>
    <row r="409" spans="1:10" x14ac:dyDescent="0.25">
      <c r="A409" s="59"/>
      <c r="B409" s="59"/>
      <c r="C409" s="59"/>
      <c r="D409" s="59"/>
      <c r="E409" s="59"/>
      <c r="F409" s="63" t="s">
        <v>1</v>
      </c>
      <c r="G409" s="63"/>
    </row>
    <row r="410" spans="1:10" ht="12.75" customHeight="1" x14ac:dyDescent="0.25">
      <c r="A410" s="57" t="s">
        <v>2</v>
      </c>
      <c r="B410" s="58"/>
      <c r="C410" s="58"/>
      <c r="D410" s="58"/>
      <c r="E410" s="2">
        <v>-7</v>
      </c>
      <c r="F410" s="59" t="s">
        <v>218</v>
      </c>
      <c r="G410" s="59"/>
    </row>
    <row r="411" spans="1:10" ht="12.75" customHeight="1" x14ac:dyDescent="0.25">
      <c r="A411" s="57" t="s">
        <v>13</v>
      </c>
      <c r="B411" s="58"/>
      <c r="C411" s="58"/>
      <c r="D411" s="58"/>
      <c r="E411" s="2">
        <v>-8</v>
      </c>
      <c r="F411" s="59" t="s">
        <v>218</v>
      </c>
      <c r="G411" s="59"/>
    </row>
    <row r="412" spans="1:10" ht="12.75" customHeight="1" x14ac:dyDescent="0.25">
      <c r="A412" s="58" t="s">
        <v>3</v>
      </c>
      <c r="B412" s="58"/>
      <c r="C412" s="58"/>
      <c r="D412" s="58"/>
      <c r="E412" s="2">
        <v>-9</v>
      </c>
      <c r="F412" s="59" t="s">
        <v>17</v>
      </c>
      <c r="G412" s="59"/>
    </row>
    <row r="413" spans="1:10" x14ac:dyDescent="0.25">
      <c r="A413" s="58" t="s">
        <v>4</v>
      </c>
      <c r="B413" s="58"/>
      <c r="C413" s="58"/>
      <c r="D413" s="58"/>
      <c r="E413" s="2">
        <v>-10</v>
      </c>
      <c r="F413" s="59" t="s">
        <v>217</v>
      </c>
      <c r="G413" s="59"/>
    </row>
    <row r="414" spans="1:10" x14ac:dyDescent="0.25">
      <c r="A414" s="58" t="s">
        <v>5</v>
      </c>
      <c r="B414" s="58"/>
      <c r="C414" s="58"/>
      <c r="D414" s="58"/>
      <c r="E414" s="2">
        <v>-11</v>
      </c>
      <c r="F414" s="59" t="s">
        <v>21</v>
      </c>
      <c r="G414" s="59"/>
    </row>
    <row r="415" spans="1:10" ht="24" x14ac:dyDescent="0.25">
      <c r="A415" s="3" t="s">
        <v>6</v>
      </c>
      <c r="B415" s="4" t="s">
        <v>7</v>
      </c>
      <c r="C415" s="4" t="s">
        <v>8</v>
      </c>
      <c r="D415" s="17" t="s">
        <v>9</v>
      </c>
      <c r="E415" s="5" t="s">
        <v>10</v>
      </c>
      <c r="F415" s="6" t="s">
        <v>11</v>
      </c>
      <c r="G415" s="7" t="s">
        <v>12</v>
      </c>
    </row>
    <row r="416" spans="1:10" x14ac:dyDescent="0.25">
      <c r="A416" s="8">
        <v>9</v>
      </c>
      <c r="B416" s="8">
        <v>-8</v>
      </c>
      <c r="C416" s="8">
        <v>-9</v>
      </c>
      <c r="D416" s="9">
        <v>-10</v>
      </c>
      <c r="E416" s="9">
        <v>-11</v>
      </c>
      <c r="F416" s="9">
        <v>-12</v>
      </c>
      <c r="G416" s="10">
        <v>-13</v>
      </c>
      <c r="H416" s="11"/>
      <c r="J416" s="45"/>
    </row>
    <row r="417" spans="1:8" x14ac:dyDescent="0.25">
      <c r="A417" s="8">
        <v>1</v>
      </c>
      <c r="B417" s="46" t="s">
        <v>199</v>
      </c>
      <c r="C417" s="27" t="s">
        <v>200</v>
      </c>
      <c r="D417" s="47">
        <v>20000</v>
      </c>
      <c r="E417" s="9" t="s">
        <v>216</v>
      </c>
      <c r="F417" s="9"/>
      <c r="G417" s="10"/>
      <c r="H417" s="11"/>
    </row>
    <row r="418" spans="1:8" x14ac:dyDescent="0.25">
      <c r="A418" s="8">
        <v>2</v>
      </c>
      <c r="B418" s="46" t="s">
        <v>199</v>
      </c>
      <c r="C418" s="27" t="s">
        <v>201</v>
      </c>
      <c r="D418" s="47">
        <v>20000</v>
      </c>
      <c r="E418" s="9" t="s">
        <v>216</v>
      </c>
      <c r="F418" s="9"/>
      <c r="G418" s="10"/>
      <c r="H418" s="11"/>
    </row>
    <row r="419" spans="1:8" x14ac:dyDescent="0.25">
      <c r="A419" s="8">
        <v>3</v>
      </c>
      <c r="B419" s="46" t="s">
        <v>199</v>
      </c>
      <c r="C419" s="27" t="s">
        <v>202</v>
      </c>
      <c r="D419" s="47">
        <v>75000</v>
      </c>
      <c r="E419" s="9" t="s">
        <v>216</v>
      </c>
      <c r="F419" s="9"/>
      <c r="G419" s="10"/>
      <c r="H419" s="11"/>
    </row>
    <row r="420" spans="1:8" x14ac:dyDescent="0.25">
      <c r="A420" s="8">
        <v>4</v>
      </c>
      <c r="B420" s="46" t="s">
        <v>199</v>
      </c>
      <c r="C420" s="27" t="s">
        <v>203</v>
      </c>
      <c r="D420" s="47">
        <v>200000</v>
      </c>
      <c r="E420" s="9" t="s">
        <v>216</v>
      </c>
      <c r="F420" s="9"/>
      <c r="G420" s="10"/>
      <c r="H420" s="11"/>
    </row>
    <row r="421" spans="1:8" x14ac:dyDescent="0.25">
      <c r="A421" s="8">
        <v>5</v>
      </c>
      <c r="B421" s="46" t="s">
        <v>199</v>
      </c>
      <c r="C421" s="27" t="s">
        <v>204</v>
      </c>
      <c r="D421" s="47">
        <v>150000</v>
      </c>
      <c r="E421" s="9" t="s">
        <v>216</v>
      </c>
      <c r="F421" s="9"/>
      <c r="G421" s="10"/>
      <c r="H421" s="11"/>
    </row>
    <row r="422" spans="1:8" x14ac:dyDescent="0.25">
      <c r="A422" s="8">
        <v>6</v>
      </c>
      <c r="B422" s="46" t="s">
        <v>199</v>
      </c>
      <c r="C422" s="1" t="s">
        <v>205</v>
      </c>
      <c r="D422" s="47">
        <v>100000</v>
      </c>
      <c r="E422" s="9" t="s">
        <v>216</v>
      </c>
      <c r="F422" s="9"/>
      <c r="G422" s="10"/>
      <c r="H422" s="11"/>
    </row>
    <row r="423" spans="1:8" x14ac:dyDescent="0.25">
      <c r="A423" s="8">
        <v>7</v>
      </c>
      <c r="B423" s="46" t="s">
        <v>199</v>
      </c>
      <c r="C423" s="27" t="s">
        <v>206</v>
      </c>
      <c r="D423" s="47">
        <v>75000</v>
      </c>
      <c r="E423" s="9" t="s">
        <v>216</v>
      </c>
      <c r="F423" s="9"/>
      <c r="G423" s="10"/>
      <c r="H423" s="11"/>
    </row>
    <row r="424" spans="1:8" x14ac:dyDescent="0.25">
      <c r="A424" s="8">
        <v>8</v>
      </c>
      <c r="B424" s="46" t="s">
        <v>199</v>
      </c>
      <c r="C424" s="27" t="s">
        <v>207</v>
      </c>
      <c r="D424" s="28">
        <v>75000</v>
      </c>
      <c r="E424" s="9" t="s">
        <v>216</v>
      </c>
      <c r="F424" s="9"/>
      <c r="G424" s="10"/>
      <c r="H424" s="11"/>
    </row>
    <row r="425" spans="1:8" x14ac:dyDescent="0.25">
      <c r="A425" s="8">
        <v>9</v>
      </c>
      <c r="B425" s="46" t="s">
        <v>199</v>
      </c>
      <c r="C425" s="27" t="s">
        <v>208</v>
      </c>
      <c r="D425" s="47">
        <v>5000</v>
      </c>
      <c r="E425" s="9" t="s">
        <v>216</v>
      </c>
      <c r="F425" s="9"/>
      <c r="G425" s="10"/>
      <c r="H425" s="11"/>
    </row>
    <row r="426" spans="1:8" x14ac:dyDescent="0.25">
      <c r="A426" s="8">
        <v>10</v>
      </c>
      <c r="B426" s="46" t="s">
        <v>199</v>
      </c>
      <c r="C426" s="27" t="s">
        <v>209</v>
      </c>
      <c r="D426" s="47">
        <v>50000</v>
      </c>
      <c r="E426" s="9" t="s">
        <v>216</v>
      </c>
      <c r="F426" s="9"/>
      <c r="G426" s="10"/>
      <c r="H426" s="11"/>
    </row>
    <row r="427" spans="1:8" x14ac:dyDescent="0.25">
      <c r="A427" s="8">
        <v>11</v>
      </c>
      <c r="B427" s="46" t="s">
        <v>199</v>
      </c>
      <c r="C427" s="27" t="s">
        <v>210</v>
      </c>
      <c r="D427" s="47">
        <v>30000</v>
      </c>
      <c r="E427" s="9" t="s">
        <v>216</v>
      </c>
      <c r="F427" s="9"/>
      <c r="G427" s="10"/>
      <c r="H427" s="11"/>
    </row>
    <row r="428" spans="1:8" x14ac:dyDescent="0.25">
      <c r="A428" s="8">
        <v>12</v>
      </c>
      <c r="B428" s="46" t="s">
        <v>199</v>
      </c>
      <c r="C428" s="27" t="s">
        <v>211</v>
      </c>
      <c r="D428" s="47">
        <v>100000</v>
      </c>
      <c r="E428" s="9" t="s">
        <v>216</v>
      </c>
      <c r="F428" s="9"/>
      <c r="G428" s="10"/>
      <c r="H428" s="11"/>
    </row>
    <row r="429" spans="1:8" x14ac:dyDescent="0.25">
      <c r="A429" s="8">
        <v>13</v>
      </c>
      <c r="B429" s="46" t="s">
        <v>199</v>
      </c>
      <c r="C429" s="27" t="s">
        <v>212</v>
      </c>
      <c r="D429" s="47">
        <v>200000</v>
      </c>
      <c r="E429" s="9" t="s">
        <v>216</v>
      </c>
      <c r="F429" s="9"/>
      <c r="G429" s="10"/>
      <c r="H429" s="11"/>
    </row>
    <row r="430" spans="1:8" x14ac:dyDescent="0.25">
      <c r="A430" s="8">
        <v>14</v>
      </c>
      <c r="B430" s="46" t="s">
        <v>199</v>
      </c>
      <c r="C430" s="1" t="s">
        <v>215</v>
      </c>
      <c r="D430" s="47">
        <v>20000</v>
      </c>
      <c r="E430" s="9" t="s">
        <v>216</v>
      </c>
      <c r="F430" s="9"/>
      <c r="G430" s="10"/>
      <c r="H430" s="11"/>
    </row>
    <row r="431" spans="1:8" x14ac:dyDescent="0.25">
      <c r="A431" s="8">
        <v>15</v>
      </c>
      <c r="B431" s="46" t="s">
        <v>199</v>
      </c>
      <c r="C431" s="27" t="s">
        <v>213</v>
      </c>
      <c r="D431" s="47">
        <v>15000</v>
      </c>
      <c r="E431" s="9" t="s">
        <v>216</v>
      </c>
      <c r="F431" s="9"/>
      <c r="G431" s="10"/>
      <c r="H431" s="11"/>
    </row>
    <row r="432" spans="1:8" x14ac:dyDescent="0.25">
      <c r="A432" s="8">
        <v>16</v>
      </c>
      <c r="B432" s="46" t="s">
        <v>199</v>
      </c>
      <c r="C432" s="27" t="s">
        <v>214</v>
      </c>
      <c r="D432" s="47">
        <v>100000</v>
      </c>
      <c r="E432" s="9" t="s">
        <v>216</v>
      </c>
      <c r="F432" s="9"/>
      <c r="G432" s="10"/>
      <c r="H432" s="11"/>
    </row>
    <row r="433" spans="1:10" x14ac:dyDescent="0.25">
      <c r="A433" s="8">
        <v>17</v>
      </c>
      <c r="B433" s="46" t="s">
        <v>199</v>
      </c>
      <c r="C433" s="27" t="s">
        <v>152</v>
      </c>
      <c r="D433" s="47">
        <v>300000</v>
      </c>
      <c r="E433" s="9" t="s">
        <v>216</v>
      </c>
      <c r="F433" s="9"/>
      <c r="G433" s="10"/>
      <c r="H433" s="11"/>
    </row>
    <row r="435" spans="1:10" x14ac:dyDescent="0.25">
      <c r="A435" s="60" t="s">
        <v>0</v>
      </c>
      <c r="B435" s="61"/>
      <c r="C435" s="61"/>
      <c r="D435" s="61"/>
      <c r="E435" s="61"/>
      <c r="F435" s="61"/>
      <c r="G435" s="61"/>
      <c r="H435" s="62"/>
    </row>
    <row r="436" spans="1:10" x14ac:dyDescent="0.25">
      <c r="A436" s="59"/>
      <c r="B436" s="59"/>
      <c r="C436" s="59"/>
      <c r="D436" s="59"/>
      <c r="E436" s="59"/>
      <c r="F436" s="63" t="s">
        <v>1</v>
      </c>
      <c r="G436" s="63"/>
    </row>
    <row r="437" spans="1:10" x14ac:dyDescent="0.25">
      <c r="A437" s="57" t="s">
        <v>2</v>
      </c>
      <c r="B437" s="58"/>
      <c r="C437" s="58"/>
      <c r="D437" s="58"/>
      <c r="E437" s="2">
        <v>-7</v>
      </c>
      <c r="F437" s="59" t="s">
        <v>86</v>
      </c>
      <c r="G437" s="59"/>
    </row>
    <row r="438" spans="1:10" x14ac:dyDescent="0.25">
      <c r="A438" s="57" t="s">
        <v>13</v>
      </c>
      <c r="B438" s="58"/>
      <c r="C438" s="58"/>
      <c r="D438" s="58"/>
      <c r="E438" s="2">
        <v>-8</v>
      </c>
      <c r="F438" s="59" t="s">
        <v>86</v>
      </c>
      <c r="G438" s="59"/>
    </row>
    <row r="439" spans="1:10" x14ac:dyDescent="0.25">
      <c r="A439" s="58" t="s">
        <v>3</v>
      </c>
      <c r="B439" s="58"/>
      <c r="C439" s="58"/>
      <c r="D439" s="58"/>
      <c r="E439" s="2">
        <v>-9</v>
      </c>
      <c r="F439" s="59" t="s">
        <v>17</v>
      </c>
      <c r="G439" s="59"/>
    </row>
    <row r="440" spans="1:10" x14ac:dyDescent="0.25">
      <c r="A440" s="58" t="s">
        <v>4</v>
      </c>
      <c r="B440" s="58"/>
      <c r="C440" s="58"/>
      <c r="D440" s="58"/>
      <c r="E440" s="2">
        <v>-10</v>
      </c>
      <c r="F440" s="59" t="s">
        <v>87</v>
      </c>
      <c r="G440" s="59"/>
    </row>
    <row r="441" spans="1:10" x14ac:dyDescent="0.25">
      <c r="A441" s="58" t="s">
        <v>5</v>
      </c>
      <c r="B441" s="58"/>
      <c r="C441" s="58"/>
      <c r="D441" s="58"/>
      <c r="E441" s="2">
        <v>-11</v>
      </c>
      <c r="F441" s="59" t="s">
        <v>21</v>
      </c>
      <c r="G441" s="59"/>
    </row>
    <row r="442" spans="1:10" ht="24" x14ac:dyDescent="0.25">
      <c r="A442" s="3" t="s">
        <v>6</v>
      </c>
      <c r="B442" s="4" t="s">
        <v>7</v>
      </c>
      <c r="C442" s="4" t="s">
        <v>8</v>
      </c>
      <c r="D442" s="17" t="s">
        <v>9</v>
      </c>
      <c r="E442" s="5" t="s">
        <v>10</v>
      </c>
      <c r="F442" s="6" t="s">
        <v>11</v>
      </c>
      <c r="G442" s="7" t="s">
        <v>12</v>
      </c>
    </row>
    <row r="443" spans="1:10" x14ac:dyDescent="0.25">
      <c r="A443" s="8">
        <v>9</v>
      </c>
      <c r="B443" s="8">
        <v>-8</v>
      </c>
      <c r="C443" s="8">
        <v>-9</v>
      </c>
      <c r="D443" s="9">
        <v>-10</v>
      </c>
      <c r="E443" s="9">
        <v>-11</v>
      </c>
      <c r="F443" s="9">
        <v>-12</v>
      </c>
      <c r="G443" s="10">
        <v>-13</v>
      </c>
      <c r="H443" s="11"/>
      <c r="J443" s="45"/>
    </row>
    <row r="444" spans="1:10" x14ac:dyDescent="0.25">
      <c r="A444" s="8">
        <v>1</v>
      </c>
      <c r="B444" s="30" t="s">
        <v>219</v>
      </c>
      <c r="C444" s="27" t="s">
        <v>220</v>
      </c>
      <c r="D444" s="28">
        <v>25000</v>
      </c>
      <c r="E444" s="29" t="s">
        <v>228</v>
      </c>
      <c r="F444" s="9"/>
      <c r="G444" s="10"/>
      <c r="H444" s="11"/>
    </row>
    <row r="445" spans="1:10" x14ac:dyDescent="0.25">
      <c r="A445" s="8">
        <v>2</v>
      </c>
      <c r="B445" s="30" t="s">
        <v>219</v>
      </c>
      <c r="C445" s="27" t="s">
        <v>221</v>
      </c>
      <c r="D445" s="28">
        <v>250000</v>
      </c>
      <c r="E445" s="29" t="s">
        <v>228</v>
      </c>
      <c r="F445" s="9"/>
      <c r="G445" s="10"/>
      <c r="H445" s="11"/>
    </row>
    <row r="446" spans="1:10" x14ac:dyDescent="0.25">
      <c r="A446" s="8">
        <v>3</v>
      </c>
      <c r="B446" s="30" t="s">
        <v>219</v>
      </c>
      <c r="C446" s="27" t="s">
        <v>222</v>
      </c>
      <c r="D446" s="28">
        <v>50000</v>
      </c>
      <c r="E446" s="29" t="s">
        <v>228</v>
      </c>
      <c r="F446" s="9"/>
      <c r="G446" s="10"/>
      <c r="H446" s="11"/>
    </row>
    <row r="447" spans="1:10" x14ac:dyDescent="0.25">
      <c r="A447" s="8">
        <v>4</v>
      </c>
      <c r="B447" s="30" t="s">
        <v>219</v>
      </c>
      <c r="C447" s="27" t="s">
        <v>223</v>
      </c>
      <c r="D447" s="28">
        <v>20000</v>
      </c>
      <c r="E447" s="29" t="s">
        <v>228</v>
      </c>
      <c r="F447" s="9"/>
      <c r="G447" s="10"/>
      <c r="H447" s="11"/>
    </row>
    <row r="448" spans="1:10" x14ac:dyDescent="0.25">
      <c r="A448" s="8">
        <v>5</v>
      </c>
      <c r="B448" s="30" t="s">
        <v>219</v>
      </c>
      <c r="C448" s="27" t="s">
        <v>224</v>
      </c>
      <c r="D448" s="28">
        <v>275000</v>
      </c>
      <c r="E448" s="29" t="s">
        <v>228</v>
      </c>
      <c r="F448" s="9"/>
      <c r="G448" s="10"/>
      <c r="H448" s="11"/>
    </row>
    <row r="449" spans="1:10" x14ac:dyDescent="0.25">
      <c r="A449" s="8">
        <v>6</v>
      </c>
      <c r="B449" s="30" t="s">
        <v>219</v>
      </c>
      <c r="C449" s="27" t="s">
        <v>26</v>
      </c>
      <c r="D449" s="28">
        <v>80000</v>
      </c>
      <c r="E449" s="29" t="s">
        <v>228</v>
      </c>
      <c r="F449" s="9"/>
      <c r="G449" s="10"/>
      <c r="H449" s="11"/>
    </row>
    <row r="450" spans="1:10" x14ac:dyDescent="0.25">
      <c r="A450" s="8">
        <v>7</v>
      </c>
      <c r="B450" s="30" t="s">
        <v>219</v>
      </c>
      <c r="C450" s="27" t="s">
        <v>225</v>
      </c>
      <c r="D450" s="28">
        <v>72000</v>
      </c>
      <c r="E450" s="29" t="s">
        <v>228</v>
      </c>
      <c r="F450" s="9"/>
      <c r="G450" s="10"/>
      <c r="H450" s="11"/>
    </row>
    <row r="451" spans="1:10" x14ac:dyDescent="0.25">
      <c r="A451" s="8">
        <v>8</v>
      </c>
      <c r="B451" s="30" t="s">
        <v>219</v>
      </c>
      <c r="C451" s="27" t="s">
        <v>226</v>
      </c>
      <c r="D451" s="28">
        <v>115000</v>
      </c>
      <c r="E451" s="29" t="s">
        <v>228</v>
      </c>
      <c r="F451" s="9"/>
      <c r="G451" s="10"/>
      <c r="H451" s="11"/>
    </row>
    <row r="452" spans="1:10" x14ac:dyDescent="0.25">
      <c r="A452" s="8">
        <v>9</v>
      </c>
      <c r="B452" s="30" t="s">
        <v>219</v>
      </c>
      <c r="C452" s="27" t="s">
        <v>227</v>
      </c>
      <c r="D452" s="28">
        <v>178000</v>
      </c>
      <c r="E452" s="29" t="s">
        <v>228</v>
      </c>
      <c r="F452" s="9"/>
      <c r="G452" s="10"/>
      <c r="H452" s="11"/>
    </row>
    <row r="453" spans="1:10" x14ac:dyDescent="0.25">
      <c r="A453" s="8">
        <v>10</v>
      </c>
      <c r="B453" s="30" t="s">
        <v>219</v>
      </c>
      <c r="C453" s="27" t="s">
        <v>152</v>
      </c>
      <c r="D453" s="28">
        <v>80000</v>
      </c>
      <c r="E453" s="29" t="s">
        <v>228</v>
      </c>
      <c r="F453" s="9"/>
      <c r="G453" s="10"/>
      <c r="H453" s="11"/>
    </row>
    <row r="455" spans="1:10" x14ac:dyDescent="0.25">
      <c r="A455" s="60" t="s">
        <v>0</v>
      </c>
      <c r="B455" s="61"/>
      <c r="C455" s="61"/>
      <c r="D455" s="61"/>
      <c r="E455" s="61"/>
      <c r="F455" s="61"/>
      <c r="G455" s="61"/>
      <c r="H455" s="62"/>
    </row>
    <row r="456" spans="1:10" x14ac:dyDescent="0.25">
      <c r="A456" s="59"/>
      <c r="B456" s="59"/>
      <c r="C456" s="59"/>
      <c r="D456" s="59"/>
      <c r="E456" s="59"/>
      <c r="F456" s="63" t="s">
        <v>1</v>
      </c>
      <c r="G456" s="63"/>
    </row>
    <row r="457" spans="1:10" x14ac:dyDescent="0.25">
      <c r="A457" s="57" t="s">
        <v>2</v>
      </c>
      <c r="B457" s="58"/>
      <c r="C457" s="58"/>
      <c r="D457" s="58"/>
      <c r="E457" s="2">
        <v>-7</v>
      </c>
      <c r="F457" s="59" t="s">
        <v>86</v>
      </c>
      <c r="G457" s="59"/>
    </row>
    <row r="458" spans="1:10" x14ac:dyDescent="0.25">
      <c r="A458" s="57" t="s">
        <v>13</v>
      </c>
      <c r="B458" s="58"/>
      <c r="C458" s="58"/>
      <c r="D458" s="58"/>
      <c r="E458" s="2">
        <v>-8</v>
      </c>
      <c r="F458" s="59" t="s">
        <v>86</v>
      </c>
      <c r="G458" s="59"/>
    </row>
    <row r="459" spans="1:10" x14ac:dyDescent="0.25">
      <c r="A459" s="58" t="s">
        <v>3</v>
      </c>
      <c r="B459" s="58"/>
      <c r="C459" s="58"/>
      <c r="D459" s="58"/>
      <c r="E459" s="2">
        <v>-9</v>
      </c>
      <c r="F459" s="59" t="s">
        <v>17</v>
      </c>
      <c r="G459" s="59"/>
    </row>
    <row r="460" spans="1:10" x14ac:dyDescent="0.25">
      <c r="A460" s="58" t="s">
        <v>4</v>
      </c>
      <c r="B460" s="58"/>
      <c r="C460" s="58"/>
      <c r="D460" s="58"/>
      <c r="E460" s="2">
        <v>-10</v>
      </c>
      <c r="F460" s="59" t="s">
        <v>87</v>
      </c>
      <c r="G460" s="59"/>
    </row>
    <row r="461" spans="1:10" x14ac:dyDescent="0.25">
      <c r="A461" s="58" t="s">
        <v>5</v>
      </c>
      <c r="B461" s="58"/>
      <c r="C461" s="58"/>
      <c r="D461" s="58"/>
      <c r="E461" s="2">
        <v>-11</v>
      </c>
      <c r="F461" s="59" t="s">
        <v>21</v>
      </c>
      <c r="G461" s="59"/>
    </row>
    <row r="462" spans="1:10" ht="24" x14ac:dyDescent="0.25">
      <c r="A462" s="3" t="s">
        <v>6</v>
      </c>
      <c r="B462" s="4" t="s">
        <v>7</v>
      </c>
      <c r="C462" s="4" t="s">
        <v>8</v>
      </c>
      <c r="D462" s="17" t="s">
        <v>9</v>
      </c>
      <c r="E462" s="5" t="s">
        <v>10</v>
      </c>
      <c r="F462" s="6" t="s">
        <v>11</v>
      </c>
      <c r="G462" s="7" t="s">
        <v>12</v>
      </c>
    </row>
    <row r="463" spans="1:10" x14ac:dyDescent="0.25">
      <c r="A463" s="8">
        <v>9</v>
      </c>
      <c r="B463" s="8">
        <v>-8</v>
      </c>
      <c r="C463" s="8">
        <v>-9</v>
      </c>
      <c r="D463" s="9">
        <v>-10</v>
      </c>
      <c r="E463" s="9">
        <v>-11</v>
      </c>
      <c r="F463" s="9">
        <v>-12</v>
      </c>
      <c r="G463" s="10">
        <v>-13</v>
      </c>
      <c r="H463" s="11"/>
      <c r="J463" s="45">
        <f>SUM(D417:D433)+SUM(D398:D405)+SUM(D444:D453)+SUM(D464:D468)</f>
        <v>3795000</v>
      </c>
    </row>
    <row r="464" spans="1:10" x14ac:dyDescent="0.25">
      <c r="A464" s="8">
        <v>1</v>
      </c>
      <c r="B464" s="30" t="s">
        <v>219</v>
      </c>
      <c r="C464" s="27" t="s">
        <v>229</v>
      </c>
      <c r="D464" s="28">
        <v>80000</v>
      </c>
      <c r="E464" s="29" t="s">
        <v>233</v>
      </c>
      <c r="F464" s="9"/>
      <c r="G464" s="10"/>
      <c r="H464" s="11"/>
    </row>
    <row r="465" spans="1:10" x14ac:dyDescent="0.25">
      <c r="A465" s="8">
        <v>2</v>
      </c>
      <c r="B465" s="30" t="s">
        <v>219</v>
      </c>
      <c r="C465" s="27" t="s">
        <v>230</v>
      </c>
      <c r="D465" s="28">
        <v>125000</v>
      </c>
      <c r="E465" s="29" t="s">
        <v>233</v>
      </c>
      <c r="F465" s="9"/>
      <c r="G465" s="10"/>
      <c r="H465" s="11"/>
    </row>
    <row r="466" spans="1:10" x14ac:dyDescent="0.25">
      <c r="A466" s="8">
        <v>3</v>
      </c>
      <c r="B466" s="30" t="s">
        <v>219</v>
      </c>
      <c r="C466" s="27" t="s">
        <v>231</v>
      </c>
      <c r="D466" s="28">
        <v>280000</v>
      </c>
      <c r="E466" s="29" t="s">
        <v>233</v>
      </c>
      <c r="F466" s="9"/>
      <c r="G466" s="10"/>
      <c r="H466" s="11"/>
    </row>
    <row r="467" spans="1:10" x14ac:dyDescent="0.25">
      <c r="A467" s="8">
        <v>4</v>
      </c>
      <c r="B467" s="30" t="s">
        <v>219</v>
      </c>
      <c r="C467" s="27" t="s">
        <v>232</v>
      </c>
      <c r="D467" s="28">
        <v>80000</v>
      </c>
      <c r="E467" s="29" t="s">
        <v>233</v>
      </c>
      <c r="F467" s="9"/>
      <c r="G467" s="10"/>
      <c r="H467" s="11"/>
    </row>
    <row r="468" spans="1:10" x14ac:dyDescent="0.25">
      <c r="A468" s="8">
        <v>5</v>
      </c>
      <c r="B468" s="30" t="s">
        <v>219</v>
      </c>
      <c r="C468" s="27" t="s">
        <v>152</v>
      </c>
      <c r="D468" s="28">
        <v>75000</v>
      </c>
      <c r="E468" s="29" t="s">
        <v>233</v>
      </c>
      <c r="F468" s="9"/>
      <c r="G468" s="10"/>
      <c r="H468" s="11"/>
    </row>
    <row r="471" spans="1:10" x14ac:dyDescent="0.25">
      <c r="A471" s="60" t="s">
        <v>0</v>
      </c>
      <c r="B471" s="61"/>
      <c r="C471" s="61"/>
      <c r="D471" s="61"/>
      <c r="E471" s="61"/>
      <c r="F471" s="61"/>
      <c r="G471" s="61"/>
      <c r="H471" s="62"/>
    </row>
    <row r="472" spans="1:10" x14ac:dyDescent="0.25">
      <c r="A472" s="59"/>
      <c r="B472" s="59"/>
      <c r="C472" s="59"/>
      <c r="D472" s="59"/>
      <c r="E472" s="59"/>
      <c r="F472" s="63" t="s">
        <v>1</v>
      </c>
      <c r="G472" s="63"/>
    </row>
    <row r="473" spans="1:10" x14ac:dyDescent="0.25">
      <c r="A473" s="57" t="s">
        <v>2</v>
      </c>
      <c r="B473" s="58"/>
      <c r="C473" s="58"/>
      <c r="D473" s="58"/>
      <c r="E473" s="2">
        <v>-7</v>
      </c>
      <c r="F473" s="59" t="s">
        <v>86</v>
      </c>
      <c r="G473" s="59"/>
    </row>
    <row r="474" spans="1:10" x14ac:dyDescent="0.25">
      <c r="A474" s="57" t="s">
        <v>13</v>
      </c>
      <c r="B474" s="58"/>
      <c r="C474" s="58"/>
      <c r="D474" s="58"/>
      <c r="E474" s="2">
        <v>-8</v>
      </c>
      <c r="F474" s="59" t="s">
        <v>86</v>
      </c>
      <c r="G474" s="59"/>
    </row>
    <row r="475" spans="1:10" x14ac:dyDescent="0.25">
      <c r="A475" s="58" t="s">
        <v>3</v>
      </c>
      <c r="B475" s="58"/>
      <c r="C475" s="58"/>
      <c r="D475" s="58"/>
      <c r="E475" s="2">
        <v>-9</v>
      </c>
      <c r="F475" s="59" t="s">
        <v>17</v>
      </c>
      <c r="G475" s="59"/>
    </row>
    <row r="476" spans="1:10" x14ac:dyDescent="0.25">
      <c r="A476" s="58" t="s">
        <v>4</v>
      </c>
      <c r="B476" s="58"/>
      <c r="C476" s="58"/>
      <c r="D476" s="58"/>
      <c r="E476" s="2">
        <v>-10</v>
      </c>
      <c r="F476" s="59" t="s">
        <v>87</v>
      </c>
      <c r="G476" s="59"/>
    </row>
    <row r="477" spans="1:10" x14ac:dyDescent="0.25">
      <c r="A477" s="58" t="s">
        <v>5</v>
      </c>
      <c r="B477" s="58"/>
      <c r="C477" s="58"/>
      <c r="D477" s="58"/>
      <c r="E477" s="2">
        <v>-11</v>
      </c>
      <c r="F477" s="59" t="s">
        <v>21</v>
      </c>
      <c r="G477" s="59"/>
    </row>
    <row r="478" spans="1:10" ht="24" x14ac:dyDescent="0.25">
      <c r="A478" s="3" t="s">
        <v>6</v>
      </c>
      <c r="B478" s="4" t="s">
        <v>7</v>
      </c>
      <c r="C478" s="4" t="s">
        <v>8</v>
      </c>
      <c r="D478" s="17" t="s">
        <v>9</v>
      </c>
      <c r="E478" s="5" t="s">
        <v>10</v>
      </c>
      <c r="F478" s="6" t="s">
        <v>11</v>
      </c>
      <c r="G478" s="7" t="s">
        <v>12</v>
      </c>
    </row>
    <row r="479" spans="1:10" x14ac:dyDescent="0.25">
      <c r="A479" s="8">
        <v>9</v>
      </c>
      <c r="B479" s="8">
        <v>-8</v>
      </c>
      <c r="C479" s="8">
        <v>-9</v>
      </c>
      <c r="D479" s="9">
        <v>-10</v>
      </c>
      <c r="E479" s="9">
        <v>-11</v>
      </c>
      <c r="F479" s="9">
        <v>-12</v>
      </c>
      <c r="G479" s="10">
        <v>-13</v>
      </c>
      <c r="H479" s="11"/>
      <c r="J479" s="45">
        <f>D480</f>
        <v>350000</v>
      </c>
    </row>
    <row r="480" spans="1:10" x14ac:dyDescent="0.25">
      <c r="A480" s="8">
        <v>1</v>
      </c>
      <c r="B480" s="30" t="s">
        <v>82</v>
      </c>
      <c r="C480" s="27" t="s">
        <v>83</v>
      </c>
      <c r="D480" s="28">
        <v>350000</v>
      </c>
      <c r="E480" s="29" t="s">
        <v>85</v>
      </c>
      <c r="F480" s="9"/>
      <c r="G480" s="10"/>
      <c r="H480" s="11"/>
    </row>
    <row r="482" spans="1:8" x14ac:dyDescent="0.25">
      <c r="A482" s="60" t="s">
        <v>0</v>
      </c>
      <c r="B482" s="61"/>
      <c r="C482" s="61"/>
      <c r="D482" s="61"/>
      <c r="E482" s="61"/>
      <c r="F482" s="61"/>
      <c r="G482" s="61"/>
      <c r="H482" s="62"/>
    </row>
    <row r="483" spans="1:8" x14ac:dyDescent="0.25">
      <c r="A483" s="59"/>
      <c r="B483" s="59"/>
      <c r="C483" s="59"/>
      <c r="D483" s="59"/>
      <c r="E483" s="59"/>
      <c r="F483" s="63" t="s">
        <v>1</v>
      </c>
      <c r="G483" s="63"/>
    </row>
    <row r="484" spans="1:8" x14ac:dyDescent="0.25">
      <c r="A484" s="57" t="s">
        <v>2</v>
      </c>
      <c r="B484" s="58"/>
      <c r="C484" s="58"/>
      <c r="D484" s="58"/>
      <c r="E484" s="2">
        <v>-7</v>
      </c>
      <c r="F484" s="59" t="s">
        <v>71</v>
      </c>
      <c r="G484" s="59"/>
    </row>
    <row r="485" spans="1:8" x14ac:dyDescent="0.25">
      <c r="A485" s="57" t="s">
        <v>13</v>
      </c>
      <c r="B485" s="58"/>
      <c r="C485" s="58"/>
      <c r="D485" s="58"/>
      <c r="E485" s="2">
        <v>-8</v>
      </c>
      <c r="F485" s="59" t="s">
        <v>71</v>
      </c>
      <c r="G485" s="59"/>
    </row>
    <row r="486" spans="1:8" x14ac:dyDescent="0.25">
      <c r="A486" s="58" t="s">
        <v>3</v>
      </c>
      <c r="B486" s="58"/>
      <c r="C486" s="58"/>
      <c r="D486" s="58"/>
      <c r="E486" s="2">
        <v>-9</v>
      </c>
      <c r="F486" s="59" t="s">
        <v>17</v>
      </c>
      <c r="G486" s="59"/>
    </row>
    <row r="487" spans="1:8" x14ac:dyDescent="0.25">
      <c r="A487" s="58" t="s">
        <v>4</v>
      </c>
      <c r="B487" s="58"/>
      <c r="C487" s="58"/>
      <c r="D487" s="58"/>
      <c r="E487" s="2">
        <v>-10</v>
      </c>
      <c r="F487" s="59" t="s">
        <v>77</v>
      </c>
      <c r="G487" s="59"/>
    </row>
    <row r="488" spans="1:8" x14ac:dyDescent="0.25">
      <c r="A488" s="58" t="s">
        <v>5</v>
      </c>
      <c r="B488" s="58"/>
      <c r="C488" s="58"/>
      <c r="D488" s="58"/>
      <c r="E488" s="2">
        <v>-11</v>
      </c>
      <c r="F488" s="59" t="s">
        <v>21</v>
      </c>
      <c r="G488" s="59"/>
    </row>
    <row r="489" spans="1:8" ht="24" x14ac:dyDescent="0.25">
      <c r="A489" s="3" t="s">
        <v>6</v>
      </c>
      <c r="B489" s="4" t="s">
        <v>7</v>
      </c>
      <c r="C489" s="4" t="s">
        <v>8</v>
      </c>
      <c r="D489" s="17" t="s">
        <v>9</v>
      </c>
      <c r="E489" s="5" t="s">
        <v>10</v>
      </c>
      <c r="F489" s="6" t="s">
        <v>11</v>
      </c>
      <c r="G489" s="7" t="s">
        <v>12</v>
      </c>
    </row>
    <row r="490" spans="1:8" x14ac:dyDescent="0.25">
      <c r="A490" s="8">
        <v>9</v>
      </c>
      <c r="B490" s="8">
        <v>-8</v>
      </c>
      <c r="C490" s="8">
        <v>-9</v>
      </c>
      <c r="D490" s="9">
        <v>-10</v>
      </c>
      <c r="E490" s="9">
        <v>-11</v>
      </c>
      <c r="F490" s="9">
        <v>-12</v>
      </c>
      <c r="G490" s="10">
        <v>-13</v>
      </c>
      <c r="H490" s="11"/>
    </row>
    <row r="491" spans="1:8" x14ac:dyDescent="0.25">
      <c r="A491" s="8">
        <v>1</v>
      </c>
      <c r="B491" s="30" t="s">
        <v>78</v>
      </c>
      <c r="C491" s="27" t="s">
        <v>80</v>
      </c>
      <c r="D491" s="28">
        <v>500000</v>
      </c>
      <c r="E491" s="29" t="s">
        <v>81</v>
      </c>
      <c r="F491" s="9"/>
      <c r="G491" s="10"/>
      <c r="H491" s="11"/>
    </row>
    <row r="492" spans="1:8" x14ac:dyDescent="0.25">
      <c r="A492" s="8">
        <v>2</v>
      </c>
      <c r="B492" s="30" t="s">
        <v>78</v>
      </c>
      <c r="C492" s="27" t="s">
        <v>80</v>
      </c>
      <c r="D492" s="28">
        <v>500000</v>
      </c>
      <c r="E492" s="29" t="s">
        <v>81</v>
      </c>
      <c r="F492" s="9"/>
      <c r="G492" s="10"/>
      <c r="H492" s="11"/>
    </row>
    <row r="493" spans="1:8" x14ac:dyDescent="0.25">
      <c r="A493" s="9"/>
      <c r="B493" s="31"/>
      <c r="C493" s="32"/>
      <c r="D493" s="33"/>
      <c r="E493" s="34"/>
      <c r="F493" s="35"/>
      <c r="G493" s="36"/>
      <c r="H493" s="11"/>
    </row>
    <row r="494" spans="1:8" x14ac:dyDescent="0.25">
      <c r="A494" s="60" t="s">
        <v>0</v>
      </c>
      <c r="B494" s="61"/>
      <c r="C494" s="61"/>
      <c r="D494" s="61"/>
      <c r="E494" s="61"/>
      <c r="F494" s="61"/>
      <c r="G494" s="61"/>
      <c r="H494" s="62"/>
    </row>
    <row r="495" spans="1:8" x14ac:dyDescent="0.25">
      <c r="A495" s="59"/>
      <c r="B495" s="59"/>
      <c r="C495" s="59"/>
      <c r="D495" s="59"/>
      <c r="E495" s="59"/>
      <c r="F495" s="63" t="s">
        <v>1</v>
      </c>
      <c r="G495" s="63"/>
    </row>
    <row r="496" spans="1:8" x14ac:dyDescent="0.25">
      <c r="A496" s="57" t="s">
        <v>2</v>
      </c>
      <c r="B496" s="58"/>
      <c r="C496" s="58"/>
      <c r="D496" s="58"/>
      <c r="E496" s="2">
        <v>-2</v>
      </c>
      <c r="F496" s="59" t="s">
        <v>51</v>
      </c>
      <c r="G496" s="59"/>
    </row>
    <row r="497" spans="1:8" x14ac:dyDescent="0.25">
      <c r="A497" s="57" t="s">
        <v>13</v>
      </c>
      <c r="B497" s="58"/>
      <c r="C497" s="58"/>
      <c r="D497" s="58"/>
      <c r="E497" s="2">
        <v>-3</v>
      </c>
      <c r="F497" s="59" t="s">
        <v>51</v>
      </c>
      <c r="G497" s="59"/>
    </row>
    <row r="498" spans="1:8" x14ac:dyDescent="0.25">
      <c r="A498" s="58" t="s">
        <v>3</v>
      </c>
      <c r="B498" s="58"/>
      <c r="C498" s="58"/>
      <c r="D498" s="58"/>
      <c r="E498" s="2">
        <v>-4</v>
      </c>
      <c r="F498" s="59" t="s">
        <v>17</v>
      </c>
      <c r="G498" s="59"/>
    </row>
    <row r="499" spans="1:8" x14ac:dyDescent="0.25">
      <c r="A499" s="58" t="s">
        <v>4</v>
      </c>
      <c r="B499" s="58"/>
      <c r="C499" s="58"/>
      <c r="D499" s="58"/>
      <c r="E499" s="2">
        <v>-5</v>
      </c>
      <c r="F499" s="59" t="s">
        <v>50</v>
      </c>
      <c r="G499" s="59"/>
    </row>
    <row r="500" spans="1:8" x14ac:dyDescent="0.25">
      <c r="A500" s="58" t="s">
        <v>5</v>
      </c>
      <c r="B500" s="58"/>
      <c r="C500" s="58"/>
      <c r="D500" s="58"/>
      <c r="E500" s="2">
        <v>-6</v>
      </c>
      <c r="F500" s="59" t="s">
        <v>21</v>
      </c>
      <c r="G500" s="59"/>
    </row>
    <row r="501" spans="1:8" ht="12.75" customHeight="1" x14ac:dyDescent="0.25">
      <c r="A501" s="3" t="s">
        <v>6</v>
      </c>
      <c r="B501" s="4" t="s">
        <v>7</v>
      </c>
      <c r="C501" s="4" t="s">
        <v>8</v>
      </c>
      <c r="D501" s="17" t="s">
        <v>9</v>
      </c>
      <c r="E501" s="5" t="s">
        <v>10</v>
      </c>
      <c r="F501" s="6" t="s">
        <v>11</v>
      </c>
      <c r="G501" s="7" t="s">
        <v>12</v>
      </c>
    </row>
    <row r="502" spans="1:8" ht="12.75" customHeight="1" x14ac:dyDescent="0.25">
      <c r="A502" s="8">
        <v>-7</v>
      </c>
      <c r="B502" s="8">
        <v>-8</v>
      </c>
      <c r="C502" s="8">
        <v>-9</v>
      </c>
      <c r="D502" s="9">
        <v>-10</v>
      </c>
      <c r="E502" s="9">
        <v>-11</v>
      </c>
      <c r="F502" s="9">
        <v>-12</v>
      </c>
      <c r="G502" s="10">
        <v>-13</v>
      </c>
      <c r="H502" s="11"/>
    </row>
    <row r="503" spans="1:8" x14ac:dyDescent="0.25">
      <c r="A503" s="12">
        <v>1</v>
      </c>
      <c r="B503" s="21" t="s">
        <v>19</v>
      </c>
      <c r="C503" s="12" t="s">
        <v>20</v>
      </c>
      <c r="D503" s="18">
        <v>235000</v>
      </c>
      <c r="E503" s="13" t="s">
        <v>18</v>
      </c>
      <c r="F503" s="13"/>
      <c r="G503" s="14"/>
    </row>
    <row r="505" spans="1:8" x14ac:dyDescent="0.25">
      <c r="A505" s="60" t="s">
        <v>0</v>
      </c>
      <c r="B505" s="61"/>
      <c r="C505" s="61"/>
      <c r="D505" s="61"/>
      <c r="E505" s="61"/>
      <c r="F505" s="61"/>
      <c r="G505" s="61"/>
      <c r="H505" s="62"/>
    </row>
    <row r="506" spans="1:8" x14ac:dyDescent="0.25">
      <c r="A506" s="59"/>
      <c r="B506" s="59"/>
      <c r="C506" s="59"/>
      <c r="D506" s="59"/>
      <c r="E506" s="59"/>
      <c r="F506" s="63" t="s">
        <v>1</v>
      </c>
      <c r="G506" s="63"/>
    </row>
    <row r="507" spans="1:8" x14ac:dyDescent="0.25">
      <c r="A507" s="57" t="s">
        <v>2</v>
      </c>
      <c r="B507" s="58"/>
      <c r="C507" s="58"/>
      <c r="D507" s="58"/>
      <c r="E507" s="2">
        <v>-2</v>
      </c>
      <c r="F507" s="59" t="s">
        <v>52</v>
      </c>
      <c r="G507" s="59"/>
    </row>
    <row r="508" spans="1:8" x14ac:dyDescent="0.25">
      <c r="A508" s="57" t="s">
        <v>13</v>
      </c>
      <c r="B508" s="58"/>
      <c r="C508" s="58"/>
      <c r="D508" s="58"/>
      <c r="E508" s="2">
        <v>-3</v>
      </c>
      <c r="F508" s="59" t="s">
        <v>52</v>
      </c>
      <c r="G508" s="59"/>
    </row>
    <row r="509" spans="1:8" x14ac:dyDescent="0.25">
      <c r="A509" s="58" t="s">
        <v>3</v>
      </c>
      <c r="B509" s="58"/>
      <c r="C509" s="58"/>
      <c r="D509" s="58"/>
      <c r="E509" s="2">
        <v>-4</v>
      </c>
      <c r="F509" s="59" t="s">
        <v>17</v>
      </c>
      <c r="G509" s="59"/>
    </row>
    <row r="510" spans="1:8" x14ac:dyDescent="0.25">
      <c r="A510" s="58" t="s">
        <v>4</v>
      </c>
      <c r="B510" s="58"/>
      <c r="C510" s="58"/>
      <c r="D510" s="58"/>
      <c r="E510" s="2">
        <v>-5</v>
      </c>
      <c r="F510" s="59" t="s">
        <v>53</v>
      </c>
      <c r="G510" s="59"/>
    </row>
    <row r="511" spans="1:8" x14ac:dyDescent="0.25">
      <c r="A511" s="58" t="s">
        <v>5</v>
      </c>
      <c r="B511" s="58"/>
      <c r="C511" s="58"/>
      <c r="D511" s="58"/>
      <c r="E511" s="2">
        <v>-6</v>
      </c>
      <c r="F511" s="59" t="s">
        <v>21</v>
      </c>
      <c r="G511" s="59"/>
    </row>
    <row r="512" spans="1:8" ht="24" x14ac:dyDescent="0.25">
      <c r="A512" s="3" t="s">
        <v>6</v>
      </c>
      <c r="B512" s="4" t="s">
        <v>7</v>
      </c>
      <c r="C512" s="4" t="s">
        <v>8</v>
      </c>
      <c r="D512" s="17" t="s">
        <v>9</v>
      </c>
      <c r="E512" s="5" t="s">
        <v>10</v>
      </c>
      <c r="F512" s="6" t="s">
        <v>11</v>
      </c>
      <c r="G512" s="7" t="s">
        <v>12</v>
      </c>
    </row>
    <row r="513" spans="1:8" x14ac:dyDescent="0.25">
      <c r="A513" s="8">
        <v>-7</v>
      </c>
      <c r="B513" s="8">
        <v>-8</v>
      </c>
      <c r="C513" s="8">
        <v>-9</v>
      </c>
      <c r="D513" s="9">
        <v>-10</v>
      </c>
      <c r="E513" s="9">
        <v>-11</v>
      </c>
      <c r="F513" s="9">
        <v>-12</v>
      </c>
      <c r="G513" s="10">
        <v>-13</v>
      </c>
      <c r="H513" s="11"/>
    </row>
    <row r="514" spans="1:8" x14ac:dyDescent="0.25">
      <c r="A514" s="8">
        <v>1</v>
      </c>
      <c r="B514" s="30" t="s">
        <v>19</v>
      </c>
      <c r="C514" s="23" t="s">
        <v>23</v>
      </c>
      <c r="D514" s="24">
        <v>206000</v>
      </c>
      <c r="E514" s="25" t="s">
        <v>30</v>
      </c>
      <c r="F514" s="9"/>
      <c r="G514" s="10"/>
      <c r="H514" s="11"/>
    </row>
    <row r="515" spans="1:8" x14ac:dyDescent="0.25">
      <c r="A515" s="8">
        <f>1+A514</f>
        <v>2</v>
      </c>
      <c r="B515" s="30" t="s">
        <v>19</v>
      </c>
      <c r="C515" s="23" t="s">
        <v>24</v>
      </c>
      <c r="D515" s="24">
        <v>250000</v>
      </c>
      <c r="E515" s="25" t="s">
        <v>30</v>
      </c>
      <c r="F515" s="9"/>
      <c r="G515" s="10"/>
      <c r="H515" s="11"/>
    </row>
    <row r="516" spans="1:8" ht="12.75" customHeight="1" x14ac:dyDescent="0.25">
      <c r="A516" s="8">
        <f t="shared" ref="A516:A520" si="0">1+A515</f>
        <v>3</v>
      </c>
      <c r="B516" s="30" t="s">
        <v>19</v>
      </c>
      <c r="C516" s="23" t="s">
        <v>25</v>
      </c>
      <c r="D516" s="24">
        <v>30000</v>
      </c>
      <c r="E516" s="25" t="s">
        <v>30</v>
      </c>
      <c r="F516" s="9"/>
      <c r="G516" s="10"/>
      <c r="H516" s="11"/>
    </row>
    <row r="517" spans="1:8" x14ac:dyDescent="0.25">
      <c r="A517" s="8">
        <f t="shared" si="0"/>
        <v>4</v>
      </c>
      <c r="B517" s="30" t="s">
        <v>19</v>
      </c>
      <c r="C517" s="23" t="s">
        <v>26</v>
      </c>
      <c r="D517" s="24">
        <v>80000</v>
      </c>
      <c r="E517" s="25" t="s">
        <v>30</v>
      </c>
      <c r="F517" s="9"/>
      <c r="G517" s="10"/>
      <c r="H517" s="11"/>
    </row>
    <row r="518" spans="1:8" ht="12.75" customHeight="1" x14ac:dyDescent="0.25">
      <c r="A518" s="8">
        <f t="shared" si="0"/>
        <v>5</v>
      </c>
      <c r="B518" s="30" t="s">
        <v>19</v>
      </c>
      <c r="C518" s="23" t="s">
        <v>27</v>
      </c>
      <c r="D518" s="24">
        <v>68000</v>
      </c>
      <c r="E518" s="25" t="s">
        <v>30</v>
      </c>
      <c r="F518" s="9"/>
      <c r="G518" s="10"/>
      <c r="H518" s="11"/>
    </row>
    <row r="519" spans="1:8" ht="12.75" customHeight="1" x14ac:dyDescent="0.25">
      <c r="A519" s="8">
        <f t="shared" si="0"/>
        <v>6</v>
      </c>
      <c r="B519" s="30" t="s">
        <v>19</v>
      </c>
      <c r="C519" s="23" t="s">
        <v>28</v>
      </c>
      <c r="D519" s="24">
        <v>200000</v>
      </c>
      <c r="E519" s="25" t="s">
        <v>30</v>
      </c>
      <c r="F519" s="9"/>
      <c r="G519" s="10"/>
      <c r="H519" s="11"/>
    </row>
    <row r="520" spans="1:8" ht="12.75" customHeight="1" x14ac:dyDescent="0.25">
      <c r="A520" s="8">
        <f t="shared" si="0"/>
        <v>7</v>
      </c>
      <c r="B520" s="30" t="s">
        <v>19</v>
      </c>
      <c r="C520" s="26" t="s">
        <v>29</v>
      </c>
      <c r="D520" s="24">
        <v>80000</v>
      </c>
      <c r="E520" s="25" t="s">
        <v>30</v>
      </c>
      <c r="F520" s="9"/>
      <c r="G520" s="10"/>
      <c r="H520" s="11"/>
    </row>
    <row r="521" spans="1:8" ht="12.75" customHeight="1" x14ac:dyDescent="0.25"/>
    <row r="522" spans="1:8" ht="12.75" customHeight="1" x14ac:dyDescent="0.25">
      <c r="A522" s="60" t="s">
        <v>0</v>
      </c>
      <c r="B522" s="61"/>
      <c r="C522" s="61"/>
      <c r="D522" s="61"/>
      <c r="E522" s="61"/>
      <c r="F522" s="61"/>
      <c r="G522" s="61"/>
      <c r="H522" s="62"/>
    </row>
    <row r="523" spans="1:8" x14ac:dyDescent="0.25">
      <c r="A523" s="59"/>
      <c r="B523" s="59"/>
      <c r="C523" s="59"/>
      <c r="D523" s="59"/>
      <c r="E523" s="59"/>
      <c r="F523" s="63" t="s">
        <v>1</v>
      </c>
      <c r="G523" s="63"/>
    </row>
    <row r="524" spans="1:8" x14ac:dyDescent="0.25">
      <c r="A524" s="57" t="s">
        <v>2</v>
      </c>
      <c r="B524" s="58"/>
      <c r="C524" s="58"/>
      <c r="D524" s="58"/>
      <c r="E524" s="2">
        <v>-7</v>
      </c>
      <c r="F524" s="59" t="s">
        <v>55</v>
      </c>
      <c r="G524" s="59"/>
      <c r="H524" s="59"/>
    </row>
    <row r="525" spans="1:8" x14ac:dyDescent="0.25">
      <c r="A525" s="57" t="s">
        <v>13</v>
      </c>
      <c r="B525" s="58"/>
      <c r="C525" s="58"/>
      <c r="D525" s="58"/>
      <c r="E525" s="2">
        <v>-8</v>
      </c>
      <c r="F525" s="65" t="s">
        <v>55</v>
      </c>
      <c r="G525" s="65"/>
      <c r="H525" s="65"/>
    </row>
    <row r="526" spans="1:8" x14ac:dyDescent="0.25">
      <c r="A526" s="58" t="s">
        <v>3</v>
      </c>
      <c r="B526" s="58"/>
      <c r="C526" s="58"/>
      <c r="D526" s="58"/>
      <c r="E526" s="2">
        <v>-9</v>
      </c>
      <c r="F526" s="59" t="s">
        <v>17</v>
      </c>
      <c r="G526" s="59"/>
    </row>
    <row r="527" spans="1:8" x14ac:dyDescent="0.25">
      <c r="A527" s="58" t="s">
        <v>4</v>
      </c>
      <c r="B527" s="58"/>
      <c r="C527" s="58"/>
      <c r="D527" s="58"/>
      <c r="E527" s="2">
        <v>-10</v>
      </c>
      <c r="F527" s="59" t="s">
        <v>54</v>
      </c>
      <c r="G527" s="59"/>
    </row>
    <row r="528" spans="1:8" x14ac:dyDescent="0.25">
      <c r="A528" s="58" t="s">
        <v>5</v>
      </c>
      <c r="B528" s="58"/>
      <c r="C528" s="58"/>
      <c r="D528" s="58"/>
      <c r="E528" s="2">
        <v>-11</v>
      </c>
      <c r="F528" s="59" t="s">
        <v>21</v>
      </c>
      <c r="G528" s="59"/>
    </row>
    <row r="529" spans="1:8" ht="24" x14ac:dyDescent="0.25">
      <c r="A529" s="3" t="s">
        <v>6</v>
      </c>
      <c r="B529" s="4" t="s">
        <v>7</v>
      </c>
      <c r="C529" s="4" t="s">
        <v>8</v>
      </c>
      <c r="D529" s="17" t="s">
        <v>9</v>
      </c>
      <c r="E529" s="5" t="s">
        <v>10</v>
      </c>
      <c r="F529" s="6" t="s">
        <v>11</v>
      </c>
      <c r="G529" s="7" t="s">
        <v>12</v>
      </c>
    </row>
    <row r="530" spans="1:8" x14ac:dyDescent="0.25">
      <c r="A530" s="8">
        <v>9</v>
      </c>
      <c r="B530" s="8">
        <v>-8</v>
      </c>
      <c r="C530" s="8">
        <v>-9</v>
      </c>
      <c r="D530" s="9">
        <v>-10</v>
      </c>
      <c r="E530" s="9">
        <v>-11</v>
      </c>
      <c r="F530" s="9">
        <v>-12</v>
      </c>
      <c r="G530" s="10">
        <v>-13</v>
      </c>
      <c r="H530" s="11"/>
    </row>
    <row r="531" spans="1:8" x14ac:dyDescent="0.25">
      <c r="A531" s="8">
        <v>1</v>
      </c>
      <c r="B531" s="30" t="s">
        <v>38</v>
      </c>
      <c r="C531" s="27" t="s">
        <v>31</v>
      </c>
      <c r="D531" s="28">
        <v>375000</v>
      </c>
      <c r="E531" s="29" t="s">
        <v>37</v>
      </c>
      <c r="F531" s="9"/>
      <c r="G531" s="10"/>
      <c r="H531" s="11"/>
    </row>
    <row r="532" spans="1:8" x14ac:dyDescent="0.25">
      <c r="A532" s="8">
        <f>1+A531</f>
        <v>2</v>
      </c>
      <c r="B532" s="30" t="s">
        <v>38</v>
      </c>
      <c r="C532" s="27" t="s">
        <v>32</v>
      </c>
      <c r="D532" s="28">
        <v>35000</v>
      </c>
      <c r="E532" s="29" t="s">
        <v>37</v>
      </c>
      <c r="F532" s="9"/>
      <c r="G532" s="10"/>
      <c r="H532" s="11"/>
    </row>
    <row r="533" spans="1:8" x14ac:dyDescent="0.25">
      <c r="A533" s="8">
        <f t="shared" ref="A533:A537" si="1">1+A532</f>
        <v>3</v>
      </c>
      <c r="B533" s="30" t="s">
        <v>38</v>
      </c>
      <c r="C533" s="27" t="s">
        <v>33</v>
      </c>
      <c r="D533" s="28">
        <v>40000</v>
      </c>
      <c r="E533" s="29" t="s">
        <v>37</v>
      </c>
      <c r="F533" s="9"/>
      <c r="G533" s="10"/>
      <c r="H533" s="11"/>
    </row>
    <row r="534" spans="1:8" x14ac:dyDescent="0.25">
      <c r="A534" s="8">
        <f t="shared" si="1"/>
        <v>4</v>
      </c>
      <c r="B534" s="30" t="s">
        <v>38</v>
      </c>
      <c r="C534" s="27" t="s">
        <v>34</v>
      </c>
      <c r="D534" s="28">
        <v>365000</v>
      </c>
      <c r="E534" s="29" t="s">
        <v>37</v>
      </c>
      <c r="F534" s="9"/>
      <c r="G534" s="10"/>
      <c r="H534" s="11"/>
    </row>
    <row r="535" spans="1:8" x14ac:dyDescent="0.25">
      <c r="A535" s="8">
        <f t="shared" si="1"/>
        <v>5</v>
      </c>
      <c r="B535" s="30" t="s">
        <v>38</v>
      </c>
      <c r="C535" s="27" t="s">
        <v>35</v>
      </c>
      <c r="D535" s="28">
        <v>270000</v>
      </c>
      <c r="E535" s="29" t="s">
        <v>37</v>
      </c>
      <c r="F535" s="9"/>
      <c r="G535" s="10"/>
      <c r="H535" s="11"/>
    </row>
    <row r="536" spans="1:8" x14ac:dyDescent="0.25">
      <c r="A536" s="8">
        <f t="shared" si="1"/>
        <v>6</v>
      </c>
      <c r="B536" s="30" t="s">
        <v>38</v>
      </c>
      <c r="C536" s="27" t="s">
        <v>34</v>
      </c>
      <c r="D536" s="28">
        <v>285000</v>
      </c>
      <c r="E536" s="29" t="s">
        <v>37</v>
      </c>
      <c r="F536" s="9"/>
      <c r="G536" s="10"/>
      <c r="H536" s="11"/>
    </row>
    <row r="537" spans="1:8" x14ac:dyDescent="0.25">
      <c r="A537" s="8">
        <f t="shared" si="1"/>
        <v>7</v>
      </c>
      <c r="B537" s="30" t="s">
        <v>38</v>
      </c>
      <c r="C537" s="27" t="s">
        <v>36</v>
      </c>
      <c r="D537" s="28">
        <v>200000</v>
      </c>
      <c r="E537" s="29" t="s">
        <v>37</v>
      </c>
      <c r="F537" s="9"/>
      <c r="G537" s="10"/>
      <c r="H537" s="11"/>
    </row>
    <row r="538" spans="1:8" ht="12.75" customHeight="1" x14ac:dyDescent="0.25"/>
    <row r="539" spans="1:8" x14ac:dyDescent="0.25">
      <c r="A539" s="60" t="s">
        <v>0</v>
      </c>
      <c r="B539" s="61"/>
      <c r="C539" s="61"/>
      <c r="D539" s="61"/>
      <c r="E539" s="61"/>
      <c r="F539" s="61"/>
      <c r="G539" s="61"/>
      <c r="H539" s="62"/>
    </row>
    <row r="540" spans="1:8" x14ac:dyDescent="0.25">
      <c r="A540" s="59"/>
      <c r="B540" s="59"/>
      <c r="C540" s="59"/>
      <c r="D540" s="59"/>
      <c r="E540" s="59"/>
      <c r="F540" s="63" t="s">
        <v>1</v>
      </c>
      <c r="G540" s="63"/>
    </row>
    <row r="541" spans="1:8" x14ac:dyDescent="0.25">
      <c r="A541" s="57" t="s">
        <v>2</v>
      </c>
      <c r="B541" s="58"/>
      <c r="C541" s="58"/>
      <c r="D541" s="58"/>
      <c r="E541" s="2">
        <v>-7</v>
      </c>
      <c r="F541" t="s">
        <v>61</v>
      </c>
      <c r="G541"/>
      <c r="H541"/>
    </row>
    <row r="542" spans="1:8" x14ac:dyDescent="0.25">
      <c r="A542" s="57" t="s">
        <v>13</v>
      </c>
      <c r="B542" s="58"/>
      <c r="C542" s="58"/>
      <c r="D542" s="58"/>
      <c r="E542" s="2">
        <v>-8</v>
      </c>
      <c r="F542" t="s">
        <v>61</v>
      </c>
      <c r="G542"/>
    </row>
    <row r="543" spans="1:8" x14ac:dyDescent="0.25">
      <c r="A543" s="58" t="s">
        <v>3</v>
      </c>
      <c r="B543" s="58"/>
      <c r="C543" s="58"/>
      <c r="D543" s="58"/>
      <c r="E543" s="2">
        <v>-9</v>
      </c>
      <c r="F543" s="59" t="s">
        <v>17</v>
      </c>
      <c r="G543" s="59"/>
    </row>
    <row r="544" spans="1:8" x14ac:dyDescent="0.25">
      <c r="A544" s="58" t="s">
        <v>4</v>
      </c>
      <c r="B544" s="58"/>
      <c r="C544" s="58"/>
      <c r="D544" s="58"/>
      <c r="E544" s="2">
        <v>-10</v>
      </c>
      <c r="F544" s="59" t="s">
        <v>49</v>
      </c>
      <c r="G544" s="59"/>
    </row>
    <row r="545" spans="1:8" x14ac:dyDescent="0.25">
      <c r="A545" s="58" t="s">
        <v>5</v>
      </c>
      <c r="B545" s="58"/>
      <c r="C545" s="58"/>
      <c r="D545" s="58"/>
      <c r="E545" s="2">
        <v>-11</v>
      </c>
      <c r="F545" s="59" t="s">
        <v>21</v>
      </c>
      <c r="G545" s="59"/>
    </row>
    <row r="546" spans="1:8" ht="24" x14ac:dyDescent="0.25">
      <c r="A546" s="3" t="s">
        <v>6</v>
      </c>
      <c r="B546" s="4" t="s">
        <v>7</v>
      </c>
      <c r="C546" s="4" t="s">
        <v>8</v>
      </c>
      <c r="D546" s="17" t="s">
        <v>9</v>
      </c>
      <c r="E546" s="5" t="s">
        <v>10</v>
      </c>
      <c r="F546" s="6" t="s">
        <v>11</v>
      </c>
      <c r="G546" s="7" t="s">
        <v>12</v>
      </c>
    </row>
    <row r="547" spans="1:8" x14ac:dyDescent="0.25">
      <c r="A547" s="8">
        <v>9</v>
      </c>
      <c r="B547" s="8">
        <v>-8</v>
      </c>
      <c r="C547" s="8">
        <v>-9</v>
      </c>
      <c r="D547" s="9">
        <v>-10</v>
      </c>
      <c r="E547" s="9">
        <v>-11</v>
      </c>
      <c r="F547" s="9">
        <v>-12</v>
      </c>
      <c r="G547" s="10">
        <v>-13</v>
      </c>
      <c r="H547" s="11"/>
    </row>
    <row r="548" spans="1:8" ht="12.75" customHeight="1" x14ac:dyDescent="0.25">
      <c r="A548" s="8">
        <v>1</v>
      </c>
      <c r="B548" s="22" t="s">
        <v>48</v>
      </c>
      <c r="C548" s="27" t="s">
        <v>39</v>
      </c>
      <c r="D548" s="28">
        <v>400000</v>
      </c>
      <c r="E548" s="29" t="s">
        <v>37</v>
      </c>
      <c r="F548" s="9"/>
      <c r="G548" s="10"/>
      <c r="H548" s="11"/>
    </row>
    <row r="549" spans="1:8" ht="12.75" customHeight="1" x14ac:dyDescent="0.25">
      <c r="A549" s="8">
        <f>1+A548</f>
        <v>2</v>
      </c>
      <c r="B549" s="22" t="s">
        <v>48</v>
      </c>
      <c r="C549" s="27" t="s">
        <v>40</v>
      </c>
      <c r="D549" s="28">
        <v>75000</v>
      </c>
      <c r="E549" s="29" t="s">
        <v>37</v>
      </c>
      <c r="F549" s="9"/>
      <c r="G549" s="10"/>
      <c r="H549" s="11"/>
    </row>
    <row r="550" spans="1:8" x14ac:dyDescent="0.25">
      <c r="A550" s="8">
        <f t="shared" ref="A550:A557" si="2">1+A549</f>
        <v>3</v>
      </c>
      <c r="B550" s="22" t="s">
        <v>48</v>
      </c>
      <c r="C550" s="27" t="s">
        <v>32</v>
      </c>
      <c r="D550" s="28">
        <v>40000</v>
      </c>
      <c r="E550" s="29" t="s">
        <v>37</v>
      </c>
      <c r="F550" s="9"/>
      <c r="G550" s="10"/>
      <c r="H550" s="11"/>
    </row>
    <row r="551" spans="1:8" ht="12.75" customHeight="1" x14ac:dyDescent="0.25">
      <c r="A551" s="8">
        <f t="shared" si="2"/>
        <v>4</v>
      </c>
      <c r="B551" s="22" t="s">
        <v>48</v>
      </c>
      <c r="C551" s="27" t="s">
        <v>41</v>
      </c>
      <c r="D551" s="28">
        <v>125000</v>
      </c>
      <c r="E551" s="29" t="s">
        <v>37</v>
      </c>
      <c r="F551" s="9"/>
      <c r="G551" s="10"/>
      <c r="H551" s="11"/>
    </row>
    <row r="552" spans="1:8" ht="12.75" customHeight="1" x14ac:dyDescent="0.25">
      <c r="A552" s="8">
        <f t="shared" si="2"/>
        <v>5</v>
      </c>
      <c r="B552" s="22" t="s">
        <v>48</v>
      </c>
      <c r="C552" s="27" t="s">
        <v>42</v>
      </c>
      <c r="D552" s="28">
        <v>150000</v>
      </c>
      <c r="E552" s="29" t="s">
        <v>37</v>
      </c>
      <c r="F552" s="9"/>
      <c r="G552" s="10"/>
      <c r="H552" s="11"/>
    </row>
    <row r="553" spans="1:8" x14ac:dyDescent="0.25">
      <c r="A553" s="8">
        <f t="shared" si="2"/>
        <v>6</v>
      </c>
      <c r="B553" s="22" t="s">
        <v>48</v>
      </c>
      <c r="C553" s="27" t="s">
        <v>43</v>
      </c>
      <c r="D553" s="28">
        <v>150000</v>
      </c>
      <c r="E553" s="29" t="s">
        <v>37</v>
      </c>
      <c r="F553" s="9"/>
      <c r="G553" s="10"/>
      <c r="H553" s="11"/>
    </row>
    <row r="554" spans="1:8" x14ac:dyDescent="0.25">
      <c r="A554" s="8">
        <f t="shared" si="2"/>
        <v>7</v>
      </c>
      <c r="B554" s="22" t="s">
        <v>48</v>
      </c>
      <c r="C554" s="27" t="s">
        <v>44</v>
      </c>
      <c r="D554" s="28">
        <v>50000</v>
      </c>
      <c r="E554" s="29" t="s">
        <v>37</v>
      </c>
      <c r="F554" s="9"/>
      <c r="G554" s="10"/>
      <c r="H554" s="11"/>
    </row>
    <row r="555" spans="1:8" x14ac:dyDescent="0.25">
      <c r="A555" s="8">
        <f t="shared" si="2"/>
        <v>8</v>
      </c>
      <c r="B555" s="22" t="s">
        <v>48</v>
      </c>
      <c r="C555" s="27" t="s">
        <v>45</v>
      </c>
      <c r="D555" s="28">
        <v>300000</v>
      </c>
      <c r="E555" s="29" t="s">
        <v>37</v>
      </c>
      <c r="F555" s="9"/>
      <c r="G555" s="10"/>
      <c r="H555" s="11"/>
    </row>
    <row r="556" spans="1:8" x14ac:dyDescent="0.25">
      <c r="A556" s="8">
        <f t="shared" si="2"/>
        <v>9</v>
      </c>
      <c r="B556" s="22" t="s">
        <v>48</v>
      </c>
      <c r="C556" s="27" t="s">
        <v>46</v>
      </c>
      <c r="D556" s="28">
        <v>100000</v>
      </c>
      <c r="E556" s="29" t="s">
        <v>37</v>
      </c>
      <c r="F556" s="9"/>
      <c r="G556" s="10"/>
      <c r="H556" s="11"/>
    </row>
    <row r="557" spans="1:8" x14ac:dyDescent="0.25">
      <c r="A557" s="8">
        <f t="shared" si="2"/>
        <v>10</v>
      </c>
      <c r="B557" s="22" t="s">
        <v>48</v>
      </c>
      <c r="C557" s="27" t="s">
        <v>47</v>
      </c>
      <c r="D557" s="28">
        <v>300000</v>
      </c>
      <c r="E557" s="29" t="s">
        <v>37</v>
      </c>
      <c r="F557" s="9"/>
      <c r="G557" s="10"/>
      <c r="H557" s="11"/>
    </row>
    <row r="559" spans="1:8" ht="23.25" customHeight="1" x14ac:dyDescent="0.25">
      <c r="A559" s="60" t="s">
        <v>0</v>
      </c>
      <c r="B559" s="61"/>
      <c r="C559" s="61"/>
      <c r="D559" s="61"/>
      <c r="E559" s="61"/>
      <c r="F559" s="61"/>
      <c r="G559" s="61"/>
      <c r="H559" s="62"/>
    </row>
    <row r="560" spans="1:8" x14ac:dyDescent="0.25">
      <c r="A560" s="59"/>
      <c r="B560" s="59"/>
      <c r="C560" s="59"/>
      <c r="D560" s="59"/>
      <c r="E560" s="59"/>
      <c r="F560" s="63" t="s">
        <v>1</v>
      </c>
      <c r="G560" s="63"/>
    </row>
    <row r="561" spans="1:8" ht="12.75" customHeight="1" x14ac:dyDescent="0.25">
      <c r="A561" s="57" t="s">
        <v>2</v>
      </c>
      <c r="B561" s="58"/>
      <c r="C561" s="58"/>
      <c r="D561" s="58"/>
      <c r="E561" s="2">
        <v>-7</v>
      </c>
      <c r="F561" s="59" t="s">
        <v>57</v>
      </c>
      <c r="G561" s="59"/>
    </row>
    <row r="562" spans="1:8" ht="12.75" customHeight="1" x14ac:dyDescent="0.25">
      <c r="A562" s="57" t="s">
        <v>13</v>
      </c>
      <c r="B562" s="58"/>
      <c r="C562" s="58"/>
      <c r="D562" s="58"/>
      <c r="E562" s="2">
        <v>-8</v>
      </c>
      <c r="F562" s="59" t="s">
        <v>57</v>
      </c>
      <c r="G562" s="59"/>
    </row>
    <row r="563" spans="1:8" x14ac:dyDescent="0.25">
      <c r="A563" s="58" t="s">
        <v>3</v>
      </c>
      <c r="B563" s="58"/>
      <c r="C563" s="58"/>
      <c r="D563" s="58"/>
      <c r="E563" s="2">
        <v>-9</v>
      </c>
      <c r="F563" s="59" t="s">
        <v>22</v>
      </c>
      <c r="G563" s="59"/>
    </row>
    <row r="564" spans="1:8" x14ac:dyDescent="0.25">
      <c r="A564" s="58" t="s">
        <v>4</v>
      </c>
      <c r="B564" s="58"/>
      <c r="C564" s="58"/>
      <c r="D564" s="58"/>
      <c r="E564" s="2">
        <v>-10</v>
      </c>
      <c r="F564" s="59" t="s">
        <v>56</v>
      </c>
      <c r="G564" s="59"/>
    </row>
    <row r="565" spans="1:8" x14ac:dyDescent="0.25">
      <c r="A565" s="58" t="s">
        <v>5</v>
      </c>
      <c r="B565" s="58"/>
      <c r="C565" s="58"/>
      <c r="D565" s="58"/>
      <c r="E565" s="2">
        <v>-11</v>
      </c>
      <c r="F565" s="59" t="s">
        <v>21</v>
      </c>
      <c r="G565" s="59"/>
    </row>
    <row r="566" spans="1:8" ht="24" x14ac:dyDescent="0.25">
      <c r="A566" s="3" t="s">
        <v>6</v>
      </c>
      <c r="B566" s="4" t="s">
        <v>7</v>
      </c>
      <c r="C566" s="4" t="s">
        <v>8</v>
      </c>
      <c r="D566" s="17" t="s">
        <v>9</v>
      </c>
      <c r="E566" s="5" t="s">
        <v>10</v>
      </c>
      <c r="F566" s="6" t="s">
        <v>11</v>
      </c>
      <c r="G566" s="7" t="s">
        <v>12</v>
      </c>
    </row>
    <row r="567" spans="1:8" ht="12.75" customHeight="1" x14ac:dyDescent="0.25">
      <c r="A567" s="8">
        <v>9</v>
      </c>
      <c r="B567" s="8">
        <v>-8</v>
      </c>
      <c r="C567" s="8">
        <v>-9</v>
      </c>
      <c r="D567" s="9">
        <v>-10</v>
      </c>
      <c r="E567" s="9">
        <v>-11</v>
      </c>
      <c r="F567" s="9">
        <v>-12</v>
      </c>
      <c r="G567" s="10">
        <v>-13</v>
      </c>
      <c r="H567" s="11"/>
    </row>
    <row r="568" spans="1:8" x14ac:dyDescent="0.25">
      <c r="A568" s="8">
        <v>1</v>
      </c>
      <c r="B568" s="22"/>
      <c r="C568" s="27" t="s">
        <v>58</v>
      </c>
      <c r="D568" s="28">
        <v>600000</v>
      </c>
      <c r="E568" s="29" t="s">
        <v>37</v>
      </c>
      <c r="F568" s="9"/>
      <c r="G568" s="10"/>
      <c r="H568" s="11"/>
    </row>
    <row r="569" spans="1:8" x14ac:dyDescent="0.25">
      <c r="A569" s="8">
        <f>1+A568</f>
        <v>2</v>
      </c>
      <c r="B569" s="22"/>
      <c r="C569" s="27" t="s">
        <v>59</v>
      </c>
      <c r="D569" s="28">
        <v>130000</v>
      </c>
      <c r="E569" s="29" t="s">
        <v>37</v>
      </c>
      <c r="F569" s="9"/>
      <c r="G569" s="10"/>
      <c r="H569" s="11"/>
    </row>
    <row r="570" spans="1:8" x14ac:dyDescent="0.25">
      <c r="A570" s="8">
        <f t="shared" ref="A570" si="3">1+A569</f>
        <v>3</v>
      </c>
      <c r="B570" s="22"/>
      <c r="C570" s="27" t="s">
        <v>60</v>
      </c>
      <c r="D570" s="28">
        <v>50000</v>
      </c>
      <c r="E570" s="29" t="s">
        <v>37</v>
      </c>
      <c r="F570" s="9"/>
      <c r="G570" s="10"/>
      <c r="H570" s="11"/>
    </row>
    <row r="572" spans="1:8" x14ac:dyDescent="0.25">
      <c r="A572" s="60" t="s">
        <v>0</v>
      </c>
      <c r="B572" s="61"/>
      <c r="C572" s="61"/>
      <c r="D572" s="61"/>
      <c r="E572" s="61"/>
      <c r="F572" s="61"/>
      <c r="G572" s="61"/>
      <c r="H572" s="62"/>
    </row>
    <row r="573" spans="1:8" x14ac:dyDescent="0.25">
      <c r="A573" s="59"/>
      <c r="B573" s="59"/>
      <c r="C573" s="59"/>
      <c r="D573" s="59"/>
      <c r="E573" s="59"/>
      <c r="F573" s="63" t="s">
        <v>1</v>
      </c>
      <c r="G573" s="63"/>
    </row>
    <row r="574" spans="1:8" x14ac:dyDescent="0.25">
      <c r="A574" s="57" t="s">
        <v>2</v>
      </c>
      <c r="B574" s="58"/>
      <c r="C574" s="58"/>
      <c r="D574" s="58"/>
      <c r="E574" s="2">
        <v>-7</v>
      </c>
      <c r="F574" t="s">
        <v>61</v>
      </c>
      <c r="G574"/>
      <c r="H574"/>
    </row>
    <row r="575" spans="1:8" x14ac:dyDescent="0.25">
      <c r="A575" s="57" t="s">
        <v>13</v>
      </c>
      <c r="B575" s="58"/>
      <c r="C575" s="58"/>
      <c r="D575" s="58"/>
      <c r="E575" s="2">
        <v>-8</v>
      </c>
      <c r="F575" t="s">
        <v>61</v>
      </c>
      <c r="G575"/>
    </row>
    <row r="576" spans="1:8" x14ac:dyDescent="0.25">
      <c r="A576" s="58" t="s">
        <v>3</v>
      </c>
      <c r="B576" s="58"/>
      <c r="C576" s="58"/>
      <c r="D576" s="58"/>
      <c r="E576" s="2">
        <v>-9</v>
      </c>
      <c r="F576" s="59" t="s">
        <v>22</v>
      </c>
      <c r="G576" s="59"/>
    </row>
    <row r="577" spans="1:8" x14ac:dyDescent="0.25">
      <c r="A577" s="58" t="s">
        <v>4</v>
      </c>
      <c r="B577" s="58"/>
      <c r="C577" s="58"/>
      <c r="D577" s="58"/>
      <c r="E577" s="2">
        <v>-10</v>
      </c>
      <c r="F577" s="59" t="s">
        <v>49</v>
      </c>
      <c r="G577" s="59"/>
    </row>
    <row r="578" spans="1:8" x14ac:dyDescent="0.25">
      <c r="A578" s="58" t="s">
        <v>5</v>
      </c>
      <c r="B578" s="58"/>
      <c r="C578" s="58"/>
      <c r="D578" s="58"/>
      <c r="E578" s="2">
        <v>-11</v>
      </c>
      <c r="F578" s="59" t="s">
        <v>21</v>
      </c>
      <c r="G578" s="59"/>
    </row>
    <row r="579" spans="1:8" ht="24" x14ac:dyDescent="0.25">
      <c r="A579" s="3" t="s">
        <v>6</v>
      </c>
      <c r="B579" s="4" t="s">
        <v>7</v>
      </c>
      <c r="C579" s="4" t="s">
        <v>8</v>
      </c>
      <c r="D579" s="17" t="s">
        <v>9</v>
      </c>
      <c r="E579" s="5" t="s">
        <v>10</v>
      </c>
      <c r="F579" s="6" t="s">
        <v>11</v>
      </c>
      <c r="G579" s="7" t="s">
        <v>12</v>
      </c>
    </row>
    <row r="580" spans="1:8" x14ac:dyDescent="0.25">
      <c r="A580" s="8">
        <v>9</v>
      </c>
      <c r="B580" s="8">
        <v>-8</v>
      </c>
      <c r="C580" s="8">
        <v>-9</v>
      </c>
      <c r="D580" s="9">
        <v>-10</v>
      </c>
      <c r="E580" s="9">
        <v>-11</v>
      </c>
      <c r="F580" s="9">
        <v>-12</v>
      </c>
      <c r="G580" s="10">
        <v>-13</v>
      </c>
      <c r="H580" s="11"/>
    </row>
    <row r="581" spans="1:8" x14ac:dyDescent="0.25">
      <c r="A581" s="8">
        <v>1</v>
      </c>
      <c r="B581" s="30" t="s">
        <v>64</v>
      </c>
      <c r="C581" s="27" t="s">
        <v>39</v>
      </c>
      <c r="D581" s="28">
        <v>300000</v>
      </c>
      <c r="E581" s="29" t="s">
        <v>37</v>
      </c>
      <c r="F581" s="9"/>
      <c r="G581" s="10"/>
      <c r="H581" s="11"/>
    </row>
    <row r="582" spans="1:8" x14ac:dyDescent="0.25">
      <c r="A582" s="8">
        <f>1+A581</f>
        <v>2</v>
      </c>
      <c r="B582" s="30" t="s">
        <v>64</v>
      </c>
      <c r="C582" s="27" t="s">
        <v>62</v>
      </c>
      <c r="D582" s="28">
        <v>350000</v>
      </c>
      <c r="E582" s="29" t="s">
        <v>37</v>
      </c>
      <c r="F582" s="9"/>
      <c r="G582" s="10"/>
      <c r="H582" s="11"/>
    </row>
    <row r="583" spans="1:8" x14ac:dyDescent="0.25">
      <c r="A583" s="8">
        <f t="shared" ref="A583:A584" si="4">1+A582</f>
        <v>3</v>
      </c>
      <c r="B583" s="30" t="s">
        <v>64</v>
      </c>
      <c r="C583" s="27" t="s">
        <v>32</v>
      </c>
      <c r="D583" s="28">
        <v>40000</v>
      </c>
      <c r="E583" s="29" t="s">
        <v>37</v>
      </c>
      <c r="F583" s="9"/>
      <c r="G583" s="10"/>
      <c r="H583" s="11"/>
    </row>
    <row r="584" spans="1:8" x14ac:dyDescent="0.25">
      <c r="A584" s="8">
        <f t="shared" si="4"/>
        <v>4</v>
      </c>
      <c r="B584" s="30" t="s">
        <v>64</v>
      </c>
      <c r="C584" s="27" t="s">
        <v>63</v>
      </c>
      <c r="D584" s="28">
        <v>125000</v>
      </c>
      <c r="E584" s="29" t="s">
        <v>37</v>
      </c>
      <c r="F584" s="9"/>
      <c r="G584" s="10"/>
      <c r="H584" s="11"/>
    </row>
    <row r="585" spans="1:8" x14ac:dyDescent="0.25">
      <c r="A585" s="8">
        <f>1+A584</f>
        <v>5</v>
      </c>
      <c r="B585" s="30" t="s">
        <v>64</v>
      </c>
      <c r="C585" s="27" t="s">
        <v>58</v>
      </c>
      <c r="D585" s="28">
        <v>400000</v>
      </c>
      <c r="E585" s="29" t="s">
        <v>37</v>
      </c>
      <c r="F585" s="9"/>
      <c r="G585" s="10"/>
      <c r="H585" s="11"/>
    </row>
    <row r="587" spans="1:8" x14ac:dyDescent="0.25">
      <c r="A587" s="60" t="s">
        <v>0</v>
      </c>
      <c r="B587" s="61"/>
      <c r="C587" s="61"/>
      <c r="D587" s="61"/>
      <c r="E587" s="61"/>
      <c r="F587" s="61"/>
      <c r="G587" s="61"/>
      <c r="H587" s="62"/>
    </row>
    <row r="588" spans="1:8" x14ac:dyDescent="0.25">
      <c r="A588" s="59"/>
      <c r="B588" s="59"/>
      <c r="C588" s="59"/>
      <c r="D588" s="59"/>
      <c r="E588" s="59"/>
      <c r="F588" s="63" t="s">
        <v>1</v>
      </c>
      <c r="G588" s="63"/>
    </row>
    <row r="589" spans="1:8" x14ac:dyDescent="0.25">
      <c r="A589" s="57" t="s">
        <v>2</v>
      </c>
      <c r="B589" s="58"/>
      <c r="C589" s="58"/>
      <c r="D589" s="58"/>
      <c r="E589" s="2">
        <v>-7</v>
      </c>
      <c r="F589" s="59" t="s">
        <v>66</v>
      </c>
      <c r="G589" s="59"/>
    </row>
    <row r="590" spans="1:8" x14ac:dyDescent="0.25">
      <c r="A590" s="57" t="s">
        <v>13</v>
      </c>
      <c r="B590" s="58"/>
      <c r="C590" s="58"/>
      <c r="D590" s="58"/>
      <c r="E590" s="2">
        <v>-8</v>
      </c>
      <c r="F590" s="59" t="s">
        <v>66</v>
      </c>
      <c r="G590" s="59"/>
    </row>
    <row r="591" spans="1:8" x14ac:dyDescent="0.25">
      <c r="A591" s="58" t="s">
        <v>3</v>
      </c>
      <c r="B591" s="58"/>
      <c r="C591" s="58"/>
      <c r="D591" s="58"/>
      <c r="E591" s="2">
        <v>-9</v>
      </c>
      <c r="F591" s="59" t="s">
        <v>22</v>
      </c>
      <c r="G591" s="59"/>
    </row>
    <row r="592" spans="1:8" x14ac:dyDescent="0.25">
      <c r="A592" s="58" t="s">
        <v>4</v>
      </c>
      <c r="B592" s="58"/>
      <c r="C592" s="58"/>
      <c r="D592" s="58"/>
      <c r="E592" s="2">
        <v>-10</v>
      </c>
      <c r="F592" s="59" t="s">
        <v>65</v>
      </c>
      <c r="G592" s="59"/>
    </row>
    <row r="593" spans="1:10" x14ac:dyDescent="0.25">
      <c r="A593" s="58" t="s">
        <v>5</v>
      </c>
      <c r="B593" s="58"/>
      <c r="C593" s="58"/>
      <c r="D593" s="58"/>
      <c r="E593" s="2">
        <v>-11</v>
      </c>
      <c r="F593" s="59" t="s">
        <v>21</v>
      </c>
      <c r="G593" s="59"/>
    </row>
    <row r="594" spans="1:10" ht="24" x14ac:dyDescent="0.25">
      <c r="A594" s="3" t="s">
        <v>6</v>
      </c>
      <c r="B594" s="4" t="s">
        <v>7</v>
      </c>
      <c r="C594" s="4" t="s">
        <v>8</v>
      </c>
      <c r="D594" s="17" t="s">
        <v>9</v>
      </c>
      <c r="E594" s="5" t="s">
        <v>10</v>
      </c>
      <c r="F594" s="6" t="s">
        <v>11</v>
      </c>
      <c r="G594" s="7" t="s">
        <v>12</v>
      </c>
    </row>
    <row r="595" spans="1:10" x14ac:dyDescent="0.25">
      <c r="A595" s="8">
        <v>9</v>
      </c>
      <c r="B595" s="8">
        <v>-8</v>
      </c>
      <c r="C595" s="8">
        <v>-9</v>
      </c>
      <c r="D595" s="9">
        <v>-10</v>
      </c>
      <c r="E595" s="9">
        <v>-11</v>
      </c>
      <c r="F595" s="9">
        <v>-12</v>
      </c>
      <c r="G595" s="10">
        <v>-13</v>
      </c>
      <c r="H595" s="11"/>
      <c r="J595" s="45">
        <f>SUM(D596:D597)+SUM(D581:D585)+SUM(D568:D570)+SUM(D548:D557)+SUM(D531:D537)+SUM(D514:D520)+D503+SUM(D491:D492)</f>
        <v>8104000</v>
      </c>
    </row>
    <row r="596" spans="1:10" x14ac:dyDescent="0.25">
      <c r="A596" s="8">
        <v>1</v>
      </c>
      <c r="B596" s="22" t="s">
        <v>48</v>
      </c>
      <c r="C596" s="27" t="s">
        <v>68</v>
      </c>
      <c r="D596" s="28">
        <v>350000</v>
      </c>
      <c r="E596" s="29" t="s">
        <v>67</v>
      </c>
      <c r="F596" s="9"/>
      <c r="G596" s="10"/>
      <c r="H596" s="11"/>
    </row>
    <row r="597" spans="1:10" x14ac:dyDescent="0.25">
      <c r="A597" s="8">
        <f>1+A596</f>
        <v>2</v>
      </c>
      <c r="B597" s="22" t="s">
        <v>48</v>
      </c>
      <c r="C597" s="27" t="s">
        <v>69</v>
      </c>
      <c r="D597" s="28">
        <v>350000</v>
      </c>
      <c r="E597" s="29" t="s">
        <v>67</v>
      </c>
      <c r="F597" s="9"/>
      <c r="G597" s="10"/>
      <c r="H597" s="11"/>
    </row>
    <row r="598" spans="1:10" x14ac:dyDescent="0.25">
      <c r="A598" s="9"/>
      <c r="B598" s="55"/>
      <c r="C598" s="32"/>
      <c r="D598" s="33"/>
      <c r="E598" s="34"/>
      <c r="F598" s="35"/>
      <c r="G598" s="36"/>
      <c r="H598" s="11"/>
    </row>
    <row r="599" spans="1:10" x14ac:dyDescent="0.25">
      <c r="A599" s="60" t="s">
        <v>0</v>
      </c>
      <c r="B599" s="61"/>
      <c r="C599" s="61"/>
      <c r="D599" s="61"/>
      <c r="E599" s="61"/>
      <c r="F599" s="61"/>
      <c r="G599" s="61"/>
      <c r="H599" s="62"/>
    </row>
    <row r="600" spans="1:10" x14ac:dyDescent="0.25">
      <c r="A600" s="59"/>
      <c r="B600" s="59"/>
      <c r="C600" s="59"/>
      <c r="D600" s="59"/>
      <c r="E600" s="59"/>
      <c r="F600" s="63" t="s">
        <v>1</v>
      </c>
      <c r="G600" s="63"/>
    </row>
    <row r="601" spans="1:10" x14ac:dyDescent="0.25">
      <c r="A601" s="57" t="s">
        <v>2</v>
      </c>
      <c r="B601" s="58"/>
      <c r="C601" s="58"/>
      <c r="D601" s="58"/>
      <c r="E601" s="2">
        <v>-7</v>
      </c>
      <c r="F601" s="59" t="s">
        <v>71</v>
      </c>
      <c r="G601" s="59"/>
    </row>
    <row r="602" spans="1:10" x14ac:dyDescent="0.25">
      <c r="A602" s="57" t="s">
        <v>13</v>
      </c>
      <c r="B602" s="58"/>
      <c r="C602" s="58"/>
      <c r="D602" s="58"/>
      <c r="E602" s="2">
        <v>-8</v>
      </c>
      <c r="F602" s="59" t="s">
        <v>71</v>
      </c>
      <c r="G602" s="59"/>
    </row>
    <row r="603" spans="1:10" x14ac:dyDescent="0.25">
      <c r="A603" s="58" t="s">
        <v>3</v>
      </c>
      <c r="B603" s="58"/>
      <c r="C603" s="58"/>
      <c r="D603" s="58"/>
      <c r="E603" s="2">
        <v>-9</v>
      </c>
      <c r="F603" s="59" t="s">
        <v>17</v>
      </c>
      <c r="G603" s="59"/>
    </row>
    <row r="604" spans="1:10" x14ac:dyDescent="0.25">
      <c r="A604" s="58" t="s">
        <v>4</v>
      </c>
      <c r="B604" s="58"/>
      <c r="C604" s="58"/>
      <c r="D604" s="58"/>
      <c r="E604" s="2">
        <v>-10</v>
      </c>
      <c r="F604" s="59" t="s">
        <v>77</v>
      </c>
      <c r="G604" s="59"/>
    </row>
    <row r="605" spans="1:10" x14ac:dyDescent="0.25">
      <c r="A605" s="58" t="s">
        <v>5</v>
      </c>
      <c r="B605" s="58"/>
      <c r="C605" s="58"/>
      <c r="D605" s="58"/>
      <c r="E605" s="2">
        <v>-11</v>
      </c>
      <c r="F605" s="59" t="s">
        <v>21</v>
      </c>
      <c r="G605" s="59"/>
    </row>
    <row r="606" spans="1:10" ht="24" x14ac:dyDescent="0.25">
      <c r="A606" s="3" t="s">
        <v>6</v>
      </c>
      <c r="B606" s="4" t="s">
        <v>7</v>
      </c>
      <c r="C606" s="4" t="s">
        <v>8</v>
      </c>
      <c r="D606" s="17" t="s">
        <v>9</v>
      </c>
      <c r="E606" s="5" t="s">
        <v>10</v>
      </c>
      <c r="F606" s="6" t="s">
        <v>11</v>
      </c>
      <c r="G606" s="7" t="s">
        <v>12</v>
      </c>
    </row>
    <row r="607" spans="1:10" x14ac:dyDescent="0.25">
      <c r="A607" s="8">
        <v>9</v>
      </c>
      <c r="B607" s="8">
        <v>-8</v>
      </c>
      <c r="C607" s="8">
        <v>-9</v>
      </c>
      <c r="D607" s="9">
        <v>-10</v>
      </c>
      <c r="E607" s="9">
        <v>-11</v>
      </c>
      <c r="F607" s="9">
        <v>-12</v>
      </c>
      <c r="G607" s="10">
        <v>-13</v>
      </c>
      <c r="H607" s="11"/>
      <c r="J607" s="45">
        <f>SUM(D608:D610)</f>
        <v>1500000</v>
      </c>
    </row>
    <row r="608" spans="1:10" x14ac:dyDescent="0.25">
      <c r="A608" s="8">
        <v>1</v>
      </c>
      <c r="B608" s="30" t="s">
        <v>155</v>
      </c>
      <c r="C608" s="27" t="s">
        <v>80</v>
      </c>
      <c r="D608" s="28">
        <v>500000</v>
      </c>
      <c r="E608" s="29" t="s">
        <v>81</v>
      </c>
      <c r="F608" s="9"/>
      <c r="G608" s="10"/>
      <c r="H608" s="11"/>
    </row>
    <row r="609" spans="1:10" x14ac:dyDescent="0.25">
      <c r="A609" s="8">
        <v>2</v>
      </c>
      <c r="B609" s="30" t="s">
        <v>155</v>
      </c>
      <c r="C609" s="27" t="s">
        <v>80</v>
      </c>
      <c r="D609" s="28">
        <v>500000</v>
      </c>
      <c r="E609" s="29" t="s">
        <v>81</v>
      </c>
      <c r="F609" s="9"/>
      <c r="G609" s="10"/>
      <c r="H609" s="11"/>
    </row>
    <row r="610" spans="1:10" x14ac:dyDescent="0.25">
      <c r="A610" s="8">
        <v>3</v>
      </c>
      <c r="B610" s="30" t="s">
        <v>155</v>
      </c>
      <c r="C610" s="27" t="s">
        <v>80</v>
      </c>
      <c r="D610" s="28">
        <v>500000</v>
      </c>
      <c r="E610" s="29" t="s">
        <v>81</v>
      </c>
      <c r="F610" s="9"/>
      <c r="G610" s="10"/>
      <c r="H610" s="11"/>
    </row>
    <row r="613" spans="1:10" x14ac:dyDescent="0.25">
      <c r="A613" s="60" t="s">
        <v>0</v>
      </c>
      <c r="B613" s="61"/>
      <c r="C613" s="61"/>
      <c r="D613" s="61"/>
      <c r="E613" s="61"/>
      <c r="F613" s="61"/>
      <c r="G613" s="61"/>
      <c r="H613" s="62"/>
    </row>
    <row r="614" spans="1:10" x14ac:dyDescent="0.25">
      <c r="A614" s="59"/>
      <c r="B614" s="59"/>
      <c r="C614" s="59"/>
      <c r="D614" s="59"/>
      <c r="E614" s="59"/>
      <c r="F614" s="63" t="s">
        <v>1</v>
      </c>
      <c r="G614" s="63"/>
    </row>
    <row r="615" spans="1:10" x14ac:dyDescent="0.25">
      <c r="A615" s="57" t="s">
        <v>2</v>
      </c>
      <c r="B615" s="58"/>
      <c r="C615" s="58"/>
      <c r="D615" s="58"/>
      <c r="E615" s="2">
        <v>-7</v>
      </c>
      <c r="F615" s="59" t="s">
        <v>71</v>
      </c>
      <c r="G615" s="59"/>
    </row>
    <row r="616" spans="1:10" x14ac:dyDescent="0.25">
      <c r="A616" s="57" t="s">
        <v>13</v>
      </c>
      <c r="B616" s="58"/>
      <c r="C616" s="58"/>
      <c r="D616" s="58"/>
      <c r="E616" s="2">
        <v>-8</v>
      </c>
      <c r="F616" s="59" t="s">
        <v>71</v>
      </c>
      <c r="G616" s="59"/>
    </row>
    <row r="617" spans="1:10" x14ac:dyDescent="0.25">
      <c r="A617" s="58" t="s">
        <v>3</v>
      </c>
      <c r="B617" s="58"/>
      <c r="C617" s="58"/>
      <c r="D617" s="58"/>
      <c r="E617" s="2">
        <v>-9</v>
      </c>
      <c r="F617" s="59" t="s">
        <v>17</v>
      </c>
      <c r="G617" s="59"/>
    </row>
    <row r="618" spans="1:10" x14ac:dyDescent="0.25">
      <c r="A618" s="58" t="s">
        <v>4</v>
      </c>
      <c r="B618" s="58"/>
      <c r="C618" s="58"/>
      <c r="D618" s="58"/>
      <c r="E618" s="2">
        <v>-10</v>
      </c>
      <c r="F618" s="59" t="s">
        <v>70</v>
      </c>
      <c r="G618" s="59"/>
    </row>
    <row r="619" spans="1:10" x14ac:dyDescent="0.25">
      <c r="A619" s="58" t="s">
        <v>5</v>
      </c>
      <c r="B619" s="58"/>
      <c r="C619" s="58"/>
      <c r="D619" s="58"/>
      <c r="E619" s="2">
        <v>-11</v>
      </c>
      <c r="F619" s="59" t="s">
        <v>21</v>
      </c>
      <c r="G619" s="59"/>
    </row>
    <row r="620" spans="1:10" ht="24" x14ac:dyDescent="0.25">
      <c r="A620" s="3" t="s">
        <v>6</v>
      </c>
      <c r="B620" s="4" t="s">
        <v>7</v>
      </c>
      <c r="C620" s="4" t="s">
        <v>8</v>
      </c>
      <c r="D620" s="17" t="s">
        <v>9</v>
      </c>
      <c r="E620" s="5" t="s">
        <v>10</v>
      </c>
      <c r="F620" s="6" t="s">
        <v>11</v>
      </c>
      <c r="G620" s="7" t="s">
        <v>12</v>
      </c>
    </row>
    <row r="621" spans="1:10" x14ac:dyDescent="0.25">
      <c r="A621" s="8">
        <v>9</v>
      </c>
      <c r="B621" s="8">
        <v>-8</v>
      </c>
      <c r="C621" s="8">
        <v>-9</v>
      </c>
      <c r="D621" s="9">
        <v>-10</v>
      </c>
      <c r="E621" s="9">
        <v>-11</v>
      </c>
      <c r="F621" s="9">
        <v>-12</v>
      </c>
      <c r="G621" s="10">
        <v>-13</v>
      </c>
      <c r="H621" s="11"/>
      <c r="J621" s="45">
        <f>SUM(D622:D626)</f>
        <v>458000</v>
      </c>
    </row>
    <row r="622" spans="1:10" x14ac:dyDescent="0.25">
      <c r="A622" s="8">
        <v>1</v>
      </c>
      <c r="B622" s="30" t="s">
        <v>79</v>
      </c>
      <c r="C622" s="27" t="s">
        <v>72</v>
      </c>
      <c r="D622" s="28">
        <v>115000</v>
      </c>
      <c r="E622" s="29" t="s">
        <v>30</v>
      </c>
      <c r="F622" s="9"/>
      <c r="G622" s="10"/>
      <c r="H622" s="11"/>
    </row>
    <row r="623" spans="1:10" x14ac:dyDescent="0.25">
      <c r="A623" s="8">
        <f>1+A622</f>
        <v>2</v>
      </c>
      <c r="B623" s="30" t="s">
        <v>79</v>
      </c>
      <c r="C623" s="27" t="s">
        <v>73</v>
      </c>
      <c r="D623" s="28">
        <v>78000</v>
      </c>
      <c r="E623" s="29" t="s">
        <v>30</v>
      </c>
      <c r="F623" s="9"/>
      <c r="G623" s="10"/>
      <c r="H623" s="11"/>
    </row>
    <row r="624" spans="1:10" x14ac:dyDescent="0.25">
      <c r="A624" s="8">
        <v>3</v>
      </c>
      <c r="B624" s="30" t="s">
        <v>79</v>
      </c>
      <c r="C624" s="27" t="s">
        <v>74</v>
      </c>
      <c r="D624" s="28">
        <v>90000</v>
      </c>
      <c r="E624" s="29" t="s">
        <v>30</v>
      </c>
      <c r="F624" s="9"/>
      <c r="G624" s="10"/>
      <c r="H624" s="11"/>
    </row>
    <row r="625" spans="1:8" x14ac:dyDescent="0.25">
      <c r="A625" s="8">
        <v>4</v>
      </c>
      <c r="B625" s="30" t="s">
        <v>79</v>
      </c>
      <c r="C625" s="27" t="s">
        <v>75</v>
      </c>
      <c r="D625" s="28">
        <v>25000</v>
      </c>
      <c r="E625" s="29" t="s">
        <v>30</v>
      </c>
      <c r="F625" s="9"/>
      <c r="G625" s="10"/>
      <c r="H625" s="11"/>
    </row>
    <row r="626" spans="1:8" x14ac:dyDescent="0.25">
      <c r="A626" s="8">
        <v>5</v>
      </c>
      <c r="B626" s="30" t="s">
        <v>79</v>
      </c>
      <c r="C626" s="27" t="s">
        <v>76</v>
      </c>
      <c r="D626" s="28">
        <v>150000</v>
      </c>
      <c r="E626" s="29" t="s">
        <v>30</v>
      </c>
      <c r="F626" s="9"/>
      <c r="G626" s="10"/>
      <c r="H626" s="11"/>
    </row>
    <row r="629" spans="1:8" x14ac:dyDescent="0.25">
      <c r="A629" s="60" t="s">
        <v>0</v>
      </c>
      <c r="B629" s="61"/>
      <c r="C629" s="61"/>
      <c r="D629" s="61"/>
      <c r="E629" s="61"/>
      <c r="F629" s="61"/>
      <c r="G629" s="61"/>
      <c r="H629" s="62"/>
    </row>
    <row r="630" spans="1:8" x14ac:dyDescent="0.25">
      <c r="A630" s="59"/>
      <c r="B630" s="59"/>
      <c r="C630" s="59"/>
      <c r="D630" s="59"/>
      <c r="E630" s="59"/>
      <c r="F630" s="63" t="s">
        <v>1</v>
      </c>
      <c r="G630" s="63"/>
    </row>
    <row r="631" spans="1:8" x14ac:dyDescent="0.25">
      <c r="A631" s="57" t="s">
        <v>2</v>
      </c>
      <c r="B631" s="58"/>
      <c r="C631" s="58"/>
      <c r="D631" s="58"/>
      <c r="E631" s="2">
        <v>-7</v>
      </c>
      <c r="F631" s="59" t="s">
        <v>71</v>
      </c>
      <c r="G631" s="59"/>
    </row>
    <row r="632" spans="1:8" x14ac:dyDescent="0.25">
      <c r="A632" s="57" t="s">
        <v>13</v>
      </c>
      <c r="B632" s="58"/>
      <c r="C632" s="58"/>
      <c r="D632" s="58"/>
      <c r="E632" s="2">
        <v>-8</v>
      </c>
      <c r="F632" s="59" t="s">
        <v>71</v>
      </c>
      <c r="G632" s="59"/>
    </row>
    <row r="633" spans="1:8" x14ac:dyDescent="0.25">
      <c r="A633" s="58" t="s">
        <v>3</v>
      </c>
      <c r="B633" s="58"/>
      <c r="C633" s="58"/>
      <c r="D633" s="58"/>
      <c r="E633" s="2">
        <v>-9</v>
      </c>
      <c r="F633" s="59" t="s">
        <v>17</v>
      </c>
      <c r="G633" s="59"/>
    </row>
    <row r="634" spans="1:8" x14ac:dyDescent="0.25">
      <c r="A634" s="58" t="s">
        <v>4</v>
      </c>
      <c r="B634" s="58"/>
      <c r="C634" s="58"/>
      <c r="D634" s="58"/>
      <c r="E634" s="2">
        <v>-10</v>
      </c>
      <c r="F634" s="59" t="s">
        <v>77</v>
      </c>
      <c r="G634" s="59"/>
    </row>
    <row r="635" spans="1:8" x14ac:dyDescent="0.25">
      <c r="A635" s="58" t="s">
        <v>5</v>
      </c>
      <c r="B635" s="58"/>
      <c r="C635" s="58"/>
      <c r="D635" s="58"/>
      <c r="E635" s="2">
        <v>-11</v>
      </c>
      <c r="F635" s="59" t="s">
        <v>21</v>
      </c>
      <c r="G635" s="59"/>
    </row>
    <row r="636" spans="1:8" ht="24" x14ac:dyDescent="0.25">
      <c r="A636" s="3" t="s">
        <v>6</v>
      </c>
      <c r="B636" s="4" t="s">
        <v>7</v>
      </c>
      <c r="C636" s="4" t="s">
        <v>8</v>
      </c>
      <c r="D636" s="17" t="s">
        <v>9</v>
      </c>
      <c r="E636" s="5" t="s">
        <v>10</v>
      </c>
      <c r="F636" s="6" t="s">
        <v>11</v>
      </c>
      <c r="G636" s="7" t="s">
        <v>12</v>
      </c>
    </row>
    <row r="637" spans="1:8" x14ac:dyDescent="0.25">
      <c r="A637" s="8">
        <v>9</v>
      </c>
      <c r="B637" s="8">
        <v>-8</v>
      </c>
      <c r="C637" s="8">
        <v>-9</v>
      </c>
      <c r="D637" s="9">
        <v>-10</v>
      </c>
      <c r="E637" s="9">
        <v>-11</v>
      </c>
      <c r="F637" s="9">
        <v>-12</v>
      </c>
      <c r="G637" s="10">
        <v>-13</v>
      </c>
      <c r="H637" s="11"/>
    </row>
    <row r="638" spans="1:8" x14ac:dyDescent="0.25">
      <c r="A638" s="8">
        <v>1</v>
      </c>
      <c r="B638" s="30" t="s">
        <v>88</v>
      </c>
      <c r="C638" s="27" t="s">
        <v>80</v>
      </c>
      <c r="D638" s="28">
        <v>500000</v>
      </c>
      <c r="E638" s="29" t="s">
        <v>81</v>
      </c>
      <c r="F638" s="9"/>
      <c r="G638" s="10"/>
      <c r="H638" s="11"/>
    </row>
    <row r="639" spans="1:8" x14ac:dyDescent="0.25">
      <c r="A639" s="8">
        <v>2</v>
      </c>
      <c r="B639" s="30" t="s">
        <v>88</v>
      </c>
      <c r="C639" s="27" t="s">
        <v>80</v>
      </c>
      <c r="D639" s="28">
        <v>500000</v>
      </c>
      <c r="E639" s="29" t="s">
        <v>81</v>
      </c>
      <c r="F639" s="9"/>
      <c r="G639" s="10"/>
      <c r="H639" s="11"/>
    </row>
    <row r="640" spans="1:8" x14ac:dyDescent="0.25">
      <c r="A640" s="8">
        <v>3</v>
      </c>
      <c r="B640" s="30" t="s">
        <v>88</v>
      </c>
      <c r="C640" s="27" t="s">
        <v>80</v>
      </c>
      <c r="D640" s="28">
        <v>500000</v>
      </c>
      <c r="E640" s="29" t="s">
        <v>81</v>
      </c>
      <c r="F640" s="9"/>
      <c r="G640" s="10"/>
      <c r="H640" s="11"/>
    </row>
    <row r="642" spans="1:8" x14ac:dyDescent="0.25">
      <c r="A642" s="60" t="s">
        <v>0</v>
      </c>
      <c r="B642" s="61"/>
      <c r="C642" s="61"/>
      <c r="D642" s="61"/>
      <c r="E642" s="61"/>
      <c r="F642" s="61"/>
      <c r="G642" s="61"/>
      <c r="H642" s="62"/>
    </row>
    <row r="643" spans="1:8" x14ac:dyDescent="0.25">
      <c r="A643" s="59"/>
      <c r="B643" s="59"/>
      <c r="C643" s="59"/>
      <c r="D643" s="59"/>
      <c r="E643" s="59"/>
      <c r="F643" s="63" t="s">
        <v>1</v>
      </c>
      <c r="G643" s="63"/>
    </row>
    <row r="644" spans="1:8" x14ac:dyDescent="0.25">
      <c r="A644" s="57" t="s">
        <v>2</v>
      </c>
      <c r="B644" s="58"/>
      <c r="C644" s="58"/>
      <c r="D644" s="58"/>
      <c r="E644" s="2">
        <v>-7</v>
      </c>
      <c r="F644" s="59" t="s">
        <v>71</v>
      </c>
      <c r="G644" s="59"/>
    </row>
    <row r="645" spans="1:8" x14ac:dyDescent="0.25">
      <c r="A645" s="57" t="s">
        <v>13</v>
      </c>
      <c r="B645" s="58"/>
      <c r="C645" s="58"/>
      <c r="D645" s="58"/>
      <c r="E645" s="2">
        <v>-8</v>
      </c>
      <c r="F645" s="59" t="s">
        <v>71</v>
      </c>
      <c r="G645" s="59"/>
    </row>
    <row r="646" spans="1:8" x14ac:dyDescent="0.25">
      <c r="A646" s="58" t="s">
        <v>3</v>
      </c>
      <c r="B646" s="58"/>
      <c r="C646" s="58"/>
      <c r="D646" s="58"/>
      <c r="E646" s="2">
        <v>-9</v>
      </c>
      <c r="F646" s="59" t="s">
        <v>17</v>
      </c>
      <c r="G646" s="59"/>
    </row>
    <row r="647" spans="1:8" x14ac:dyDescent="0.25">
      <c r="A647" s="58" t="s">
        <v>4</v>
      </c>
      <c r="B647" s="58"/>
      <c r="C647" s="58"/>
      <c r="D647" s="58"/>
      <c r="E647" s="2">
        <v>-10</v>
      </c>
      <c r="F647" s="59" t="s">
        <v>77</v>
      </c>
      <c r="G647" s="59"/>
    </row>
    <row r="648" spans="1:8" x14ac:dyDescent="0.25">
      <c r="A648" s="58" t="s">
        <v>5</v>
      </c>
      <c r="B648" s="58"/>
      <c r="C648" s="58"/>
      <c r="D648" s="58"/>
      <c r="E648" s="2">
        <v>-11</v>
      </c>
      <c r="F648" s="59" t="s">
        <v>21</v>
      </c>
      <c r="G648" s="59"/>
    </row>
    <row r="649" spans="1:8" ht="24" x14ac:dyDescent="0.25">
      <c r="A649" s="3" t="s">
        <v>6</v>
      </c>
      <c r="B649" s="4" t="s">
        <v>7</v>
      </c>
      <c r="C649" s="4" t="s">
        <v>8</v>
      </c>
      <c r="D649" s="17" t="s">
        <v>9</v>
      </c>
      <c r="E649" s="5" t="s">
        <v>10</v>
      </c>
      <c r="F649" s="6" t="s">
        <v>11</v>
      </c>
      <c r="G649" s="7" t="s">
        <v>12</v>
      </c>
    </row>
    <row r="650" spans="1:8" x14ac:dyDescent="0.25">
      <c r="A650" s="8">
        <v>9</v>
      </c>
      <c r="B650" s="8">
        <v>-8</v>
      </c>
      <c r="C650" s="8">
        <v>-9</v>
      </c>
      <c r="D650" s="9">
        <v>-10</v>
      </c>
      <c r="E650" s="9">
        <v>-11</v>
      </c>
      <c r="F650" s="9">
        <v>-12</v>
      </c>
      <c r="G650" s="10">
        <v>-13</v>
      </c>
      <c r="H650" s="11"/>
    </row>
    <row r="651" spans="1:8" x14ac:dyDescent="0.25">
      <c r="A651" s="8">
        <v>1</v>
      </c>
      <c r="B651" s="30" t="s">
        <v>88</v>
      </c>
      <c r="C651" s="27" t="s">
        <v>80</v>
      </c>
      <c r="D651" s="28">
        <v>250000</v>
      </c>
      <c r="E651" s="29" t="s">
        <v>81</v>
      </c>
      <c r="F651" s="9"/>
      <c r="G651" s="10"/>
      <c r="H651" s="11"/>
    </row>
    <row r="652" spans="1:8" x14ac:dyDescent="0.25">
      <c r="A652" s="8">
        <v>2</v>
      </c>
      <c r="B652" s="30" t="s">
        <v>88</v>
      </c>
      <c r="C652" s="27" t="s">
        <v>80</v>
      </c>
      <c r="D652" s="28">
        <v>250000</v>
      </c>
      <c r="E652" s="29" t="s">
        <v>81</v>
      </c>
      <c r="F652" s="9"/>
      <c r="G652" s="10"/>
      <c r="H652" s="11"/>
    </row>
    <row r="654" spans="1:8" x14ac:dyDescent="0.25">
      <c r="A654" s="60" t="s">
        <v>0</v>
      </c>
      <c r="B654" s="61"/>
      <c r="C654" s="61"/>
      <c r="D654" s="61"/>
      <c r="E654" s="61"/>
      <c r="F654" s="61"/>
      <c r="G654" s="61"/>
      <c r="H654" s="62"/>
    </row>
    <row r="655" spans="1:8" x14ac:dyDescent="0.25">
      <c r="A655" s="59"/>
      <c r="B655" s="59"/>
      <c r="C655" s="59"/>
      <c r="D655" s="59"/>
      <c r="E655" s="59"/>
      <c r="F655" s="63" t="s">
        <v>1</v>
      </c>
      <c r="G655" s="63"/>
    </row>
    <row r="656" spans="1:8" x14ac:dyDescent="0.25">
      <c r="A656" s="57" t="s">
        <v>2</v>
      </c>
      <c r="B656" s="58"/>
      <c r="C656" s="58"/>
      <c r="D656" s="58"/>
      <c r="E656" s="2">
        <v>-7</v>
      </c>
      <c r="F656" s="59" t="s">
        <v>71</v>
      </c>
      <c r="G656" s="59"/>
    </row>
    <row r="657" spans="1:8" x14ac:dyDescent="0.25">
      <c r="A657" s="57" t="s">
        <v>13</v>
      </c>
      <c r="B657" s="58"/>
      <c r="C657" s="58"/>
      <c r="D657" s="58"/>
      <c r="E657" s="2">
        <v>-8</v>
      </c>
      <c r="F657" s="59" t="s">
        <v>71</v>
      </c>
      <c r="G657" s="59"/>
    </row>
    <row r="658" spans="1:8" x14ac:dyDescent="0.25">
      <c r="A658" s="58" t="s">
        <v>3</v>
      </c>
      <c r="B658" s="58"/>
      <c r="C658" s="58"/>
      <c r="D658" s="58"/>
      <c r="E658" s="2">
        <v>-9</v>
      </c>
      <c r="F658" s="59" t="s">
        <v>17</v>
      </c>
      <c r="G658" s="59"/>
    </row>
    <row r="659" spans="1:8" x14ac:dyDescent="0.25">
      <c r="A659" s="58" t="s">
        <v>4</v>
      </c>
      <c r="B659" s="58"/>
      <c r="C659" s="58"/>
      <c r="D659" s="58"/>
      <c r="E659" s="2">
        <v>-10</v>
      </c>
      <c r="F659" s="59" t="s">
        <v>70</v>
      </c>
      <c r="G659" s="59"/>
    </row>
    <row r="660" spans="1:8" x14ac:dyDescent="0.25">
      <c r="A660" s="58" t="s">
        <v>5</v>
      </c>
      <c r="B660" s="58"/>
      <c r="C660" s="58"/>
      <c r="D660" s="58"/>
      <c r="E660" s="2">
        <v>-11</v>
      </c>
      <c r="F660" s="59" t="s">
        <v>21</v>
      </c>
      <c r="G660" s="59"/>
    </row>
    <row r="661" spans="1:8" ht="12.75" customHeight="1" x14ac:dyDescent="0.25">
      <c r="A661" s="3" t="s">
        <v>6</v>
      </c>
      <c r="B661" s="4" t="s">
        <v>7</v>
      </c>
      <c r="C661" s="4" t="s">
        <v>8</v>
      </c>
      <c r="D661" s="17" t="s">
        <v>9</v>
      </c>
      <c r="E661" s="5" t="s">
        <v>10</v>
      </c>
      <c r="F661" s="6" t="s">
        <v>11</v>
      </c>
      <c r="G661" s="7" t="s">
        <v>12</v>
      </c>
    </row>
    <row r="662" spans="1:8" ht="12.75" customHeight="1" x14ac:dyDescent="0.25">
      <c r="A662" s="8">
        <v>9</v>
      </c>
      <c r="B662" s="8">
        <v>-8</v>
      </c>
      <c r="C662" s="8">
        <v>-9</v>
      </c>
      <c r="D662" s="9">
        <v>-10</v>
      </c>
      <c r="E662" s="9">
        <v>-11</v>
      </c>
      <c r="F662" s="9">
        <v>-12</v>
      </c>
      <c r="G662" s="10">
        <v>-13</v>
      </c>
      <c r="H662" s="11"/>
    </row>
    <row r="663" spans="1:8" ht="12.75" customHeight="1" x14ac:dyDescent="0.25">
      <c r="A663" s="8">
        <v>1</v>
      </c>
      <c r="B663" s="30" t="s">
        <v>90</v>
      </c>
      <c r="C663" s="27" t="s">
        <v>91</v>
      </c>
      <c r="D663" s="28">
        <v>50000</v>
      </c>
      <c r="E663" s="29" t="s">
        <v>89</v>
      </c>
      <c r="F663" s="9"/>
      <c r="G663" s="10"/>
      <c r="H663" s="11"/>
    </row>
    <row r="664" spans="1:8" x14ac:dyDescent="0.25">
      <c r="A664" s="8">
        <v>2</v>
      </c>
      <c r="B664" s="30" t="s">
        <v>90</v>
      </c>
      <c r="C664" s="27" t="s">
        <v>91</v>
      </c>
      <c r="D664" s="28">
        <v>50000</v>
      </c>
      <c r="E664" s="29" t="s">
        <v>89</v>
      </c>
      <c r="F664" s="9"/>
      <c r="G664" s="10"/>
      <c r="H664" s="11"/>
    </row>
    <row r="665" spans="1:8" x14ac:dyDescent="0.25">
      <c r="A665" s="8">
        <v>3</v>
      </c>
      <c r="B665" s="30" t="s">
        <v>90</v>
      </c>
      <c r="C665" s="27" t="s">
        <v>92</v>
      </c>
      <c r="D665" s="28">
        <v>200000</v>
      </c>
      <c r="E665" s="29" t="s">
        <v>89</v>
      </c>
      <c r="F665" s="9"/>
      <c r="G665" s="10"/>
      <c r="H665" s="11"/>
    </row>
    <row r="666" spans="1:8" x14ac:dyDescent="0.25">
      <c r="A666" s="8">
        <v>4</v>
      </c>
      <c r="B666" s="30" t="s">
        <v>90</v>
      </c>
      <c r="C666" s="27" t="s">
        <v>93</v>
      </c>
      <c r="D666" s="28">
        <v>235000</v>
      </c>
      <c r="E666" s="29" t="s">
        <v>89</v>
      </c>
      <c r="F666" s="9"/>
      <c r="G666" s="10"/>
      <c r="H666" s="11"/>
    </row>
    <row r="667" spans="1:8" x14ac:dyDescent="0.25">
      <c r="A667" s="8">
        <v>5</v>
      </c>
      <c r="B667" s="30" t="s">
        <v>90</v>
      </c>
      <c r="C667" s="27" t="s">
        <v>94</v>
      </c>
      <c r="D667" s="28">
        <v>300000</v>
      </c>
      <c r="E667" s="29" t="s">
        <v>89</v>
      </c>
      <c r="F667" s="9"/>
      <c r="G667" s="10"/>
      <c r="H667" s="11"/>
    </row>
    <row r="668" spans="1:8" x14ac:dyDescent="0.25">
      <c r="A668" s="8">
        <v>6</v>
      </c>
      <c r="B668" s="30" t="s">
        <v>90</v>
      </c>
      <c r="C668" s="27" t="s">
        <v>95</v>
      </c>
      <c r="D668" s="28">
        <v>50000</v>
      </c>
      <c r="E668" s="29" t="s">
        <v>89</v>
      </c>
      <c r="F668" s="9"/>
      <c r="G668" s="10"/>
      <c r="H668" s="11"/>
    </row>
    <row r="669" spans="1:8" x14ac:dyDescent="0.25">
      <c r="A669" s="8">
        <v>7</v>
      </c>
      <c r="B669" s="30" t="s">
        <v>90</v>
      </c>
      <c r="C669" s="27" t="s">
        <v>96</v>
      </c>
      <c r="D669" s="28">
        <v>100000</v>
      </c>
      <c r="E669" s="29" t="s">
        <v>89</v>
      </c>
      <c r="F669" s="9"/>
      <c r="G669" s="10"/>
    </row>
    <row r="672" spans="1:8" x14ac:dyDescent="0.25">
      <c r="A672" s="60" t="s">
        <v>0</v>
      </c>
      <c r="B672" s="61"/>
      <c r="C672" s="61"/>
      <c r="D672" s="61"/>
      <c r="E672" s="61"/>
      <c r="F672" s="61"/>
      <c r="G672" s="61"/>
      <c r="H672" s="62"/>
    </row>
    <row r="673" spans="1:8" ht="12.75" customHeight="1" x14ac:dyDescent="0.25">
      <c r="A673" s="59"/>
      <c r="B673" s="59"/>
      <c r="C673" s="59"/>
      <c r="D673" s="59"/>
      <c r="E673" s="59"/>
      <c r="F673" s="63" t="s">
        <v>1</v>
      </c>
      <c r="G673" s="63"/>
    </row>
    <row r="674" spans="1:8" ht="12.75" customHeight="1" x14ac:dyDescent="0.25">
      <c r="A674" s="57" t="s">
        <v>2</v>
      </c>
      <c r="B674" s="58"/>
      <c r="C674" s="58"/>
      <c r="D674" s="58"/>
      <c r="E674" s="2">
        <v>-7</v>
      </c>
      <c r="F674" s="59" t="s">
        <v>86</v>
      </c>
      <c r="G674" s="59"/>
    </row>
    <row r="675" spans="1:8" ht="12.75" customHeight="1" x14ac:dyDescent="0.25">
      <c r="A675" s="57" t="s">
        <v>13</v>
      </c>
      <c r="B675" s="58"/>
      <c r="C675" s="58"/>
      <c r="D675" s="58"/>
      <c r="E675" s="2">
        <v>-8</v>
      </c>
      <c r="F675" s="59" t="s">
        <v>86</v>
      </c>
      <c r="G675" s="59"/>
    </row>
    <row r="676" spans="1:8" x14ac:dyDescent="0.25">
      <c r="A676" s="58" t="s">
        <v>3</v>
      </c>
      <c r="B676" s="58"/>
      <c r="C676" s="58"/>
      <c r="D676" s="58"/>
      <c r="E676" s="2">
        <v>-9</v>
      </c>
      <c r="F676" s="59" t="s">
        <v>17</v>
      </c>
      <c r="G676" s="59"/>
    </row>
    <row r="677" spans="1:8" x14ac:dyDescent="0.25">
      <c r="A677" s="58" t="s">
        <v>4</v>
      </c>
      <c r="B677" s="58"/>
      <c r="C677" s="58"/>
      <c r="D677" s="58"/>
      <c r="E677" s="2">
        <v>-10</v>
      </c>
      <c r="F677" s="59" t="s">
        <v>87</v>
      </c>
      <c r="G677" s="59"/>
    </row>
    <row r="678" spans="1:8" x14ac:dyDescent="0.25">
      <c r="A678" s="58" t="s">
        <v>5</v>
      </c>
      <c r="B678" s="58"/>
      <c r="C678" s="58"/>
      <c r="D678" s="58"/>
      <c r="E678" s="2">
        <v>-11</v>
      </c>
      <c r="F678" s="59" t="s">
        <v>21</v>
      </c>
      <c r="G678" s="59"/>
    </row>
    <row r="679" spans="1:8" ht="24" x14ac:dyDescent="0.25">
      <c r="A679" s="3" t="s">
        <v>6</v>
      </c>
      <c r="B679" s="4" t="s">
        <v>7</v>
      </c>
      <c r="C679" s="4" t="s">
        <v>8</v>
      </c>
      <c r="D679" s="17" t="s">
        <v>9</v>
      </c>
      <c r="E679" s="5" t="s">
        <v>10</v>
      </c>
      <c r="F679" s="6" t="s">
        <v>11</v>
      </c>
      <c r="G679" s="7" t="s">
        <v>12</v>
      </c>
    </row>
    <row r="680" spans="1:8" x14ac:dyDescent="0.25">
      <c r="A680" s="8">
        <v>9</v>
      </c>
      <c r="B680" s="8">
        <v>-8</v>
      </c>
      <c r="C680" s="8">
        <v>-9</v>
      </c>
      <c r="D680" s="9">
        <v>-10</v>
      </c>
      <c r="E680" s="9">
        <v>-11</v>
      </c>
      <c r="F680" s="9">
        <v>-12</v>
      </c>
      <c r="G680" s="10">
        <v>-13</v>
      </c>
      <c r="H680" s="11"/>
    </row>
    <row r="681" spans="1:8" x14ac:dyDescent="0.25">
      <c r="A681" s="8">
        <v>1</v>
      </c>
      <c r="B681" s="30" t="s">
        <v>90</v>
      </c>
      <c r="C681" s="27" t="s">
        <v>154</v>
      </c>
      <c r="D681" s="28">
        <v>292000</v>
      </c>
      <c r="E681" s="29" t="s">
        <v>30</v>
      </c>
      <c r="F681" s="9"/>
      <c r="G681" s="10"/>
      <c r="H681" s="11"/>
    </row>
    <row r="684" spans="1:8" x14ac:dyDescent="0.25">
      <c r="A684" s="60" t="s">
        <v>0</v>
      </c>
      <c r="B684" s="61"/>
      <c r="C684" s="61"/>
      <c r="D684" s="61"/>
      <c r="E684" s="61"/>
      <c r="F684" s="61"/>
      <c r="G684" s="61"/>
      <c r="H684" s="62"/>
    </row>
    <row r="685" spans="1:8" x14ac:dyDescent="0.25">
      <c r="A685" s="59"/>
      <c r="B685" s="59"/>
      <c r="C685" s="59"/>
      <c r="D685" s="59"/>
      <c r="E685" s="59"/>
      <c r="F685" s="63" t="s">
        <v>1</v>
      </c>
      <c r="G685" s="63"/>
    </row>
    <row r="686" spans="1:8" x14ac:dyDescent="0.25">
      <c r="A686" s="57" t="s">
        <v>2</v>
      </c>
      <c r="B686" s="58"/>
      <c r="C686" s="58"/>
      <c r="D686" s="58"/>
      <c r="E686" s="2">
        <v>-7</v>
      </c>
      <c r="F686" s="59" t="s">
        <v>86</v>
      </c>
      <c r="G686" s="59"/>
    </row>
    <row r="687" spans="1:8" x14ac:dyDescent="0.25">
      <c r="A687" s="57" t="s">
        <v>13</v>
      </c>
      <c r="B687" s="58"/>
      <c r="C687" s="58"/>
      <c r="D687" s="58"/>
      <c r="E687" s="2">
        <v>-8</v>
      </c>
      <c r="F687" s="59" t="s">
        <v>86</v>
      </c>
      <c r="G687" s="59"/>
    </row>
    <row r="688" spans="1:8" x14ac:dyDescent="0.25">
      <c r="A688" s="58" t="s">
        <v>3</v>
      </c>
      <c r="B688" s="58"/>
      <c r="C688" s="58"/>
      <c r="D688" s="58"/>
      <c r="E688" s="2">
        <v>-9</v>
      </c>
      <c r="F688" s="59" t="s">
        <v>17</v>
      </c>
      <c r="G688" s="59"/>
    </row>
    <row r="689" spans="1:8" x14ac:dyDescent="0.25">
      <c r="A689" s="58" t="s">
        <v>4</v>
      </c>
      <c r="B689" s="58"/>
      <c r="C689" s="58"/>
      <c r="D689" s="58"/>
      <c r="E689" s="2">
        <v>-10</v>
      </c>
      <c r="F689" s="59" t="s">
        <v>87</v>
      </c>
      <c r="G689" s="59"/>
    </row>
    <row r="690" spans="1:8" x14ac:dyDescent="0.25">
      <c r="A690" s="58" t="s">
        <v>5</v>
      </c>
      <c r="B690" s="58"/>
      <c r="C690" s="58"/>
      <c r="D690" s="58"/>
      <c r="E690" s="2">
        <v>-11</v>
      </c>
      <c r="F690" s="59" t="s">
        <v>21</v>
      </c>
      <c r="G690" s="59"/>
    </row>
    <row r="691" spans="1:8" ht="24" x14ac:dyDescent="0.25">
      <c r="A691" s="3" t="s">
        <v>6</v>
      </c>
      <c r="B691" s="4" t="s">
        <v>7</v>
      </c>
      <c r="C691" s="4" t="s">
        <v>8</v>
      </c>
      <c r="D691" s="17" t="s">
        <v>9</v>
      </c>
      <c r="E691" s="5" t="s">
        <v>10</v>
      </c>
      <c r="F691" s="6" t="s">
        <v>11</v>
      </c>
      <c r="G691" s="7" t="s">
        <v>12</v>
      </c>
    </row>
    <row r="692" spans="1:8" x14ac:dyDescent="0.25">
      <c r="A692" s="8">
        <v>9</v>
      </c>
      <c r="B692" s="8">
        <v>-8</v>
      </c>
      <c r="C692" s="8">
        <v>-9</v>
      </c>
      <c r="D692" s="9">
        <v>-10</v>
      </c>
      <c r="E692" s="9">
        <v>-11</v>
      </c>
      <c r="F692" s="9">
        <v>-12</v>
      </c>
      <c r="G692" s="10">
        <v>-13</v>
      </c>
      <c r="H692" s="11"/>
    </row>
    <row r="693" spans="1:8" x14ac:dyDescent="0.25">
      <c r="A693" s="8">
        <v>1</v>
      </c>
      <c r="B693" s="30" t="s">
        <v>90</v>
      </c>
      <c r="C693" s="27" t="s">
        <v>97</v>
      </c>
      <c r="D693" s="28">
        <v>100000</v>
      </c>
      <c r="E693" s="29" t="s">
        <v>89</v>
      </c>
      <c r="F693" s="9"/>
      <c r="G693" s="10"/>
      <c r="H693" s="11"/>
    </row>
    <row r="695" spans="1:8" x14ac:dyDescent="0.25">
      <c r="A695" s="60" t="s">
        <v>0</v>
      </c>
      <c r="B695" s="61"/>
      <c r="C695" s="61"/>
      <c r="D695" s="61"/>
      <c r="E695" s="61"/>
      <c r="F695" s="61"/>
      <c r="G695" s="61"/>
      <c r="H695" s="62"/>
    </row>
    <row r="696" spans="1:8" x14ac:dyDescent="0.25">
      <c r="A696" s="59"/>
      <c r="B696" s="59"/>
      <c r="C696" s="59"/>
      <c r="D696" s="59"/>
      <c r="E696" s="59"/>
      <c r="F696" s="63" t="s">
        <v>1</v>
      </c>
      <c r="G696" s="63"/>
    </row>
    <row r="697" spans="1:8" x14ac:dyDescent="0.25">
      <c r="A697" s="57" t="s">
        <v>2</v>
      </c>
      <c r="B697" s="58"/>
      <c r="C697" s="58"/>
      <c r="D697" s="58"/>
      <c r="E697" s="2">
        <v>-7</v>
      </c>
      <c r="F697" s="59" t="s">
        <v>86</v>
      </c>
      <c r="G697" s="59"/>
    </row>
    <row r="698" spans="1:8" x14ac:dyDescent="0.25">
      <c r="A698" s="57" t="s">
        <v>13</v>
      </c>
      <c r="B698" s="58"/>
      <c r="C698" s="58"/>
      <c r="D698" s="58"/>
      <c r="E698" s="2">
        <v>-8</v>
      </c>
      <c r="F698" s="59" t="s">
        <v>86</v>
      </c>
      <c r="G698" s="59"/>
    </row>
    <row r="699" spans="1:8" x14ac:dyDescent="0.25">
      <c r="A699" s="58" t="s">
        <v>3</v>
      </c>
      <c r="B699" s="58"/>
      <c r="C699" s="58"/>
      <c r="D699" s="58"/>
      <c r="E699" s="2">
        <v>-9</v>
      </c>
      <c r="F699" s="59" t="s">
        <v>17</v>
      </c>
      <c r="G699" s="59"/>
    </row>
    <row r="700" spans="1:8" x14ac:dyDescent="0.25">
      <c r="A700" s="58" t="s">
        <v>4</v>
      </c>
      <c r="B700" s="58"/>
      <c r="C700" s="58"/>
      <c r="D700" s="58"/>
      <c r="E700" s="2">
        <v>-10</v>
      </c>
      <c r="F700" s="59" t="s">
        <v>87</v>
      </c>
      <c r="G700" s="59"/>
    </row>
    <row r="701" spans="1:8" x14ac:dyDescent="0.25">
      <c r="A701" s="58" t="s">
        <v>5</v>
      </c>
      <c r="B701" s="58"/>
      <c r="C701" s="58"/>
      <c r="D701" s="58"/>
      <c r="E701" s="2">
        <v>-11</v>
      </c>
      <c r="F701" s="59" t="s">
        <v>21</v>
      </c>
      <c r="G701" s="59"/>
    </row>
    <row r="702" spans="1:8" ht="24" x14ac:dyDescent="0.25">
      <c r="A702" s="3" t="s">
        <v>6</v>
      </c>
      <c r="B702" s="4" t="s">
        <v>7</v>
      </c>
      <c r="C702" s="4" t="s">
        <v>8</v>
      </c>
      <c r="D702" s="17" t="s">
        <v>9</v>
      </c>
      <c r="E702" s="5" t="s">
        <v>10</v>
      </c>
      <c r="F702" s="6" t="s">
        <v>11</v>
      </c>
      <c r="G702" s="7" t="s">
        <v>12</v>
      </c>
    </row>
    <row r="703" spans="1:8" x14ac:dyDescent="0.25">
      <c r="A703" s="8">
        <v>9</v>
      </c>
      <c r="B703" s="8">
        <v>-8</v>
      </c>
      <c r="C703" s="8">
        <v>-9</v>
      </c>
      <c r="D703" s="9">
        <v>-10</v>
      </c>
      <c r="E703" s="9">
        <v>-11</v>
      </c>
      <c r="F703" s="9">
        <v>-12</v>
      </c>
      <c r="G703" s="10">
        <v>-13</v>
      </c>
      <c r="H703" s="11"/>
    </row>
    <row r="704" spans="1:8" x14ac:dyDescent="0.25">
      <c r="A704" s="8">
        <v>1</v>
      </c>
      <c r="B704" s="30" t="s">
        <v>90</v>
      </c>
      <c r="C704" s="27" t="s">
        <v>98</v>
      </c>
      <c r="D704" s="28">
        <v>70000</v>
      </c>
      <c r="E704" s="29" t="s">
        <v>84</v>
      </c>
      <c r="F704" s="9"/>
      <c r="G704" s="10"/>
      <c r="H704" s="11"/>
    </row>
    <row r="706" spans="1:8" x14ac:dyDescent="0.25">
      <c r="A706" s="60" t="s">
        <v>0</v>
      </c>
      <c r="B706" s="61"/>
      <c r="C706" s="61"/>
      <c r="D706" s="61"/>
      <c r="E706" s="61"/>
      <c r="F706" s="61"/>
      <c r="G706" s="61"/>
      <c r="H706" s="62"/>
    </row>
    <row r="707" spans="1:8" x14ac:dyDescent="0.25">
      <c r="A707" s="59"/>
      <c r="B707" s="59"/>
      <c r="C707" s="59"/>
      <c r="D707" s="59"/>
      <c r="E707" s="59"/>
      <c r="F707" s="63" t="s">
        <v>1</v>
      </c>
      <c r="G707" s="63"/>
    </row>
    <row r="708" spans="1:8" x14ac:dyDescent="0.25">
      <c r="A708" s="57" t="s">
        <v>2</v>
      </c>
      <c r="B708" s="58"/>
      <c r="C708" s="58"/>
      <c r="D708" s="58"/>
      <c r="E708" s="2">
        <v>-7</v>
      </c>
      <c r="F708" s="59" t="s">
        <v>86</v>
      </c>
      <c r="G708" s="59"/>
    </row>
    <row r="709" spans="1:8" x14ac:dyDescent="0.25">
      <c r="A709" s="57" t="s">
        <v>13</v>
      </c>
      <c r="B709" s="58"/>
      <c r="C709" s="58"/>
      <c r="D709" s="58"/>
      <c r="E709" s="2">
        <v>-8</v>
      </c>
      <c r="F709" s="59" t="s">
        <v>86</v>
      </c>
      <c r="G709" s="59"/>
    </row>
    <row r="710" spans="1:8" x14ac:dyDescent="0.25">
      <c r="A710" s="58" t="s">
        <v>3</v>
      </c>
      <c r="B710" s="58"/>
      <c r="C710" s="58"/>
      <c r="D710" s="58"/>
      <c r="E710" s="2">
        <v>-9</v>
      </c>
      <c r="F710" s="59" t="s">
        <v>17</v>
      </c>
      <c r="G710" s="59"/>
    </row>
    <row r="711" spans="1:8" x14ac:dyDescent="0.25">
      <c r="A711" s="58" t="s">
        <v>4</v>
      </c>
      <c r="B711" s="58"/>
      <c r="C711" s="58"/>
      <c r="D711" s="58"/>
      <c r="E711" s="2">
        <v>-10</v>
      </c>
      <c r="F711" s="59" t="s">
        <v>87</v>
      </c>
      <c r="G711" s="59"/>
    </row>
    <row r="712" spans="1:8" x14ac:dyDescent="0.25">
      <c r="A712" s="58" t="s">
        <v>5</v>
      </c>
      <c r="B712" s="58"/>
      <c r="C712" s="58"/>
      <c r="D712" s="58"/>
      <c r="E712" s="2">
        <v>-11</v>
      </c>
      <c r="F712" s="59" t="s">
        <v>21</v>
      </c>
      <c r="G712" s="59"/>
    </row>
    <row r="713" spans="1:8" ht="24" x14ac:dyDescent="0.25">
      <c r="A713" s="3" t="s">
        <v>6</v>
      </c>
      <c r="B713" s="4" t="s">
        <v>7</v>
      </c>
      <c r="C713" s="4" t="s">
        <v>8</v>
      </c>
      <c r="D713" s="17" t="s">
        <v>9</v>
      </c>
      <c r="E713" s="5" t="s">
        <v>10</v>
      </c>
      <c r="F713" s="6" t="s">
        <v>11</v>
      </c>
      <c r="G713" s="7" t="s">
        <v>12</v>
      </c>
    </row>
    <row r="714" spans="1:8" x14ac:dyDescent="0.25">
      <c r="A714" s="8">
        <v>9</v>
      </c>
      <c r="B714" s="8">
        <v>-8</v>
      </c>
      <c r="C714" s="8">
        <v>-9</v>
      </c>
      <c r="D714" s="9">
        <v>-10</v>
      </c>
      <c r="E714" s="9">
        <v>-11</v>
      </c>
      <c r="F714" s="9">
        <v>-12</v>
      </c>
      <c r="G714" s="10">
        <v>-13</v>
      </c>
      <c r="H714" s="11"/>
    </row>
    <row r="715" spans="1:8" x14ac:dyDescent="0.25">
      <c r="A715" s="8">
        <v>1</v>
      </c>
      <c r="B715" s="30" t="s">
        <v>90</v>
      </c>
      <c r="C715" s="27" t="s">
        <v>99</v>
      </c>
      <c r="D715" s="28">
        <v>5000</v>
      </c>
      <c r="E715" s="29" t="s">
        <v>101</v>
      </c>
      <c r="F715" s="9"/>
      <c r="G715" s="10"/>
      <c r="H715" s="11"/>
    </row>
    <row r="716" spans="1:8" x14ac:dyDescent="0.25">
      <c r="A716" s="8">
        <v>2</v>
      </c>
      <c r="B716" s="30" t="s">
        <v>90</v>
      </c>
      <c r="C716" s="27" t="s">
        <v>99</v>
      </c>
      <c r="D716" s="28">
        <v>5000</v>
      </c>
      <c r="E716" s="29" t="s">
        <v>101</v>
      </c>
      <c r="F716" s="9"/>
      <c r="G716" s="10"/>
      <c r="H716" s="11"/>
    </row>
    <row r="717" spans="1:8" x14ac:dyDescent="0.25">
      <c r="A717" s="8">
        <v>3</v>
      </c>
      <c r="B717" s="30" t="s">
        <v>90</v>
      </c>
      <c r="C717" s="27" t="s">
        <v>100</v>
      </c>
      <c r="D717" s="28">
        <v>65000</v>
      </c>
      <c r="E717" s="29" t="s">
        <v>101</v>
      </c>
      <c r="F717" s="9"/>
      <c r="G717" s="10"/>
      <c r="H717" s="11"/>
    </row>
    <row r="719" spans="1:8" x14ac:dyDescent="0.25">
      <c r="A719" s="60" t="s">
        <v>0</v>
      </c>
      <c r="B719" s="61"/>
      <c r="C719" s="61"/>
      <c r="D719" s="61"/>
      <c r="E719" s="61"/>
      <c r="F719" s="61"/>
      <c r="G719" s="61"/>
      <c r="H719" s="62"/>
    </row>
    <row r="720" spans="1:8" x14ac:dyDescent="0.25">
      <c r="A720" s="59"/>
      <c r="B720" s="59"/>
      <c r="C720" s="59"/>
      <c r="D720" s="59"/>
      <c r="E720" s="59"/>
      <c r="F720" s="63" t="s">
        <v>1</v>
      </c>
      <c r="G720" s="63"/>
    </row>
    <row r="721" spans="1:8" x14ac:dyDescent="0.25">
      <c r="A721" s="57" t="s">
        <v>2</v>
      </c>
      <c r="B721" s="58"/>
      <c r="C721" s="58"/>
      <c r="D721" s="58"/>
      <c r="E721" s="2">
        <v>-7</v>
      </c>
      <c r="F721" s="59" t="s">
        <v>86</v>
      </c>
      <c r="G721" s="59"/>
    </row>
    <row r="722" spans="1:8" x14ac:dyDescent="0.25">
      <c r="A722" s="57" t="s">
        <v>13</v>
      </c>
      <c r="B722" s="58"/>
      <c r="C722" s="58"/>
      <c r="D722" s="58"/>
      <c r="E722" s="2">
        <v>-8</v>
      </c>
      <c r="F722" s="59" t="s">
        <v>86</v>
      </c>
      <c r="G722" s="59"/>
    </row>
    <row r="723" spans="1:8" x14ac:dyDescent="0.25">
      <c r="A723" s="58" t="s">
        <v>3</v>
      </c>
      <c r="B723" s="58"/>
      <c r="C723" s="58"/>
      <c r="D723" s="58"/>
      <c r="E723" s="2">
        <v>-9</v>
      </c>
      <c r="F723" s="59" t="s">
        <v>17</v>
      </c>
      <c r="G723" s="59"/>
    </row>
    <row r="724" spans="1:8" x14ac:dyDescent="0.25">
      <c r="A724" s="58" t="s">
        <v>4</v>
      </c>
      <c r="B724" s="58"/>
      <c r="C724" s="58"/>
      <c r="D724" s="58"/>
      <c r="E724" s="2">
        <v>-10</v>
      </c>
      <c r="F724" s="59" t="s">
        <v>87</v>
      </c>
      <c r="G724" s="59"/>
    </row>
    <row r="725" spans="1:8" x14ac:dyDescent="0.25">
      <c r="A725" s="58" t="s">
        <v>5</v>
      </c>
      <c r="B725" s="58"/>
      <c r="C725" s="58"/>
      <c r="D725" s="58"/>
      <c r="E725" s="2">
        <v>-11</v>
      </c>
      <c r="F725" s="59" t="s">
        <v>21</v>
      </c>
      <c r="G725" s="59"/>
    </row>
    <row r="726" spans="1:8" ht="24" x14ac:dyDescent="0.25">
      <c r="A726" s="3" t="s">
        <v>6</v>
      </c>
      <c r="B726" s="4" t="s">
        <v>7</v>
      </c>
      <c r="C726" s="4" t="s">
        <v>8</v>
      </c>
      <c r="D726" s="17" t="s">
        <v>9</v>
      </c>
      <c r="E726" s="5" t="s">
        <v>10</v>
      </c>
      <c r="F726" s="6" t="s">
        <v>11</v>
      </c>
      <c r="G726" s="7" t="s">
        <v>12</v>
      </c>
    </row>
    <row r="727" spans="1:8" x14ac:dyDescent="0.25">
      <c r="A727" s="8">
        <v>9</v>
      </c>
      <c r="B727" s="8">
        <v>-8</v>
      </c>
      <c r="C727" s="8">
        <v>-9</v>
      </c>
      <c r="D727" s="9">
        <v>-10</v>
      </c>
      <c r="E727" s="9">
        <v>-11</v>
      </c>
      <c r="F727" s="9">
        <v>-12</v>
      </c>
      <c r="G727" s="10">
        <v>-13</v>
      </c>
      <c r="H727" s="11"/>
    </row>
    <row r="728" spans="1:8" x14ac:dyDescent="0.25">
      <c r="A728" s="8">
        <v>1</v>
      </c>
      <c r="B728" s="30" t="s">
        <v>90</v>
      </c>
      <c r="C728" s="27" t="s">
        <v>92</v>
      </c>
      <c r="D728" s="28">
        <v>200000</v>
      </c>
      <c r="E728" s="29" t="s">
        <v>102</v>
      </c>
      <c r="F728" s="9"/>
      <c r="G728" s="10"/>
      <c r="H728" s="11"/>
    </row>
    <row r="730" spans="1:8" x14ac:dyDescent="0.25">
      <c r="A730" s="60" t="s">
        <v>0</v>
      </c>
      <c r="B730" s="61"/>
      <c r="C730" s="61"/>
      <c r="D730" s="61"/>
      <c r="E730" s="61"/>
      <c r="F730" s="61"/>
      <c r="G730" s="61"/>
      <c r="H730" s="62"/>
    </row>
    <row r="731" spans="1:8" x14ac:dyDescent="0.25">
      <c r="A731" s="59"/>
      <c r="B731" s="59"/>
      <c r="C731" s="59"/>
      <c r="D731" s="59"/>
      <c r="E731" s="59"/>
      <c r="F731" s="63" t="s">
        <v>1</v>
      </c>
      <c r="G731" s="63"/>
    </row>
    <row r="732" spans="1:8" x14ac:dyDescent="0.25">
      <c r="A732" s="57" t="s">
        <v>2</v>
      </c>
      <c r="B732" s="58"/>
      <c r="C732" s="58"/>
      <c r="D732" s="58"/>
      <c r="E732" s="2">
        <v>-7</v>
      </c>
      <c r="F732" s="59" t="s">
        <v>86</v>
      </c>
      <c r="G732" s="59"/>
    </row>
    <row r="733" spans="1:8" x14ac:dyDescent="0.25">
      <c r="A733" s="57" t="s">
        <v>13</v>
      </c>
      <c r="B733" s="58"/>
      <c r="C733" s="58"/>
      <c r="D733" s="58"/>
      <c r="E733" s="2">
        <v>-8</v>
      </c>
      <c r="F733" s="59" t="s">
        <v>86</v>
      </c>
      <c r="G733" s="59"/>
    </row>
    <row r="734" spans="1:8" x14ac:dyDescent="0.25">
      <c r="A734" s="58" t="s">
        <v>3</v>
      </c>
      <c r="B734" s="58"/>
      <c r="C734" s="58"/>
      <c r="D734" s="58"/>
      <c r="E734" s="2">
        <v>-9</v>
      </c>
      <c r="F734" s="59" t="s">
        <v>17</v>
      </c>
      <c r="G734" s="59"/>
    </row>
    <row r="735" spans="1:8" x14ac:dyDescent="0.25">
      <c r="A735" s="58" t="s">
        <v>4</v>
      </c>
      <c r="B735" s="58"/>
      <c r="C735" s="58"/>
      <c r="D735" s="58"/>
      <c r="E735" s="2">
        <v>-10</v>
      </c>
      <c r="F735" s="59" t="s">
        <v>87</v>
      </c>
      <c r="G735" s="59"/>
    </row>
    <row r="736" spans="1:8" x14ac:dyDescent="0.25">
      <c r="A736" s="58" t="s">
        <v>5</v>
      </c>
      <c r="B736" s="58"/>
      <c r="C736" s="58"/>
      <c r="D736" s="58"/>
      <c r="E736" s="2">
        <v>-11</v>
      </c>
      <c r="F736" s="59" t="s">
        <v>21</v>
      </c>
      <c r="G736" s="59"/>
    </row>
    <row r="737" spans="1:8" ht="24" x14ac:dyDescent="0.25">
      <c r="A737" s="3" t="s">
        <v>6</v>
      </c>
      <c r="B737" s="4" t="s">
        <v>7</v>
      </c>
      <c r="C737" s="4" t="s">
        <v>8</v>
      </c>
      <c r="D737" s="17" t="s">
        <v>9</v>
      </c>
      <c r="E737" s="5" t="s">
        <v>10</v>
      </c>
      <c r="F737" s="6" t="s">
        <v>11</v>
      </c>
      <c r="G737" s="7" t="s">
        <v>12</v>
      </c>
    </row>
    <row r="738" spans="1:8" x14ac:dyDescent="0.25">
      <c r="A738" s="8">
        <v>9</v>
      </c>
      <c r="B738" s="8">
        <v>-8</v>
      </c>
      <c r="C738" s="8">
        <v>-9</v>
      </c>
      <c r="D738" s="9">
        <v>-10</v>
      </c>
      <c r="E738" s="9">
        <v>-11</v>
      </c>
      <c r="F738" s="9">
        <v>-12</v>
      </c>
      <c r="G738" s="10">
        <v>-13</v>
      </c>
      <c r="H738" s="11"/>
    </row>
    <row r="739" spans="1:8" x14ac:dyDescent="0.25">
      <c r="A739" s="8">
        <v>1</v>
      </c>
      <c r="B739" s="30" t="s">
        <v>90</v>
      </c>
      <c r="C739" s="27" t="s">
        <v>103</v>
      </c>
      <c r="D739" s="28">
        <v>15000</v>
      </c>
      <c r="E739" s="29" t="s">
        <v>106</v>
      </c>
      <c r="F739" s="9"/>
      <c r="G739" s="10"/>
      <c r="H739" s="11"/>
    </row>
    <row r="740" spans="1:8" x14ac:dyDescent="0.25">
      <c r="A740" s="8">
        <v>2</v>
      </c>
      <c r="B740" s="30" t="s">
        <v>90</v>
      </c>
      <c r="C740" s="27" t="s">
        <v>104</v>
      </c>
      <c r="D740" s="28">
        <v>20000</v>
      </c>
      <c r="E740" s="29" t="s">
        <v>106</v>
      </c>
      <c r="F740" s="9"/>
      <c r="G740" s="10"/>
      <c r="H740" s="11"/>
    </row>
    <row r="741" spans="1:8" x14ac:dyDescent="0.25">
      <c r="A741" s="8">
        <v>3</v>
      </c>
      <c r="B741" s="30" t="s">
        <v>90</v>
      </c>
      <c r="C741" s="27" t="s">
        <v>105</v>
      </c>
      <c r="D741" s="28">
        <v>35000</v>
      </c>
      <c r="E741" s="29" t="s">
        <v>106</v>
      </c>
      <c r="F741" s="9"/>
      <c r="G741" s="10"/>
      <c r="H741" s="11"/>
    </row>
    <row r="743" spans="1:8" x14ac:dyDescent="0.25">
      <c r="A743" s="60" t="s">
        <v>0</v>
      </c>
      <c r="B743" s="61"/>
      <c r="C743" s="61"/>
      <c r="D743" s="61"/>
      <c r="E743" s="61"/>
      <c r="F743" s="61"/>
      <c r="G743" s="61"/>
      <c r="H743" s="62"/>
    </row>
    <row r="744" spans="1:8" x14ac:dyDescent="0.25">
      <c r="A744" s="59"/>
      <c r="B744" s="59"/>
      <c r="C744" s="59"/>
      <c r="D744" s="59"/>
      <c r="E744" s="59"/>
      <c r="F744" s="63" t="s">
        <v>1</v>
      </c>
      <c r="G744" s="63"/>
    </row>
    <row r="745" spans="1:8" ht="12.75" customHeight="1" x14ac:dyDescent="0.25">
      <c r="A745" s="57" t="s">
        <v>2</v>
      </c>
      <c r="B745" s="58"/>
      <c r="C745" s="58"/>
      <c r="D745" s="58"/>
      <c r="E745" s="2">
        <v>-7</v>
      </c>
      <c r="F745" s="59" t="s">
        <v>86</v>
      </c>
      <c r="G745" s="59"/>
    </row>
    <row r="746" spans="1:8" x14ac:dyDescent="0.25">
      <c r="A746" s="57" t="s">
        <v>13</v>
      </c>
      <c r="B746" s="58"/>
      <c r="C746" s="58"/>
      <c r="D746" s="58"/>
      <c r="E746" s="2">
        <v>-8</v>
      </c>
      <c r="F746" s="59" t="s">
        <v>86</v>
      </c>
      <c r="G746" s="59"/>
    </row>
    <row r="747" spans="1:8" x14ac:dyDescent="0.25">
      <c r="A747" s="58" t="s">
        <v>3</v>
      </c>
      <c r="B747" s="58"/>
      <c r="C747" s="58"/>
      <c r="D747" s="58"/>
      <c r="E747" s="2">
        <v>-9</v>
      </c>
      <c r="F747" s="59" t="s">
        <v>17</v>
      </c>
      <c r="G747" s="59"/>
    </row>
    <row r="748" spans="1:8" x14ac:dyDescent="0.25">
      <c r="A748" s="58" t="s">
        <v>4</v>
      </c>
      <c r="B748" s="58"/>
      <c r="C748" s="58"/>
      <c r="D748" s="58"/>
      <c r="E748" s="2">
        <v>-10</v>
      </c>
      <c r="F748" s="59" t="s">
        <v>87</v>
      </c>
      <c r="G748" s="59"/>
    </row>
    <row r="749" spans="1:8" x14ac:dyDescent="0.25">
      <c r="A749" s="58" t="s">
        <v>5</v>
      </c>
      <c r="B749" s="58"/>
      <c r="C749" s="58"/>
      <c r="D749" s="58"/>
      <c r="E749" s="2">
        <v>-11</v>
      </c>
      <c r="F749" s="59" t="s">
        <v>21</v>
      </c>
      <c r="G749" s="59"/>
    </row>
    <row r="750" spans="1:8" ht="24" x14ac:dyDescent="0.25">
      <c r="A750" s="3" t="s">
        <v>6</v>
      </c>
      <c r="B750" s="4" t="s">
        <v>7</v>
      </c>
      <c r="C750" s="4" t="s">
        <v>8</v>
      </c>
      <c r="D750" s="17" t="s">
        <v>9</v>
      </c>
      <c r="E750" s="5" t="s">
        <v>10</v>
      </c>
      <c r="F750" s="6" t="s">
        <v>11</v>
      </c>
      <c r="G750" s="7" t="s">
        <v>12</v>
      </c>
    </row>
    <row r="751" spans="1:8" x14ac:dyDescent="0.25">
      <c r="A751" s="8">
        <v>9</v>
      </c>
      <c r="B751" s="8">
        <v>-8</v>
      </c>
      <c r="C751" s="8">
        <v>-9</v>
      </c>
      <c r="D751" s="9">
        <v>-10</v>
      </c>
      <c r="E751" s="9">
        <v>-11</v>
      </c>
      <c r="F751" s="9">
        <v>-12</v>
      </c>
      <c r="G751" s="10">
        <v>-13</v>
      </c>
      <c r="H751" s="11"/>
    </row>
    <row r="752" spans="1:8" x14ac:dyDescent="0.25">
      <c r="A752" s="8">
        <v>1</v>
      </c>
      <c r="B752" s="30" t="s">
        <v>90</v>
      </c>
      <c r="C752" s="27" t="s">
        <v>107</v>
      </c>
      <c r="D752" s="28">
        <v>115000</v>
      </c>
      <c r="E752" s="29" t="s">
        <v>109</v>
      </c>
      <c r="F752" s="9"/>
      <c r="G752" s="10"/>
      <c r="H752" s="11"/>
    </row>
    <row r="753" spans="1:8" x14ac:dyDescent="0.25">
      <c r="A753" s="8">
        <v>2</v>
      </c>
      <c r="B753" s="30" t="s">
        <v>90</v>
      </c>
      <c r="C753" s="27" t="s">
        <v>108</v>
      </c>
      <c r="D753" s="28">
        <v>90000</v>
      </c>
      <c r="E753" s="29" t="s">
        <v>109</v>
      </c>
      <c r="F753" s="9"/>
      <c r="G753" s="10"/>
      <c r="H753" s="11"/>
    </row>
    <row r="755" spans="1:8" x14ac:dyDescent="0.25">
      <c r="A755" s="60" t="s">
        <v>0</v>
      </c>
      <c r="B755" s="61"/>
      <c r="C755" s="61"/>
      <c r="D755" s="61"/>
      <c r="E755" s="61"/>
      <c r="F755" s="61"/>
      <c r="G755" s="61"/>
      <c r="H755" s="62"/>
    </row>
    <row r="756" spans="1:8" ht="12.75" customHeight="1" x14ac:dyDescent="0.25">
      <c r="A756" s="59"/>
      <c r="B756" s="59"/>
      <c r="C756" s="59"/>
      <c r="D756" s="59"/>
      <c r="E756" s="59"/>
      <c r="F756" s="63" t="s">
        <v>1</v>
      </c>
      <c r="G756" s="63"/>
    </row>
    <row r="757" spans="1:8" x14ac:dyDescent="0.25">
      <c r="A757" s="57" t="s">
        <v>2</v>
      </c>
      <c r="B757" s="58"/>
      <c r="C757" s="58"/>
      <c r="D757" s="58"/>
      <c r="E757" s="2">
        <v>-7</v>
      </c>
      <c r="F757" s="64" t="s">
        <v>61</v>
      </c>
      <c r="G757" s="64"/>
    </row>
    <row r="758" spans="1:8" x14ac:dyDescent="0.25">
      <c r="A758" s="57" t="s">
        <v>13</v>
      </c>
      <c r="B758" s="58"/>
      <c r="C758" s="58"/>
      <c r="D758" s="58"/>
      <c r="E758" s="2">
        <v>-8</v>
      </c>
      <c r="F758" s="64" t="s">
        <v>61</v>
      </c>
      <c r="G758" s="64"/>
    </row>
    <row r="759" spans="1:8" x14ac:dyDescent="0.25">
      <c r="A759" s="58" t="s">
        <v>3</v>
      </c>
      <c r="B759" s="58"/>
      <c r="C759" s="58"/>
      <c r="D759" s="58"/>
      <c r="E759" s="2">
        <v>-9</v>
      </c>
      <c r="F759" s="59" t="s">
        <v>22</v>
      </c>
      <c r="G759" s="59"/>
    </row>
    <row r="760" spans="1:8" x14ac:dyDescent="0.25">
      <c r="A760" s="58" t="s">
        <v>4</v>
      </c>
      <c r="B760" s="58"/>
      <c r="C760" s="58"/>
      <c r="D760" s="58"/>
      <c r="E760" s="2">
        <v>-10</v>
      </c>
      <c r="F760" s="59" t="s">
        <v>49</v>
      </c>
      <c r="G760" s="59"/>
    </row>
    <row r="761" spans="1:8" x14ac:dyDescent="0.25">
      <c r="A761" s="58" t="s">
        <v>5</v>
      </c>
      <c r="B761" s="58"/>
      <c r="C761" s="58"/>
      <c r="D761" s="58"/>
      <c r="E761" s="2">
        <v>-11</v>
      </c>
      <c r="F761" s="59" t="s">
        <v>21</v>
      </c>
      <c r="G761" s="59"/>
    </row>
    <row r="762" spans="1:8" ht="24" customHeight="1" x14ac:dyDescent="0.25">
      <c r="A762" s="3" t="s">
        <v>6</v>
      </c>
      <c r="B762" s="4" t="s">
        <v>7</v>
      </c>
      <c r="C762" s="4" t="s">
        <v>8</v>
      </c>
      <c r="D762" s="17" t="s">
        <v>9</v>
      </c>
      <c r="E762" s="5" t="s">
        <v>10</v>
      </c>
      <c r="F762" s="6" t="s">
        <v>11</v>
      </c>
      <c r="G762" s="7" t="s">
        <v>12</v>
      </c>
    </row>
    <row r="763" spans="1:8" x14ac:dyDescent="0.25">
      <c r="A763" s="8">
        <v>9</v>
      </c>
      <c r="B763" s="8">
        <v>-8</v>
      </c>
      <c r="C763" s="8">
        <v>-9</v>
      </c>
      <c r="D763" s="9">
        <v>-10</v>
      </c>
      <c r="E763" s="9">
        <v>-11</v>
      </c>
      <c r="F763" s="9">
        <v>-12</v>
      </c>
      <c r="G763" s="10">
        <v>-13</v>
      </c>
      <c r="H763" s="11"/>
    </row>
    <row r="764" spans="1:8" x14ac:dyDescent="0.25">
      <c r="A764" s="8">
        <v>1</v>
      </c>
      <c r="B764" s="30" t="s">
        <v>110</v>
      </c>
      <c r="C764" s="27" t="s">
        <v>16</v>
      </c>
      <c r="D764" s="28">
        <v>1157100</v>
      </c>
      <c r="E764" s="29" t="s">
        <v>111</v>
      </c>
      <c r="F764" s="9"/>
      <c r="G764" s="10"/>
      <c r="H764" s="11"/>
    </row>
    <row r="766" spans="1:8" x14ac:dyDescent="0.25">
      <c r="A766" s="60" t="s">
        <v>0</v>
      </c>
      <c r="B766" s="61"/>
      <c r="C766" s="61"/>
      <c r="D766" s="61"/>
      <c r="E766" s="61"/>
      <c r="F766" s="61"/>
      <c r="G766" s="61"/>
      <c r="H766" s="62"/>
    </row>
    <row r="767" spans="1:8" ht="12.75" customHeight="1" x14ac:dyDescent="0.25">
      <c r="A767" s="59"/>
      <c r="B767" s="59"/>
      <c r="C767" s="59"/>
      <c r="D767" s="59"/>
      <c r="E767" s="59"/>
      <c r="F767" s="63" t="s">
        <v>1</v>
      </c>
      <c r="G767" s="63"/>
    </row>
    <row r="768" spans="1:8" x14ac:dyDescent="0.25">
      <c r="A768" s="57" t="s">
        <v>2</v>
      </c>
      <c r="B768" s="58"/>
      <c r="C768" s="58"/>
      <c r="D768" s="58"/>
      <c r="E768" s="2">
        <v>-7</v>
      </c>
      <c r="F768" s="59" t="s">
        <v>112</v>
      </c>
      <c r="G768" s="59"/>
    </row>
    <row r="769" spans="1:8" x14ac:dyDescent="0.25">
      <c r="A769" s="57" t="s">
        <v>13</v>
      </c>
      <c r="B769" s="58"/>
      <c r="C769" s="58"/>
      <c r="D769" s="58"/>
      <c r="E769" s="2">
        <v>-8</v>
      </c>
      <c r="F769" s="59" t="s">
        <v>112</v>
      </c>
      <c r="G769" s="59"/>
    </row>
    <row r="770" spans="1:8" x14ac:dyDescent="0.25">
      <c r="A770" s="58" t="s">
        <v>3</v>
      </c>
      <c r="B770" s="58"/>
      <c r="C770" s="58"/>
      <c r="D770" s="58"/>
      <c r="E770" s="2">
        <v>-9</v>
      </c>
      <c r="F770" s="59" t="s">
        <v>22</v>
      </c>
      <c r="G770" s="59"/>
    </row>
    <row r="771" spans="1:8" x14ac:dyDescent="0.25">
      <c r="A771" s="58" t="s">
        <v>4</v>
      </c>
      <c r="B771" s="58"/>
      <c r="C771" s="58"/>
      <c r="D771" s="58"/>
      <c r="E771" s="2">
        <v>-10</v>
      </c>
      <c r="F771" s="59" t="s">
        <v>113</v>
      </c>
      <c r="G771" s="59"/>
    </row>
    <row r="772" spans="1:8" x14ac:dyDescent="0.25">
      <c r="A772" s="58" t="s">
        <v>5</v>
      </c>
      <c r="B772" s="58"/>
      <c r="C772" s="58"/>
      <c r="D772" s="58"/>
      <c r="E772" s="2">
        <v>-11</v>
      </c>
      <c r="F772" s="59" t="s">
        <v>21</v>
      </c>
      <c r="G772" s="59"/>
    </row>
    <row r="773" spans="1:8" ht="24" x14ac:dyDescent="0.25">
      <c r="A773" s="3" t="s">
        <v>6</v>
      </c>
      <c r="B773" s="4" t="s">
        <v>7</v>
      </c>
      <c r="C773" s="4" t="s">
        <v>8</v>
      </c>
      <c r="D773" s="17" t="s">
        <v>9</v>
      </c>
      <c r="E773" s="5" t="s">
        <v>10</v>
      </c>
      <c r="F773" s="6" t="s">
        <v>11</v>
      </c>
      <c r="G773" s="7" t="s">
        <v>12</v>
      </c>
    </row>
    <row r="774" spans="1:8" x14ac:dyDescent="0.25">
      <c r="A774" s="8">
        <v>9</v>
      </c>
      <c r="B774" s="8">
        <v>-8</v>
      </c>
      <c r="C774" s="8">
        <v>-9</v>
      </c>
      <c r="D774" s="9">
        <v>-10</v>
      </c>
      <c r="E774" s="9">
        <v>-11</v>
      </c>
      <c r="F774" s="9">
        <v>-12</v>
      </c>
      <c r="G774" s="10">
        <v>-13</v>
      </c>
      <c r="H774" s="11"/>
    </row>
    <row r="775" spans="1:8" x14ac:dyDescent="0.25">
      <c r="A775" s="8">
        <v>1</v>
      </c>
      <c r="B775" s="30" t="s">
        <v>110</v>
      </c>
      <c r="C775" s="27" t="s">
        <v>16</v>
      </c>
      <c r="D775" s="28">
        <v>113800</v>
      </c>
      <c r="E775" s="29" t="s">
        <v>111</v>
      </c>
      <c r="F775" s="9"/>
      <c r="G775" s="10"/>
      <c r="H775" s="11"/>
    </row>
    <row r="777" spans="1:8" x14ac:dyDescent="0.25">
      <c r="A777" s="60" t="s">
        <v>0</v>
      </c>
      <c r="B777" s="61"/>
      <c r="C777" s="61"/>
      <c r="D777" s="61"/>
      <c r="E777" s="61"/>
      <c r="F777" s="61"/>
      <c r="G777" s="61"/>
      <c r="H777" s="62"/>
    </row>
    <row r="778" spans="1:8" ht="12.75" customHeight="1" x14ac:dyDescent="0.25">
      <c r="A778" s="59"/>
      <c r="B778" s="59"/>
      <c r="C778" s="59"/>
      <c r="D778" s="59"/>
      <c r="E778" s="59"/>
      <c r="F778" s="63" t="s">
        <v>1</v>
      </c>
      <c r="G778" s="63"/>
    </row>
    <row r="779" spans="1:8" x14ac:dyDescent="0.25">
      <c r="A779" s="57" t="s">
        <v>2</v>
      </c>
      <c r="B779" s="58"/>
      <c r="C779" s="58"/>
      <c r="D779" s="58"/>
      <c r="E779" s="2">
        <v>-7</v>
      </c>
      <c r="F779" s="59" t="s">
        <v>71</v>
      </c>
      <c r="G779" s="59"/>
    </row>
    <row r="780" spans="1:8" x14ac:dyDescent="0.25">
      <c r="A780" s="57" t="s">
        <v>13</v>
      </c>
      <c r="B780" s="58"/>
      <c r="C780" s="58"/>
      <c r="D780" s="58"/>
      <c r="E780" s="2">
        <v>-8</v>
      </c>
      <c r="F780" s="59" t="s">
        <v>71</v>
      </c>
      <c r="G780" s="59"/>
    </row>
    <row r="781" spans="1:8" x14ac:dyDescent="0.25">
      <c r="A781" s="58" t="s">
        <v>3</v>
      </c>
      <c r="B781" s="58"/>
      <c r="C781" s="58"/>
      <c r="D781" s="58"/>
      <c r="E781" s="2">
        <v>-9</v>
      </c>
      <c r="F781" s="59" t="s">
        <v>22</v>
      </c>
      <c r="G781" s="59"/>
    </row>
    <row r="782" spans="1:8" x14ac:dyDescent="0.25">
      <c r="A782" s="58" t="s">
        <v>4</v>
      </c>
      <c r="B782" s="58"/>
      <c r="C782" s="58"/>
      <c r="D782" s="58"/>
      <c r="E782" s="2">
        <v>-10</v>
      </c>
      <c r="F782" s="59" t="s">
        <v>70</v>
      </c>
      <c r="G782" s="59"/>
    </row>
    <row r="783" spans="1:8" x14ac:dyDescent="0.25">
      <c r="A783" s="58" t="s">
        <v>5</v>
      </c>
      <c r="B783" s="58"/>
      <c r="C783" s="58"/>
      <c r="D783" s="58"/>
      <c r="E783" s="2">
        <v>-11</v>
      </c>
      <c r="F783" s="59" t="s">
        <v>21</v>
      </c>
      <c r="G783" s="59"/>
    </row>
    <row r="784" spans="1:8" ht="24" x14ac:dyDescent="0.25">
      <c r="A784" s="3" t="s">
        <v>6</v>
      </c>
      <c r="B784" s="4" t="s">
        <v>7</v>
      </c>
      <c r="C784" s="4" t="s">
        <v>8</v>
      </c>
      <c r="D784" s="17" t="s">
        <v>9</v>
      </c>
      <c r="E784" s="5" t="s">
        <v>10</v>
      </c>
      <c r="F784" s="6" t="s">
        <v>11</v>
      </c>
      <c r="G784" s="7" t="s">
        <v>12</v>
      </c>
    </row>
    <row r="785" spans="1:8" x14ac:dyDescent="0.25">
      <c r="A785" s="8">
        <v>9</v>
      </c>
      <c r="B785" s="8">
        <v>-8</v>
      </c>
      <c r="C785" s="8">
        <v>-9</v>
      </c>
      <c r="D785" s="9">
        <v>-10</v>
      </c>
      <c r="E785" s="9">
        <v>-11</v>
      </c>
      <c r="F785" s="9">
        <v>-12</v>
      </c>
      <c r="G785" s="10">
        <v>-13</v>
      </c>
      <c r="H785" s="11"/>
    </row>
    <row r="786" spans="1:8" x14ac:dyDescent="0.25">
      <c r="A786" s="8">
        <v>1</v>
      </c>
      <c r="B786" s="30" t="s">
        <v>110</v>
      </c>
      <c r="C786" s="27" t="s">
        <v>16</v>
      </c>
      <c r="D786" s="28">
        <v>91900</v>
      </c>
      <c r="E786" s="29" t="s">
        <v>111</v>
      </c>
      <c r="F786" s="9"/>
      <c r="G786" s="10"/>
      <c r="H786" s="11"/>
    </row>
    <row r="788" spans="1:8" x14ac:dyDescent="0.25">
      <c r="A788" s="60" t="s">
        <v>0</v>
      </c>
      <c r="B788" s="61"/>
      <c r="C788" s="61"/>
      <c r="D788" s="61"/>
      <c r="E788" s="61"/>
      <c r="F788" s="61"/>
      <c r="G788" s="61"/>
      <c r="H788" s="62"/>
    </row>
    <row r="789" spans="1:8" ht="12.75" customHeight="1" x14ac:dyDescent="0.25">
      <c r="A789" s="59"/>
      <c r="B789" s="59"/>
      <c r="C789" s="59"/>
      <c r="D789" s="59"/>
      <c r="E789" s="59"/>
      <c r="F789" s="63" t="s">
        <v>1</v>
      </c>
      <c r="G789" s="63"/>
    </row>
    <row r="790" spans="1:8" x14ac:dyDescent="0.25">
      <c r="A790" s="57" t="s">
        <v>2</v>
      </c>
      <c r="B790" s="58"/>
      <c r="C790" s="58"/>
      <c r="D790" s="58"/>
      <c r="E790" s="2">
        <v>-7</v>
      </c>
      <c r="F790" s="59" t="s">
        <v>114</v>
      </c>
      <c r="G790" s="59"/>
    </row>
    <row r="791" spans="1:8" x14ac:dyDescent="0.25">
      <c r="A791" s="57" t="s">
        <v>13</v>
      </c>
      <c r="B791" s="58"/>
      <c r="C791" s="58"/>
      <c r="D791" s="58"/>
      <c r="E791" s="2">
        <v>-8</v>
      </c>
      <c r="F791" s="59" t="s">
        <v>114</v>
      </c>
      <c r="G791" s="59"/>
    </row>
    <row r="792" spans="1:8" x14ac:dyDescent="0.25">
      <c r="A792" s="58" t="s">
        <v>3</v>
      </c>
      <c r="B792" s="58"/>
      <c r="C792" s="58"/>
      <c r="D792" s="58"/>
      <c r="E792" s="2">
        <v>-9</v>
      </c>
      <c r="F792" s="59" t="s">
        <v>22</v>
      </c>
      <c r="G792" s="59"/>
    </row>
    <row r="793" spans="1:8" x14ac:dyDescent="0.25">
      <c r="A793" s="58" t="s">
        <v>4</v>
      </c>
      <c r="B793" s="58"/>
      <c r="C793" s="58"/>
      <c r="D793" s="58"/>
      <c r="E793" s="2">
        <v>-10</v>
      </c>
      <c r="F793" s="59" t="s">
        <v>50</v>
      </c>
      <c r="G793" s="59"/>
    </row>
    <row r="794" spans="1:8" x14ac:dyDescent="0.25">
      <c r="A794" s="58" t="s">
        <v>5</v>
      </c>
      <c r="B794" s="58"/>
      <c r="C794" s="58"/>
      <c r="D794" s="58"/>
      <c r="E794" s="2">
        <v>-11</v>
      </c>
      <c r="F794" s="59" t="s">
        <v>21</v>
      </c>
      <c r="G794" s="59"/>
    </row>
    <row r="795" spans="1:8" ht="24" x14ac:dyDescent="0.25">
      <c r="A795" s="3" t="s">
        <v>6</v>
      </c>
      <c r="B795" s="4" t="s">
        <v>7</v>
      </c>
      <c r="C795" s="4" t="s">
        <v>8</v>
      </c>
      <c r="D795" s="17" t="s">
        <v>9</v>
      </c>
      <c r="E795" s="5" t="s">
        <v>10</v>
      </c>
      <c r="F795" s="6" t="s">
        <v>11</v>
      </c>
      <c r="G795" s="7" t="s">
        <v>12</v>
      </c>
    </row>
    <row r="796" spans="1:8" x14ac:dyDescent="0.25">
      <c r="A796" s="8">
        <v>9</v>
      </c>
      <c r="B796" s="8">
        <v>-8</v>
      </c>
      <c r="C796" s="8">
        <v>-9</v>
      </c>
      <c r="D796" s="9">
        <v>-10</v>
      </c>
      <c r="E796" s="9">
        <v>-11</v>
      </c>
      <c r="F796" s="9">
        <v>-12</v>
      </c>
      <c r="G796" s="10">
        <v>-13</v>
      </c>
      <c r="H796" s="11"/>
    </row>
    <row r="797" spans="1:8" x14ac:dyDescent="0.25">
      <c r="A797" s="8">
        <v>1</v>
      </c>
      <c r="B797" s="30" t="s">
        <v>110</v>
      </c>
      <c r="C797" s="27" t="s">
        <v>16</v>
      </c>
      <c r="D797" s="28">
        <v>91900</v>
      </c>
      <c r="E797" s="29" t="s">
        <v>111</v>
      </c>
      <c r="F797" s="9"/>
      <c r="G797" s="10"/>
      <c r="H797" s="11"/>
    </row>
    <row r="799" spans="1:8" x14ac:dyDescent="0.25">
      <c r="A799" s="60" t="s">
        <v>0</v>
      </c>
      <c r="B799" s="61"/>
      <c r="C799" s="61"/>
      <c r="D799" s="61"/>
      <c r="E799" s="61"/>
      <c r="F799" s="61"/>
      <c r="G799" s="61"/>
      <c r="H799" s="62"/>
    </row>
    <row r="800" spans="1:8" ht="12.75" customHeight="1" x14ac:dyDescent="0.25">
      <c r="A800" s="59"/>
      <c r="B800" s="59"/>
      <c r="C800" s="59"/>
      <c r="D800" s="59"/>
      <c r="E800" s="59"/>
      <c r="F800" s="63" t="s">
        <v>1</v>
      </c>
      <c r="G800" s="63"/>
    </row>
    <row r="801" spans="1:8" x14ac:dyDescent="0.25">
      <c r="A801" s="57" t="s">
        <v>2</v>
      </c>
      <c r="B801" s="58"/>
      <c r="C801" s="58"/>
      <c r="D801" s="58"/>
      <c r="E801" s="2">
        <v>-7</v>
      </c>
      <c r="F801" s="59" t="s">
        <v>115</v>
      </c>
      <c r="G801" s="59"/>
    </row>
    <row r="802" spans="1:8" x14ac:dyDescent="0.25">
      <c r="A802" s="57" t="s">
        <v>13</v>
      </c>
      <c r="B802" s="58"/>
      <c r="C802" s="58"/>
      <c r="D802" s="58"/>
      <c r="E802" s="2">
        <v>-8</v>
      </c>
      <c r="F802" s="59" t="s">
        <v>115</v>
      </c>
      <c r="G802" s="59"/>
    </row>
    <row r="803" spans="1:8" x14ac:dyDescent="0.25">
      <c r="A803" s="58" t="s">
        <v>3</v>
      </c>
      <c r="B803" s="58"/>
      <c r="C803" s="58"/>
      <c r="D803" s="58"/>
      <c r="E803" s="2">
        <v>-9</v>
      </c>
      <c r="F803" s="59" t="s">
        <v>22</v>
      </c>
      <c r="G803" s="59"/>
    </row>
    <row r="804" spans="1:8" x14ac:dyDescent="0.25">
      <c r="A804" s="58" t="s">
        <v>4</v>
      </c>
      <c r="B804" s="58"/>
      <c r="C804" s="58"/>
      <c r="D804" s="58"/>
      <c r="E804" s="2">
        <v>-10</v>
      </c>
      <c r="F804" s="59" t="s">
        <v>65</v>
      </c>
      <c r="G804" s="59"/>
    </row>
    <row r="805" spans="1:8" x14ac:dyDescent="0.25">
      <c r="A805" s="58" t="s">
        <v>5</v>
      </c>
      <c r="B805" s="58"/>
      <c r="C805" s="58"/>
      <c r="D805" s="58"/>
      <c r="E805" s="2">
        <v>-11</v>
      </c>
      <c r="F805" s="59" t="s">
        <v>21</v>
      </c>
      <c r="G805" s="59"/>
    </row>
    <row r="806" spans="1:8" ht="24" x14ac:dyDescent="0.25">
      <c r="A806" s="3" t="s">
        <v>6</v>
      </c>
      <c r="B806" s="4" t="s">
        <v>7</v>
      </c>
      <c r="C806" s="4" t="s">
        <v>8</v>
      </c>
      <c r="D806" s="17" t="s">
        <v>9</v>
      </c>
      <c r="E806" s="5" t="s">
        <v>10</v>
      </c>
      <c r="F806" s="6" t="s">
        <v>11</v>
      </c>
      <c r="G806" s="7" t="s">
        <v>12</v>
      </c>
    </row>
    <row r="807" spans="1:8" x14ac:dyDescent="0.25">
      <c r="A807" s="8">
        <v>9</v>
      </c>
      <c r="B807" s="8">
        <v>-8</v>
      </c>
      <c r="C807" s="8">
        <v>-9</v>
      </c>
      <c r="D807" s="9">
        <v>-10</v>
      </c>
      <c r="E807" s="9">
        <v>-11</v>
      </c>
      <c r="F807" s="9">
        <v>-12</v>
      </c>
      <c r="G807" s="10">
        <v>-13</v>
      </c>
      <c r="H807" s="11"/>
    </row>
    <row r="808" spans="1:8" x14ac:dyDescent="0.25">
      <c r="A808" s="8">
        <v>1</v>
      </c>
      <c r="B808" s="30" t="s">
        <v>110</v>
      </c>
      <c r="C808" s="27" t="s">
        <v>16</v>
      </c>
      <c r="D808" s="28">
        <v>113800</v>
      </c>
      <c r="E808" s="29" t="s">
        <v>111</v>
      </c>
      <c r="F808" s="9"/>
      <c r="G808" s="10"/>
      <c r="H808" s="11"/>
    </row>
    <row r="810" spans="1:8" x14ac:dyDescent="0.25">
      <c r="A810" s="60" t="s">
        <v>0</v>
      </c>
      <c r="B810" s="61"/>
      <c r="C810" s="61"/>
      <c r="D810" s="61"/>
      <c r="E810" s="61"/>
      <c r="F810" s="61"/>
      <c r="G810" s="61"/>
      <c r="H810" s="62"/>
    </row>
    <row r="811" spans="1:8" x14ac:dyDescent="0.25">
      <c r="A811" s="59"/>
      <c r="B811" s="59"/>
      <c r="C811" s="59"/>
      <c r="D811" s="59"/>
      <c r="E811" s="59"/>
      <c r="F811" s="63" t="s">
        <v>1</v>
      </c>
      <c r="G811" s="63"/>
    </row>
    <row r="812" spans="1:8" x14ac:dyDescent="0.25">
      <c r="A812" s="57" t="s">
        <v>2</v>
      </c>
      <c r="B812" s="58"/>
      <c r="C812" s="58"/>
      <c r="D812" s="58"/>
      <c r="E812" s="2">
        <v>-7</v>
      </c>
      <c r="F812" s="59" t="s">
        <v>61</v>
      </c>
      <c r="G812" s="59"/>
    </row>
    <row r="813" spans="1:8" x14ac:dyDescent="0.25">
      <c r="A813" s="57" t="s">
        <v>13</v>
      </c>
      <c r="B813" s="58"/>
      <c r="C813" s="58"/>
      <c r="D813" s="58"/>
      <c r="E813" s="2">
        <v>-8</v>
      </c>
      <c r="F813" s="59" t="s">
        <v>61</v>
      </c>
      <c r="G813" s="59"/>
    </row>
    <row r="814" spans="1:8" x14ac:dyDescent="0.25">
      <c r="A814" s="58" t="s">
        <v>3</v>
      </c>
      <c r="B814" s="58"/>
      <c r="C814" s="58"/>
      <c r="D814" s="58"/>
      <c r="E814" s="2">
        <v>-9</v>
      </c>
      <c r="F814" s="59" t="s">
        <v>22</v>
      </c>
      <c r="G814" s="59"/>
    </row>
    <row r="815" spans="1:8" x14ac:dyDescent="0.25">
      <c r="A815" s="58" t="s">
        <v>4</v>
      </c>
      <c r="B815" s="58"/>
      <c r="C815" s="58"/>
      <c r="D815" s="58"/>
      <c r="E815" s="2">
        <v>-10</v>
      </c>
      <c r="F815" s="59" t="s">
        <v>49</v>
      </c>
      <c r="G815" s="59"/>
    </row>
    <row r="816" spans="1:8" x14ac:dyDescent="0.25">
      <c r="A816" s="58" t="s">
        <v>5</v>
      </c>
      <c r="B816" s="58"/>
      <c r="C816" s="58"/>
      <c r="D816" s="58"/>
      <c r="E816" s="2">
        <v>-11</v>
      </c>
      <c r="F816" s="59" t="s">
        <v>21</v>
      </c>
      <c r="G816" s="59"/>
    </row>
    <row r="817" spans="1:8" ht="24" x14ac:dyDescent="0.25">
      <c r="A817" s="3" t="s">
        <v>6</v>
      </c>
      <c r="B817" s="4" t="s">
        <v>7</v>
      </c>
      <c r="C817" s="4" t="s">
        <v>8</v>
      </c>
      <c r="D817" s="17" t="s">
        <v>9</v>
      </c>
      <c r="E817" s="5" t="s">
        <v>10</v>
      </c>
      <c r="F817" s="6" t="s">
        <v>11</v>
      </c>
      <c r="G817" s="7" t="s">
        <v>12</v>
      </c>
    </row>
    <row r="818" spans="1:8" x14ac:dyDescent="0.25">
      <c r="A818" s="8">
        <v>9</v>
      </c>
      <c r="B818" s="8">
        <v>-8</v>
      </c>
      <c r="C818" s="8">
        <v>-9</v>
      </c>
      <c r="D818" s="9">
        <v>-10</v>
      </c>
      <c r="E818" s="9">
        <v>-11</v>
      </c>
      <c r="F818" s="9">
        <v>-12</v>
      </c>
      <c r="G818" s="10">
        <v>-13</v>
      </c>
      <c r="H818" s="11"/>
    </row>
    <row r="819" spans="1:8" x14ac:dyDescent="0.25">
      <c r="A819" s="8">
        <v>1</v>
      </c>
      <c r="B819" s="30" t="s">
        <v>110</v>
      </c>
      <c r="C819" s="27" t="s">
        <v>116</v>
      </c>
      <c r="D819" s="28">
        <v>72000</v>
      </c>
      <c r="E819" s="29" t="s">
        <v>117</v>
      </c>
      <c r="F819" s="9"/>
      <c r="G819" s="10"/>
      <c r="H819" s="11"/>
    </row>
    <row r="821" spans="1:8" x14ac:dyDescent="0.25">
      <c r="A821" s="60" t="s">
        <v>0</v>
      </c>
      <c r="B821" s="61"/>
      <c r="C821" s="61"/>
      <c r="D821" s="61"/>
      <c r="E821" s="61"/>
      <c r="F821" s="61"/>
      <c r="G821" s="61"/>
      <c r="H821" s="62"/>
    </row>
    <row r="822" spans="1:8" x14ac:dyDescent="0.25">
      <c r="A822" s="59"/>
      <c r="B822" s="59"/>
      <c r="C822" s="59"/>
      <c r="D822" s="59"/>
      <c r="E822" s="59"/>
      <c r="F822" s="63" t="s">
        <v>1</v>
      </c>
      <c r="G822" s="63"/>
    </row>
    <row r="823" spans="1:8" x14ac:dyDescent="0.25">
      <c r="A823" s="57" t="s">
        <v>2</v>
      </c>
      <c r="B823" s="58"/>
      <c r="C823" s="58"/>
      <c r="D823" s="58"/>
      <c r="E823" s="2">
        <v>-7</v>
      </c>
      <c r="F823" s="59" t="s">
        <v>112</v>
      </c>
      <c r="G823" s="59"/>
    </row>
    <row r="824" spans="1:8" x14ac:dyDescent="0.25">
      <c r="A824" s="57" t="s">
        <v>13</v>
      </c>
      <c r="B824" s="58"/>
      <c r="C824" s="58"/>
      <c r="D824" s="58"/>
      <c r="E824" s="2">
        <v>-8</v>
      </c>
      <c r="F824" s="59" t="s">
        <v>112</v>
      </c>
      <c r="G824" s="59"/>
    </row>
    <row r="825" spans="1:8" x14ac:dyDescent="0.25">
      <c r="A825" s="58" t="s">
        <v>3</v>
      </c>
      <c r="B825" s="58"/>
      <c r="C825" s="58"/>
      <c r="D825" s="58"/>
      <c r="E825" s="2">
        <v>-9</v>
      </c>
      <c r="F825" s="59" t="s">
        <v>22</v>
      </c>
      <c r="G825" s="59"/>
    </row>
    <row r="826" spans="1:8" x14ac:dyDescent="0.25">
      <c r="A826" s="58" t="s">
        <v>4</v>
      </c>
      <c r="B826" s="58"/>
      <c r="C826" s="58"/>
      <c r="D826" s="58"/>
      <c r="E826" s="2">
        <v>-10</v>
      </c>
      <c r="F826" s="59" t="s">
        <v>113</v>
      </c>
      <c r="G826" s="59"/>
    </row>
    <row r="827" spans="1:8" x14ac:dyDescent="0.25">
      <c r="A827" s="58" t="s">
        <v>5</v>
      </c>
      <c r="B827" s="58"/>
      <c r="C827" s="58"/>
      <c r="D827" s="58"/>
      <c r="E827" s="2">
        <v>-11</v>
      </c>
      <c r="F827" s="59" t="s">
        <v>21</v>
      </c>
      <c r="G827" s="59"/>
    </row>
    <row r="828" spans="1:8" ht="24" x14ac:dyDescent="0.25">
      <c r="A828" s="3" t="s">
        <v>6</v>
      </c>
      <c r="B828" s="4" t="s">
        <v>7</v>
      </c>
      <c r="C828" s="4" t="s">
        <v>8</v>
      </c>
      <c r="D828" s="17" t="s">
        <v>9</v>
      </c>
      <c r="E828" s="5" t="s">
        <v>10</v>
      </c>
      <c r="F828" s="6" t="s">
        <v>11</v>
      </c>
      <c r="G828" s="7" t="s">
        <v>12</v>
      </c>
    </row>
    <row r="829" spans="1:8" x14ac:dyDescent="0.25">
      <c r="A829" s="8">
        <v>9</v>
      </c>
      <c r="B829" s="8">
        <v>-8</v>
      </c>
      <c r="C829" s="8">
        <v>-9</v>
      </c>
      <c r="D829" s="9">
        <v>-10</v>
      </c>
      <c r="E829" s="9">
        <v>-11</v>
      </c>
      <c r="F829" s="9">
        <v>-12</v>
      </c>
      <c r="G829" s="10">
        <v>-13</v>
      </c>
      <c r="H829" s="11"/>
    </row>
    <row r="830" spans="1:8" x14ac:dyDescent="0.25">
      <c r="A830" s="8">
        <v>1</v>
      </c>
      <c r="B830" s="30" t="s">
        <v>110</v>
      </c>
      <c r="C830" s="27" t="s">
        <v>116</v>
      </c>
      <c r="D830" s="28">
        <v>60000</v>
      </c>
      <c r="E830" s="29" t="s">
        <v>117</v>
      </c>
      <c r="F830" s="9"/>
      <c r="G830" s="10"/>
      <c r="H830" s="11"/>
    </row>
    <row r="832" spans="1:8" ht="12.75" customHeight="1" x14ac:dyDescent="0.25">
      <c r="A832" s="60" t="s">
        <v>0</v>
      </c>
      <c r="B832" s="61"/>
      <c r="C832" s="61"/>
      <c r="D832" s="61"/>
      <c r="E832" s="61"/>
      <c r="F832" s="61"/>
      <c r="G832" s="61"/>
      <c r="H832" s="62"/>
    </row>
    <row r="833" spans="1:8" ht="12.75" customHeight="1" x14ac:dyDescent="0.25">
      <c r="A833" s="59"/>
      <c r="B833" s="59"/>
      <c r="C833" s="59"/>
      <c r="D833" s="59"/>
      <c r="E833" s="59"/>
      <c r="F833" s="63" t="s">
        <v>1</v>
      </c>
      <c r="G833" s="63"/>
    </row>
    <row r="834" spans="1:8" x14ac:dyDescent="0.25">
      <c r="A834" s="57" t="s">
        <v>2</v>
      </c>
      <c r="B834" s="58"/>
      <c r="C834" s="58"/>
      <c r="D834" s="58"/>
      <c r="E834" s="2">
        <v>-7</v>
      </c>
      <c r="F834" s="59" t="s">
        <v>114</v>
      </c>
      <c r="G834" s="59"/>
    </row>
    <row r="835" spans="1:8" x14ac:dyDescent="0.25">
      <c r="A835" s="57" t="s">
        <v>13</v>
      </c>
      <c r="B835" s="58"/>
      <c r="C835" s="58"/>
      <c r="D835" s="58"/>
      <c r="E835" s="2">
        <v>-8</v>
      </c>
      <c r="F835" s="59" t="s">
        <v>114</v>
      </c>
      <c r="G835" s="59"/>
    </row>
    <row r="836" spans="1:8" x14ac:dyDescent="0.25">
      <c r="A836" s="58" t="s">
        <v>3</v>
      </c>
      <c r="B836" s="58"/>
      <c r="C836" s="58"/>
      <c r="D836" s="58"/>
      <c r="E836" s="2">
        <v>-9</v>
      </c>
      <c r="F836" s="59" t="s">
        <v>22</v>
      </c>
      <c r="G836" s="59"/>
    </row>
    <row r="837" spans="1:8" x14ac:dyDescent="0.25">
      <c r="A837" s="58" t="s">
        <v>4</v>
      </c>
      <c r="B837" s="58"/>
      <c r="C837" s="58"/>
      <c r="D837" s="58"/>
      <c r="E837" s="2">
        <v>-10</v>
      </c>
      <c r="F837" s="59" t="s">
        <v>70</v>
      </c>
      <c r="G837" s="59"/>
    </row>
    <row r="838" spans="1:8" x14ac:dyDescent="0.25">
      <c r="A838" s="58" t="s">
        <v>5</v>
      </c>
      <c r="B838" s="58"/>
      <c r="C838" s="58"/>
      <c r="D838" s="58"/>
      <c r="E838" s="2">
        <v>-11</v>
      </c>
      <c r="F838" s="59" t="s">
        <v>21</v>
      </c>
      <c r="G838" s="59"/>
    </row>
    <row r="839" spans="1:8" ht="24" x14ac:dyDescent="0.25">
      <c r="A839" s="3" t="s">
        <v>6</v>
      </c>
      <c r="B839" s="4" t="s">
        <v>7</v>
      </c>
      <c r="C839" s="4" t="s">
        <v>8</v>
      </c>
      <c r="D839" s="17" t="s">
        <v>9</v>
      </c>
      <c r="E839" s="5" t="s">
        <v>10</v>
      </c>
      <c r="F839" s="6" t="s">
        <v>11</v>
      </c>
      <c r="G839" s="7" t="s">
        <v>12</v>
      </c>
    </row>
    <row r="840" spans="1:8" x14ac:dyDescent="0.25">
      <c r="A840" s="8">
        <v>9</v>
      </c>
      <c r="B840" s="8">
        <v>-8</v>
      </c>
      <c r="C840" s="8">
        <v>-9</v>
      </c>
      <c r="D840" s="9">
        <v>-10</v>
      </c>
      <c r="E840" s="9">
        <v>-11</v>
      </c>
      <c r="F840" s="9">
        <v>-12</v>
      </c>
      <c r="G840" s="10">
        <v>-13</v>
      </c>
      <c r="H840" s="11"/>
    </row>
    <row r="841" spans="1:8" x14ac:dyDescent="0.25">
      <c r="A841" s="8">
        <v>1</v>
      </c>
      <c r="B841" s="30" t="s">
        <v>110</v>
      </c>
      <c r="C841" s="27" t="s">
        <v>116</v>
      </c>
      <c r="D841" s="28">
        <v>60000</v>
      </c>
      <c r="E841" s="29" t="s">
        <v>117</v>
      </c>
      <c r="F841" s="9"/>
      <c r="G841" s="10"/>
      <c r="H841" s="11"/>
    </row>
    <row r="843" spans="1:8" x14ac:dyDescent="0.25">
      <c r="A843" s="60" t="s">
        <v>0</v>
      </c>
      <c r="B843" s="61"/>
      <c r="C843" s="61"/>
      <c r="D843" s="61"/>
      <c r="E843" s="61"/>
      <c r="F843" s="61"/>
      <c r="G843" s="61"/>
      <c r="H843" s="62"/>
    </row>
    <row r="844" spans="1:8" x14ac:dyDescent="0.25">
      <c r="A844" s="59"/>
      <c r="B844" s="59"/>
      <c r="C844" s="59"/>
      <c r="D844" s="59"/>
      <c r="E844" s="59"/>
      <c r="F844" s="63" t="s">
        <v>1</v>
      </c>
      <c r="G844" s="63"/>
    </row>
    <row r="845" spans="1:8" x14ac:dyDescent="0.25">
      <c r="A845" s="57" t="s">
        <v>2</v>
      </c>
      <c r="B845" s="58"/>
      <c r="C845" s="58"/>
      <c r="D845" s="58"/>
      <c r="E845" s="2">
        <v>-7</v>
      </c>
      <c r="F845" s="59" t="s">
        <v>51</v>
      </c>
      <c r="G845" s="59"/>
    </row>
    <row r="846" spans="1:8" x14ac:dyDescent="0.25">
      <c r="A846" s="57" t="s">
        <v>13</v>
      </c>
      <c r="B846" s="58"/>
      <c r="C846" s="58"/>
      <c r="D846" s="58"/>
      <c r="E846" s="2">
        <v>-8</v>
      </c>
      <c r="F846" s="59" t="s">
        <v>51</v>
      </c>
      <c r="G846" s="59"/>
    </row>
    <row r="847" spans="1:8" x14ac:dyDescent="0.25">
      <c r="A847" s="58" t="s">
        <v>3</v>
      </c>
      <c r="B847" s="58"/>
      <c r="C847" s="58"/>
      <c r="D847" s="58"/>
      <c r="E847" s="2">
        <v>-9</v>
      </c>
      <c r="F847" s="59" t="s">
        <v>22</v>
      </c>
      <c r="G847" s="59"/>
    </row>
    <row r="848" spans="1:8" x14ac:dyDescent="0.25">
      <c r="A848" s="58" t="s">
        <v>4</v>
      </c>
      <c r="B848" s="58"/>
      <c r="C848" s="58"/>
      <c r="D848" s="58"/>
      <c r="E848" s="2">
        <v>-10</v>
      </c>
      <c r="F848" s="59" t="s">
        <v>50</v>
      </c>
      <c r="G848" s="59"/>
    </row>
    <row r="849" spans="1:8" x14ac:dyDescent="0.25">
      <c r="A849" s="58" t="s">
        <v>5</v>
      </c>
      <c r="B849" s="58"/>
      <c r="C849" s="58"/>
      <c r="D849" s="58"/>
      <c r="E849" s="2">
        <v>-11</v>
      </c>
      <c r="F849" s="59" t="s">
        <v>21</v>
      </c>
      <c r="G849" s="59"/>
    </row>
    <row r="850" spans="1:8" ht="24" x14ac:dyDescent="0.25">
      <c r="A850" s="3" t="s">
        <v>6</v>
      </c>
      <c r="B850" s="4" t="s">
        <v>7</v>
      </c>
      <c r="C850" s="4" t="s">
        <v>8</v>
      </c>
      <c r="D850" s="17" t="s">
        <v>9</v>
      </c>
      <c r="E850" s="5" t="s">
        <v>10</v>
      </c>
      <c r="F850" s="6" t="s">
        <v>11</v>
      </c>
      <c r="G850" s="7" t="s">
        <v>12</v>
      </c>
    </row>
    <row r="851" spans="1:8" x14ac:dyDescent="0.25">
      <c r="A851" s="8">
        <v>9</v>
      </c>
      <c r="B851" s="8">
        <v>-8</v>
      </c>
      <c r="C851" s="8">
        <v>-9</v>
      </c>
      <c r="D851" s="9">
        <v>-10</v>
      </c>
      <c r="E851" s="9">
        <v>-11</v>
      </c>
      <c r="F851" s="9">
        <v>-12</v>
      </c>
      <c r="G851" s="10">
        <v>-13</v>
      </c>
      <c r="H851" s="11"/>
    </row>
    <row r="852" spans="1:8" x14ac:dyDescent="0.25">
      <c r="A852" s="8">
        <v>1</v>
      </c>
      <c r="B852" s="30" t="s">
        <v>110</v>
      </c>
      <c r="C852" s="27" t="s">
        <v>116</v>
      </c>
      <c r="D852" s="28">
        <v>60000</v>
      </c>
      <c r="E852" s="29" t="s">
        <v>117</v>
      </c>
      <c r="F852" s="9"/>
      <c r="G852" s="10"/>
      <c r="H852" s="11"/>
    </row>
    <row r="854" spans="1:8" x14ac:dyDescent="0.25">
      <c r="A854" s="60" t="s">
        <v>0</v>
      </c>
      <c r="B854" s="61"/>
      <c r="C854" s="61"/>
      <c r="D854" s="61"/>
      <c r="E854" s="61"/>
      <c r="F854" s="61"/>
      <c r="G854" s="61"/>
      <c r="H854" s="62"/>
    </row>
    <row r="855" spans="1:8" x14ac:dyDescent="0.25">
      <c r="A855" s="59"/>
      <c r="B855" s="59"/>
      <c r="C855" s="59"/>
      <c r="D855" s="59"/>
      <c r="E855" s="59"/>
      <c r="F855" s="63" t="s">
        <v>1</v>
      </c>
      <c r="G855" s="63"/>
    </row>
    <row r="856" spans="1:8" x14ac:dyDescent="0.25">
      <c r="A856" s="57" t="s">
        <v>2</v>
      </c>
      <c r="B856" s="58"/>
      <c r="C856" s="58"/>
      <c r="D856" s="58"/>
      <c r="E856" s="2">
        <v>-7</v>
      </c>
      <c r="F856" s="59" t="s">
        <v>115</v>
      </c>
      <c r="G856" s="59"/>
    </row>
    <row r="857" spans="1:8" x14ac:dyDescent="0.25">
      <c r="A857" s="57" t="s">
        <v>13</v>
      </c>
      <c r="B857" s="58"/>
      <c r="C857" s="58"/>
      <c r="D857" s="58"/>
      <c r="E857" s="2">
        <v>-8</v>
      </c>
      <c r="F857" s="59" t="s">
        <v>115</v>
      </c>
      <c r="G857" s="59"/>
    </row>
    <row r="858" spans="1:8" x14ac:dyDescent="0.25">
      <c r="A858" s="58" t="s">
        <v>3</v>
      </c>
      <c r="B858" s="58"/>
      <c r="C858" s="58"/>
      <c r="D858" s="58"/>
      <c r="E858" s="2">
        <v>-9</v>
      </c>
      <c r="F858" s="59" t="s">
        <v>22</v>
      </c>
      <c r="G858" s="59"/>
    </row>
    <row r="859" spans="1:8" x14ac:dyDescent="0.25">
      <c r="A859" s="58" t="s">
        <v>4</v>
      </c>
      <c r="B859" s="58"/>
      <c r="C859" s="58"/>
      <c r="D859" s="58"/>
      <c r="E859" s="2">
        <v>-10</v>
      </c>
      <c r="F859" s="59" t="s">
        <v>65</v>
      </c>
      <c r="G859" s="59"/>
    </row>
    <row r="860" spans="1:8" x14ac:dyDescent="0.25">
      <c r="A860" s="58" t="s">
        <v>5</v>
      </c>
      <c r="B860" s="58"/>
      <c r="C860" s="58"/>
      <c r="D860" s="58"/>
      <c r="E860" s="2">
        <v>-11</v>
      </c>
      <c r="F860" s="59" t="s">
        <v>21</v>
      </c>
      <c r="G860" s="59"/>
    </row>
    <row r="861" spans="1:8" ht="24" x14ac:dyDescent="0.25">
      <c r="A861" s="3" t="s">
        <v>6</v>
      </c>
      <c r="B861" s="4" t="s">
        <v>7</v>
      </c>
      <c r="C861" s="4" t="s">
        <v>8</v>
      </c>
      <c r="D861" s="17" t="s">
        <v>9</v>
      </c>
      <c r="E861" s="5" t="s">
        <v>10</v>
      </c>
      <c r="F861" s="6" t="s">
        <v>11</v>
      </c>
      <c r="G861" s="7" t="s">
        <v>12</v>
      </c>
    </row>
    <row r="862" spans="1:8" x14ac:dyDescent="0.25">
      <c r="A862" s="8">
        <v>9</v>
      </c>
      <c r="B862" s="8">
        <v>-8</v>
      </c>
      <c r="C862" s="8">
        <v>-9</v>
      </c>
      <c r="D862" s="9">
        <v>-10</v>
      </c>
      <c r="E862" s="9">
        <v>-11</v>
      </c>
      <c r="F862" s="9">
        <v>-12</v>
      </c>
      <c r="G862" s="10">
        <v>-13</v>
      </c>
      <c r="H862" s="11"/>
    </row>
    <row r="863" spans="1:8" x14ac:dyDescent="0.25">
      <c r="A863" s="8">
        <v>1</v>
      </c>
      <c r="B863" s="30" t="s">
        <v>110</v>
      </c>
      <c r="C863" s="27" t="s">
        <v>116</v>
      </c>
      <c r="D863" s="28">
        <v>60000</v>
      </c>
      <c r="E863" s="29" t="s">
        <v>117</v>
      </c>
      <c r="F863" s="9"/>
      <c r="G863" s="10"/>
      <c r="H863" s="11"/>
    </row>
    <row r="865" spans="1:8" x14ac:dyDescent="0.25">
      <c r="A865" s="60" t="s">
        <v>0</v>
      </c>
      <c r="B865" s="61"/>
      <c r="C865" s="61"/>
      <c r="D865" s="61"/>
      <c r="E865" s="61"/>
      <c r="F865" s="61"/>
      <c r="G865" s="61"/>
      <c r="H865" s="62"/>
    </row>
    <row r="866" spans="1:8" x14ac:dyDescent="0.25">
      <c r="A866" s="59"/>
      <c r="B866" s="59"/>
      <c r="C866" s="59"/>
      <c r="D866" s="59"/>
      <c r="E866" s="59"/>
      <c r="F866" s="63" t="s">
        <v>1</v>
      </c>
      <c r="G866" s="63"/>
    </row>
    <row r="867" spans="1:8" x14ac:dyDescent="0.25">
      <c r="A867" s="57" t="s">
        <v>2</v>
      </c>
      <c r="B867" s="58"/>
      <c r="C867" s="58"/>
      <c r="D867" s="58"/>
      <c r="E867" s="2">
        <v>-7</v>
      </c>
      <c r="F867" s="59" t="s">
        <v>114</v>
      </c>
      <c r="G867" s="59"/>
    </row>
    <row r="868" spans="1:8" x14ac:dyDescent="0.25">
      <c r="A868" s="57" t="s">
        <v>13</v>
      </c>
      <c r="B868" s="58"/>
      <c r="C868" s="58"/>
      <c r="D868" s="58"/>
      <c r="E868" s="2">
        <v>-8</v>
      </c>
      <c r="F868" s="59" t="s">
        <v>114</v>
      </c>
      <c r="G868" s="59"/>
    </row>
    <row r="869" spans="1:8" x14ac:dyDescent="0.25">
      <c r="A869" s="58" t="s">
        <v>3</v>
      </c>
      <c r="B869" s="58"/>
      <c r="C869" s="58"/>
      <c r="D869" s="58"/>
      <c r="E869" s="2">
        <v>-9</v>
      </c>
      <c r="F869" s="59" t="s">
        <v>22</v>
      </c>
      <c r="G869" s="59"/>
    </row>
    <row r="870" spans="1:8" ht="12.75" customHeight="1" x14ac:dyDescent="0.25">
      <c r="A870" s="58" t="s">
        <v>4</v>
      </c>
      <c r="B870" s="58"/>
      <c r="C870" s="58"/>
      <c r="D870" s="58"/>
      <c r="E870" s="2">
        <v>-10</v>
      </c>
      <c r="F870" s="59" t="s">
        <v>70</v>
      </c>
      <c r="G870" s="59"/>
    </row>
    <row r="871" spans="1:8" x14ac:dyDescent="0.25">
      <c r="A871" s="58" t="s">
        <v>5</v>
      </c>
      <c r="B871" s="58"/>
      <c r="C871" s="58"/>
      <c r="D871" s="58"/>
      <c r="E871" s="2">
        <v>-11</v>
      </c>
      <c r="F871" s="59" t="s">
        <v>21</v>
      </c>
      <c r="G871" s="59"/>
    </row>
    <row r="872" spans="1:8" ht="24" x14ac:dyDescent="0.25">
      <c r="A872" s="3" t="s">
        <v>6</v>
      </c>
      <c r="B872" s="4" t="s">
        <v>7</v>
      </c>
      <c r="C872" s="4" t="s">
        <v>8</v>
      </c>
      <c r="D872" s="17" t="s">
        <v>9</v>
      </c>
      <c r="E872" s="5" t="s">
        <v>10</v>
      </c>
      <c r="F872" s="6" t="s">
        <v>11</v>
      </c>
      <c r="G872" s="7" t="s">
        <v>12</v>
      </c>
    </row>
    <row r="873" spans="1:8" x14ac:dyDescent="0.25">
      <c r="A873" s="8">
        <v>9</v>
      </c>
      <c r="B873" s="8">
        <v>-8</v>
      </c>
      <c r="C873" s="8">
        <v>-9</v>
      </c>
      <c r="D873" s="9">
        <v>-10</v>
      </c>
      <c r="E873" s="9">
        <v>-11</v>
      </c>
      <c r="F873" s="9">
        <v>-12</v>
      </c>
      <c r="G873" s="10">
        <v>-13</v>
      </c>
      <c r="H873" s="11"/>
    </row>
    <row r="874" spans="1:8" x14ac:dyDescent="0.25">
      <c r="A874" s="8">
        <v>1</v>
      </c>
      <c r="B874" s="30" t="s">
        <v>118</v>
      </c>
      <c r="C874" s="27" t="s">
        <v>119</v>
      </c>
      <c r="D874" s="28">
        <v>250000</v>
      </c>
      <c r="E874" s="29" t="s">
        <v>18</v>
      </c>
      <c r="F874" s="9"/>
      <c r="G874" s="10"/>
      <c r="H874" s="11"/>
    </row>
    <row r="875" spans="1:8" x14ac:dyDescent="0.25">
      <c r="A875" s="8">
        <v>1</v>
      </c>
      <c r="B875" s="30" t="s">
        <v>118</v>
      </c>
      <c r="C875" s="27" t="s">
        <v>120</v>
      </c>
      <c r="D875" s="28">
        <v>250000</v>
      </c>
      <c r="E875" s="29" t="s">
        <v>18</v>
      </c>
      <c r="F875" s="9"/>
      <c r="G875" s="10"/>
      <c r="H875" s="11"/>
    </row>
    <row r="876" spans="1:8" x14ac:dyDescent="0.25">
      <c r="A876" s="8">
        <v>1</v>
      </c>
      <c r="B876" s="30" t="s">
        <v>118</v>
      </c>
      <c r="C876" s="27" t="s">
        <v>121</v>
      </c>
      <c r="D876" s="28">
        <v>40000</v>
      </c>
      <c r="E876" s="29" t="s">
        <v>18</v>
      </c>
      <c r="F876" s="9"/>
      <c r="G876" s="10"/>
      <c r="H876" s="11"/>
    </row>
    <row r="877" spans="1:8" x14ac:dyDescent="0.25">
      <c r="A877" s="8">
        <v>1</v>
      </c>
      <c r="B877" s="30" t="s">
        <v>118</v>
      </c>
      <c r="C877" s="27" t="s">
        <v>122</v>
      </c>
      <c r="D877" s="28">
        <v>25000</v>
      </c>
      <c r="E877" s="29" t="s">
        <v>18</v>
      </c>
      <c r="F877" s="9"/>
      <c r="G877" s="10"/>
      <c r="H877" s="11"/>
    </row>
    <row r="878" spans="1:8" x14ac:dyDescent="0.25">
      <c r="A878" s="8">
        <v>1</v>
      </c>
      <c r="B878" s="30" t="s">
        <v>118</v>
      </c>
      <c r="C878" s="27" t="s">
        <v>104</v>
      </c>
      <c r="D878" s="28">
        <v>95000</v>
      </c>
      <c r="E878" s="29" t="s">
        <v>18</v>
      </c>
      <c r="F878" s="9"/>
      <c r="G878" s="10"/>
      <c r="H878" s="11"/>
    </row>
    <row r="880" spans="1:8" x14ac:dyDescent="0.25">
      <c r="A880" s="60" t="s">
        <v>0</v>
      </c>
      <c r="B880" s="61"/>
      <c r="C880" s="61"/>
      <c r="D880" s="61"/>
      <c r="E880" s="61"/>
      <c r="F880" s="61"/>
      <c r="G880" s="61"/>
      <c r="H880" s="62"/>
    </row>
    <row r="881" spans="1:8" x14ac:dyDescent="0.25">
      <c r="A881" s="59"/>
      <c r="B881" s="59"/>
      <c r="C881" s="59"/>
      <c r="D881" s="59"/>
      <c r="E881" s="59"/>
      <c r="F881" s="63" t="s">
        <v>1</v>
      </c>
      <c r="G881" s="63"/>
    </row>
    <row r="882" spans="1:8" x14ac:dyDescent="0.25">
      <c r="A882" s="57" t="s">
        <v>2</v>
      </c>
      <c r="B882" s="58"/>
      <c r="C882" s="58"/>
      <c r="D882" s="58"/>
      <c r="E882" s="2">
        <v>-7</v>
      </c>
      <c r="F882" s="59" t="s">
        <v>123</v>
      </c>
      <c r="G882" s="59"/>
    </row>
    <row r="883" spans="1:8" x14ac:dyDescent="0.25">
      <c r="A883" s="57" t="s">
        <v>13</v>
      </c>
      <c r="B883" s="58"/>
      <c r="C883" s="58"/>
      <c r="D883" s="58"/>
      <c r="E883" s="2">
        <v>-8</v>
      </c>
      <c r="F883" s="59" t="s">
        <v>123</v>
      </c>
      <c r="G883" s="59"/>
    </row>
    <row r="884" spans="1:8" x14ac:dyDescent="0.25">
      <c r="A884" s="58" t="s">
        <v>3</v>
      </c>
      <c r="B884" s="58"/>
      <c r="C884" s="58"/>
      <c r="D884" s="58"/>
      <c r="E884" s="2">
        <v>-9</v>
      </c>
      <c r="F884" s="59" t="s">
        <v>124</v>
      </c>
      <c r="G884" s="59"/>
    </row>
    <row r="885" spans="1:8" ht="12.75" customHeight="1" x14ac:dyDescent="0.25">
      <c r="A885" s="58" t="s">
        <v>4</v>
      </c>
      <c r="B885" s="58"/>
      <c r="C885" s="58"/>
      <c r="D885" s="58"/>
      <c r="E885" s="2">
        <v>-10</v>
      </c>
      <c r="F885" s="59" t="s">
        <v>77</v>
      </c>
      <c r="G885" s="59"/>
    </row>
    <row r="886" spans="1:8" x14ac:dyDescent="0.25">
      <c r="A886" s="58" t="s">
        <v>5</v>
      </c>
      <c r="B886" s="58"/>
      <c r="C886" s="58"/>
      <c r="D886" s="58"/>
      <c r="E886" s="2">
        <v>-11</v>
      </c>
      <c r="F886" s="59" t="s">
        <v>21</v>
      </c>
      <c r="G886" s="59"/>
    </row>
    <row r="887" spans="1:8" ht="24" x14ac:dyDescent="0.25">
      <c r="A887" s="3" t="s">
        <v>6</v>
      </c>
      <c r="B887" s="4" t="s">
        <v>7</v>
      </c>
      <c r="C887" s="4" t="s">
        <v>8</v>
      </c>
      <c r="D887" s="17" t="s">
        <v>9</v>
      </c>
      <c r="E887" s="5" t="s">
        <v>10</v>
      </c>
      <c r="F887" s="6" t="s">
        <v>11</v>
      </c>
      <c r="G887" s="7" t="s">
        <v>12</v>
      </c>
    </row>
    <row r="888" spans="1:8" x14ac:dyDescent="0.25">
      <c r="A888" s="8">
        <v>9</v>
      </c>
      <c r="B888" s="8">
        <v>-8</v>
      </c>
      <c r="C888" s="8">
        <v>-9</v>
      </c>
      <c r="D888" s="9">
        <v>-10</v>
      </c>
      <c r="E888" s="9">
        <v>-11</v>
      </c>
      <c r="F888" s="9">
        <v>-12</v>
      </c>
      <c r="G888" s="10">
        <v>-13</v>
      </c>
      <c r="H888" s="11"/>
    </row>
    <row r="889" spans="1:8" x14ac:dyDescent="0.25">
      <c r="A889" s="8">
        <v>1</v>
      </c>
      <c r="B889" s="30" t="s">
        <v>118</v>
      </c>
      <c r="C889" s="27" t="s">
        <v>125</v>
      </c>
      <c r="D889" s="28">
        <v>250000</v>
      </c>
      <c r="E889" s="29" t="s">
        <v>81</v>
      </c>
      <c r="F889" s="9"/>
      <c r="G889" s="10"/>
      <c r="H889" s="11"/>
    </row>
    <row r="890" spans="1:8" x14ac:dyDescent="0.25">
      <c r="A890" s="8">
        <v>2</v>
      </c>
      <c r="B890" s="30" t="s">
        <v>118</v>
      </c>
      <c r="C890" s="27" t="s">
        <v>125</v>
      </c>
      <c r="D890" s="28">
        <v>250000</v>
      </c>
      <c r="E890" s="29" t="s">
        <v>81</v>
      </c>
      <c r="F890" s="9"/>
      <c r="G890" s="10"/>
      <c r="H890" s="11"/>
    </row>
    <row r="891" spans="1:8" x14ac:dyDescent="0.25">
      <c r="A891" s="8">
        <v>1</v>
      </c>
      <c r="B891" s="30" t="s">
        <v>118</v>
      </c>
      <c r="C891" s="27" t="s">
        <v>125</v>
      </c>
      <c r="D891" s="28">
        <v>250000</v>
      </c>
      <c r="E891" s="29" t="s">
        <v>81</v>
      </c>
      <c r="F891" s="9"/>
      <c r="G891" s="10"/>
      <c r="H891" s="11"/>
    </row>
    <row r="892" spans="1:8" x14ac:dyDescent="0.25">
      <c r="A892" s="8">
        <v>2</v>
      </c>
      <c r="B892" s="30" t="s">
        <v>118</v>
      </c>
      <c r="C892" s="27" t="s">
        <v>125</v>
      </c>
      <c r="D892" s="28">
        <v>250000</v>
      </c>
      <c r="E892" s="29" t="s">
        <v>81</v>
      </c>
      <c r="F892" s="9"/>
      <c r="G892" s="10"/>
      <c r="H892" s="11"/>
    </row>
    <row r="895" spans="1:8" x14ac:dyDescent="0.25">
      <c r="A895" s="60" t="s">
        <v>0</v>
      </c>
      <c r="B895" s="61"/>
      <c r="C895" s="61"/>
      <c r="D895" s="61"/>
      <c r="E895" s="61"/>
      <c r="F895" s="61"/>
      <c r="G895" s="61"/>
      <c r="H895" s="62"/>
    </row>
    <row r="896" spans="1:8" x14ac:dyDescent="0.25">
      <c r="A896" s="59"/>
      <c r="B896" s="59"/>
      <c r="C896" s="59"/>
      <c r="D896" s="59"/>
      <c r="E896" s="59"/>
      <c r="F896" s="63" t="s">
        <v>1</v>
      </c>
      <c r="G896" s="63"/>
    </row>
    <row r="897" spans="1:8" x14ac:dyDescent="0.25">
      <c r="A897" s="57" t="s">
        <v>2</v>
      </c>
      <c r="B897" s="58"/>
      <c r="C897" s="58"/>
      <c r="D897" s="58"/>
      <c r="E897" s="2">
        <v>-7</v>
      </c>
      <c r="F897" s="64" t="s">
        <v>55</v>
      </c>
      <c r="G897" s="64"/>
    </row>
    <row r="898" spans="1:8" x14ac:dyDescent="0.25">
      <c r="A898" s="57" t="s">
        <v>13</v>
      </c>
      <c r="B898" s="58"/>
      <c r="C898" s="58"/>
      <c r="D898" s="58"/>
      <c r="E898" s="2">
        <v>-8</v>
      </c>
      <c r="F898" s="64" t="s">
        <v>55</v>
      </c>
      <c r="G898" s="64"/>
    </row>
    <row r="899" spans="1:8" x14ac:dyDescent="0.25">
      <c r="A899" s="58" t="s">
        <v>3</v>
      </c>
      <c r="B899" s="58"/>
      <c r="C899" s="58"/>
      <c r="D899" s="58"/>
      <c r="E899" s="2">
        <v>-9</v>
      </c>
      <c r="F899" s="59" t="s">
        <v>22</v>
      </c>
      <c r="G899" s="59"/>
    </row>
    <row r="900" spans="1:8" x14ac:dyDescent="0.25">
      <c r="A900" s="58" t="s">
        <v>4</v>
      </c>
      <c r="B900" s="58"/>
      <c r="C900" s="58"/>
      <c r="D900" s="58"/>
      <c r="E900" s="2">
        <v>-10</v>
      </c>
      <c r="F900" s="59" t="s">
        <v>56</v>
      </c>
      <c r="G900" s="59"/>
    </row>
    <row r="901" spans="1:8" x14ac:dyDescent="0.25">
      <c r="A901" s="58" t="s">
        <v>5</v>
      </c>
      <c r="B901" s="58"/>
      <c r="C901" s="58"/>
      <c r="D901" s="58"/>
      <c r="E901" s="2">
        <v>-11</v>
      </c>
      <c r="F901" s="59" t="s">
        <v>21</v>
      </c>
      <c r="G901" s="59"/>
    </row>
    <row r="902" spans="1:8" ht="24" x14ac:dyDescent="0.25">
      <c r="A902" s="3" t="s">
        <v>6</v>
      </c>
      <c r="B902" s="4" t="s">
        <v>7</v>
      </c>
      <c r="C902" s="4" t="s">
        <v>8</v>
      </c>
      <c r="D902" s="17" t="s">
        <v>9</v>
      </c>
      <c r="E902" s="5" t="s">
        <v>10</v>
      </c>
      <c r="F902" s="6" t="s">
        <v>11</v>
      </c>
      <c r="G902" s="7" t="s">
        <v>12</v>
      </c>
    </row>
    <row r="903" spans="1:8" x14ac:dyDescent="0.25">
      <c r="A903" s="8">
        <v>9</v>
      </c>
      <c r="B903" s="8">
        <v>-8</v>
      </c>
      <c r="C903" s="8">
        <v>-9</v>
      </c>
      <c r="D903" s="9">
        <v>-10</v>
      </c>
      <c r="E903" s="9">
        <v>-11</v>
      </c>
      <c r="F903" s="9">
        <v>-12</v>
      </c>
      <c r="G903" s="10">
        <v>-13</v>
      </c>
      <c r="H903" s="11"/>
    </row>
    <row r="904" spans="1:8" x14ac:dyDescent="0.25">
      <c r="A904" s="8">
        <v>1</v>
      </c>
      <c r="B904" s="30" t="s">
        <v>128</v>
      </c>
      <c r="C904" s="27" t="s">
        <v>126</v>
      </c>
      <c r="D904" s="28">
        <v>35000000</v>
      </c>
      <c r="E904" s="29" t="s">
        <v>127</v>
      </c>
      <c r="F904" s="9"/>
      <c r="G904" s="10"/>
      <c r="H904" s="11"/>
    </row>
    <row r="907" spans="1:8" x14ac:dyDescent="0.25">
      <c r="A907" s="60" t="s">
        <v>0</v>
      </c>
      <c r="B907" s="61"/>
      <c r="C907" s="61"/>
      <c r="D907" s="61"/>
      <c r="E907" s="61"/>
      <c r="F907" s="61"/>
      <c r="G907" s="61"/>
      <c r="H907" s="62"/>
    </row>
    <row r="908" spans="1:8" x14ac:dyDescent="0.25">
      <c r="A908" s="59"/>
      <c r="B908" s="59"/>
      <c r="C908" s="59"/>
      <c r="D908" s="59"/>
      <c r="E908" s="59"/>
      <c r="F908" s="63" t="s">
        <v>1</v>
      </c>
      <c r="G908" s="63"/>
    </row>
    <row r="909" spans="1:8" x14ac:dyDescent="0.25">
      <c r="A909" s="57" t="s">
        <v>2</v>
      </c>
      <c r="B909" s="58"/>
      <c r="C909" s="58"/>
      <c r="D909" s="58"/>
      <c r="E909" s="2">
        <v>-7</v>
      </c>
      <c r="F909" t="s">
        <v>61</v>
      </c>
      <c r="G909"/>
      <c r="H909"/>
    </row>
    <row r="910" spans="1:8" x14ac:dyDescent="0.25">
      <c r="A910" s="57" t="s">
        <v>13</v>
      </c>
      <c r="B910" s="58"/>
      <c r="C910" s="58"/>
      <c r="D910" s="58"/>
      <c r="E910" s="2">
        <v>-8</v>
      </c>
      <c r="F910" t="s">
        <v>61</v>
      </c>
      <c r="G910"/>
    </row>
    <row r="911" spans="1:8" x14ac:dyDescent="0.25">
      <c r="A911" s="58" t="s">
        <v>3</v>
      </c>
      <c r="B911" s="58"/>
      <c r="C911" s="58"/>
      <c r="D911" s="58"/>
      <c r="E911" s="2">
        <v>-9</v>
      </c>
      <c r="F911" s="59" t="s">
        <v>17</v>
      </c>
      <c r="G911" s="59"/>
    </row>
    <row r="912" spans="1:8" x14ac:dyDescent="0.25">
      <c r="A912" s="58" t="s">
        <v>4</v>
      </c>
      <c r="B912" s="58"/>
      <c r="C912" s="58"/>
      <c r="D912" s="58"/>
      <c r="E912" s="2">
        <v>-10</v>
      </c>
      <c r="F912" s="59" t="s">
        <v>49</v>
      </c>
      <c r="G912" s="59"/>
    </row>
    <row r="913" spans="1:10" x14ac:dyDescent="0.25">
      <c r="A913" s="58" t="s">
        <v>5</v>
      </c>
      <c r="B913" s="58"/>
      <c r="C913" s="58"/>
      <c r="D913" s="58"/>
      <c r="E913" s="2">
        <v>-11</v>
      </c>
      <c r="F913" s="59" t="s">
        <v>21</v>
      </c>
      <c r="G913" s="59"/>
    </row>
    <row r="914" spans="1:10" ht="24" x14ac:dyDescent="0.25">
      <c r="A914" s="3" t="s">
        <v>6</v>
      </c>
      <c r="B914" s="4" t="s">
        <v>7</v>
      </c>
      <c r="C914" s="4" t="s">
        <v>8</v>
      </c>
      <c r="D914" s="17" t="s">
        <v>9</v>
      </c>
      <c r="E914" s="5" t="s">
        <v>10</v>
      </c>
      <c r="F914" s="6" t="s">
        <v>11</v>
      </c>
      <c r="G914" s="7" t="s">
        <v>12</v>
      </c>
    </row>
    <row r="915" spans="1:10" x14ac:dyDescent="0.25">
      <c r="A915" s="8">
        <v>9</v>
      </c>
      <c r="B915" s="8">
        <v>-8</v>
      </c>
      <c r="C915" s="8">
        <v>-9</v>
      </c>
      <c r="D915" s="9">
        <v>-10</v>
      </c>
      <c r="E915" s="9">
        <v>-11</v>
      </c>
      <c r="F915" s="9">
        <v>-12</v>
      </c>
      <c r="G915" s="10">
        <v>-13</v>
      </c>
      <c r="H915" s="11"/>
      <c r="J915" s="45">
        <f>SUM(D916:D939)+D904+SUM(D889:D892)+D863+SUM(D874:D878)+D852+D841+D830+D819+D808+D797+D786+D775+D764+SUM(D752:D753)+SUM(D739:D741)+D728+SUM(D715:D717)+D693+D704+D681+SUM(D663:D669)+SUM(D651:D652)+SUM(D638:D640)</f>
        <v>72537500</v>
      </c>
    </row>
    <row r="916" spans="1:10" x14ac:dyDescent="0.25">
      <c r="A916" s="8">
        <v>1</v>
      </c>
      <c r="B916" s="30" t="s">
        <v>128</v>
      </c>
      <c r="C916" s="27" t="s">
        <v>129</v>
      </c>
      <c r="D916" s="28">
        <v>1500000</v>
      </c>
      <c r="E916" s="29" t="s">
        <v>153</v>
      </c>
      <c r="F916" s="9"/>
      <c r="G916" s="10"/>
      <c r="H916" s="11"/>
    </row>
    <row r="917" spans="1:10" x14ac:dyDescent="0.25">
      <c r="A917" s="8">
        <f>1+A916</f>
        <v>2</v>
      </c>
      <c r="B917" s="30" t="s">
        <v>128</v>
      </c>
      <c r="C917" s="27" t="s">
        <v>130</v>
      </c>
      <c r="D917" s="28">
        <v>750000</v>
      </c>
      <c r="E917" s="29" t="s">
        <v>153</v>
      </c>
      <c r="F917" s="9"/>
      <c r="G917" s="10"/>
      <c r="H917" s="11"/>
    </row>
    <row r="918" spans="1:10" x14ac:dyDescent="0.25">
      <c r="A918" s="8">
        <f t="shared" ref="A918:A939" si="5">1+A917</f>
        <v>3</v>
      </c>
      <c r="B918" s="30" t="s">
        <v>128</v>
      </c>
      <c r="C918" s="27" t="s">
        <v>131</v>
      </c>
      <c r="D918" s="28">
        <v>550000</v>
      </c>
      <c r="E918" s="29" t="s">
        <v>153</v>
      </c>
      <c r="F918" s="9"/>
      <c r="G918" s="10"/>
      <c r="H918" s="11"/>
    </row>
    <row r="919" spans="1:10" x14ac:dyDescent="0.25">
      <c r="A919" s="8">
        <f t="shared" si="5"/>
        <v>4</v>
      </c>
      <c r="B919" s="30" t="s">
        <v>128</v>
      </c>
      <c r="C919" s="27" t="s">
        <v>132</v>
      </c>
      <c r="D919" s="28">
        <v>800000</v>
      </c>
      <c r="E919" s="29" t="s">
        <v>153</v>
      </c>
      <c r="F919" s="9"/>
      <c r="G919" s="10"/>
      <c r="H919" s="11"/>
    </row>
    <row r="920" spans="1:10" x14ac:dyDescent="0.25">
      <c r="A920" s="8">
        <f t="shared" si="5"/>
        <v>5</v>
      </c>
      <c r="B920" s="30" t="s">
        <v>128</v>
      </c>
      <c r="C920" s="27" t="s">
        <v>133</v>
      </c>
      <c r="D920" s="28">
        <v>1000000</v>
      </c>
      <c r="E920" s="29" t="s">
        <v>153</v>
      </c>
      <c r="F920" s="9"/>
      <c r="G920" s="10"/>
      <c r="H920" s="11"/>
    </row>
    <row r="921" spans="1:10" x14ac:dyDescent="0.25">
      <c r="A921" s="8">
        <f t="shared" si="5"/>
        <v>6</v>
      </c>
      <c r="B921" s="30" t="s">
        <v>128</v>
      </c>
      <c r="C921" s="27" t="s">
        <v>134</v>
      </c>
      <c r="D921" s="28">
        <v>400000</v>
      </c>
      <c r="E921" s="29" t="s">
        <v>153</v>
      </c>
      <c r="F921" s="9"/>
      <c r="G921" s="10"/>
      <c r="H921" s="11"/>
    </row>
    <row r="922" spans="1:10" x14ac:dyDescent="0.25">
      <c r="A922" s="8">
        <f t="shared" si="5"/>
        <v>7</v>
      </c>
      <c r="B922" s="30" t="s">
        <v>128</v>
      </c>
      <c r="C922" s="27" t="s">
        <v>135</v>
      </c>
      <c r="D922" s="28">
        <v>250000</v>
      </c>
      <c r="E922" s="29" t="s">
        <v>153</v>
      </c>
      <c r="F922" s="9"/>
      <c r="G922" s="10"/>
      <c r="H922" s="11"/>
    </row>
    <row r="923" spans="1:10" x14ac:dyDescent="0.25">
      <c r="A923" s="8">
        <f t="shared" si="5"/>
        <v>8</v>
      </c>
      <c r="B923" s="30" t="s">
        <v>128</v>
      </c>
      <c r="C923" s="27" t="s">
        <v>136</v>
      </c>
      <c r="D923" s="28">
        <v>250000</v>
      </c>
      <c r="E923" s="29" t="s">
        <v>153</v>
      </c>
      <c r="F923" s="9"/>
      <c r="G923" s="10"/>
      <c r="H923" s="11"/>
    </row>
    <row r="924" spans="1:10" x14ac:dyDescent="0.25">
      <c r="A924" s="8">
        <f t="shared" si="5"/>
        <v>9</v>
      </c>
      <c r="B924" s="30" t="s">
        <v>128</v>
      </c>
      <c r="C924" s="27" t="s">
        <v>137</v>
      </c>
      <c r="D924" s="28">
        <v>300000</v>
      </c>
      <c r="E924" s="29" t="s">
        <v>153</v>
      </c>
      <c r="F924" s="9"/>
      <c r="G924" s="10"/>
      <c r="H924" s="11"/>
    </row>
    <row r="925" spans="1:10" x14ac:dyDescent="0.25">
      <c r="A925" s="8">
        <f t="shared" si="5"/>
        <v>10</v>
      </c>
      <c r="B925" s="30" t="s">
        <v>128</v>
      </c>
      <c r="C925" s="38" t="s">
        <v>138</v>
      </c>
      <c r="D925" s="39">
        <v>6112000</v>
      </c>
      <c r="E925" s="29" t="s">
        <v>153</v>
      </c>
      <c r="F925" s="40"/>
      <c r="G925" s="41"/>
      <c r="H925" s="11"/>
    </row>
    <row r="926" spans="1:10" x14ac:dyDescent="0.25">
      <c r="A926" s="8">
        <f t="shared" si="5"/>
        <v>11</v>
      </c>
      <c r="B926" s="37" t="s">
        <v>128</v>
      </c>
      <c r="C926" s="42" t="s">
        <v>139</v>
      </c>
      <c r="D926" s="39">
        <v>1819300</v>
      </c>
      <c r="E926" s="29" t="s">
        <v>153</v>
      </c>
      <c r="F926" s="42"/>
      <c r="G926" s="42"/>
    </row>
    <row r="927" spans="1:10" x14ac:dyDescent="0.25">
      <c r="A927" s="8">
        <f t="shared" si="5"/>
        <v>12</v>
      </c>
      <c r="B927" s="37" t="s">
        <v>128</v>
      </c>
      <c r="C927" s="42" t="s">
        <v>140</v>
      </c>
      <c r="D927" s="39">
        <v>160400</v>
      </c>
      <c r="E927" s="29" t="s">
        <v>153</v>
      </c>
      <c r="F927" s="42"/>
      <c r="G927" s="42"/>
    </row>
    <row r="928" spans="1:10" x14ac:dyDescent="0.25">
      <c r="A928" s="8">
        <f t="shared" si="5"/>
        <v>13</v>
      </c>
      <c r="B928" s="37" t="s">
        <v>128</v>
      </c>
      <c r="C928" s="42" t="s">
        <v>141</v>
      </c>
      <c r="D928" s="39">
        <v>108300</v>
      </c>
      <c r="E928" s="29" t="s">
        <v>153</v>
      </c>
      <c r="F928" s="42"/>
      <c r="G928" s="42"/>
    </row>
    <row r="929" spans="1:10" x14ac:dyDescent="0.25">
      <c r="A929" s="8">
        <f t="shared" si="5"/>
        <v>14</v>
      </c>
      <c r="B929" s="37" t="s">
        <v>128</v>
      </c>
      <c r="C929" s="42" t="s">
        <v>142</v>
      </c>
      <c r="D929" s="39">
        <v>250000</v>
      </c>
      <c r="E929" s="29" t="s">
        <v>153</v>
      </c>
      <c r="F929" s="42"/>
      <c r="G929" s="42"/>
    </row>
    <row r="930" spans="1:10" x14ac:dyDescent="0.25">
      <c r="A930" s="8">
        <f t="shared" si="5"/>
        <v>15</v>
      </c>
      <c r="B930" s="37" t="s">
        <v>128</v>
      </c>
      <c r="C930" s="42" t="s">
        <v>143</v>
      </c>
      <c r="D930" s="39">
        <v>1250000</v>
      </c>
      <c r="E930" s="29" t="s">
        <v>153</v>
      </c>
      <c r="F930" s="42"/>
      <c r="G930" s="42"/>
    </row>
    <row r="931" spans="1:10" ht="12.75" customHeight="1" x14ac:dyDescent="0.25">
      <c r="A931" s="8">
        <f t="shared" si="5"/>
        <v>16</v>
      </c>
      <c r="B931" s="37" t="s">
        <v>128</v>
      </c>
      <c r="C931" s="42" t="s">
        <v>144</v>
      </c>
      <c r="D931" s="39">
        <v>740000</v>
      </c>
      <c r="E931" s="29" t="s">
        <v>153</v>
      </c>
      <c r="F931" s="42"/>
      <c r="G931" s="42"/>
    </row>
    <row r="932" spans="1:10" ht="12.75" customHeight="1" x14ac:dyDescent="0.25">
      <c r="A932" s="8">
        <f t="shared" si="5"/>
        <v>17</v>
      </c>
      <c r="B932" s="37" t="s">
        <v>128</v>
      </c>
      <c r="C932" s="42" t="s">
        <v>145</v>
      </c>
      <c r="D932" s="39">
        <v>710000</v>
      </c>
      <c r="E932" s="29" t="s">
        <v>153</v>
      </c>
      <c r="F932" s="42"/>
      <c r="G932" s="42"/>
    </row>
    <row r="933" spans="1:10" ht="12.75" customHeight="1" x14ac:dyDescent="0.25">
      <c r="A933" s="8">
        <f t="shared" si="5"/>
        <v>18</v>
      </c>
      <c r="B933" s="37" t="s">
        <v>128</v>
      </c>
      <c r="C933" s="42" t="s">
        <v>146</v>
      </c>
      <c r="D933" s="39">
        <v>300000</v>
      </c>
      <c r="E933" s="29" t="s">
        <v>153</v>
      </c>
      <c r="F933" s="42"/>
      <c r="G933" s="42"/>
    </row>
    <row r="934" spans="1:10" x14ac:dyDescent="0.25">
      <c r="A934" s="8">
        <f t="shared" si="5"/>
        <v>19</v>
      </c>
      <c r="B934" s="37" t="s">
        <v>128</v>
      </c>
      <c r="C934" s="42" t="s">
        <v>147</v>
      </c>
      <c r="D934" s="39">
        <v>1350000</v>
      </c>
      <c r="E934" s="29" t="s">
        <v>153</v>
      </c>
      <c r="F934" s="42"/>
      <c r="G934" s="42"/>
    </row>
    <row r="935" spans="1:10" x14ac:dyDescent="0.25">
      <c r="A935" s="8">
        <f t="shared" si="5"/>
        <v>20</v>
      </c>
      <c r="B935" s="37" t="s">
        <v>128</v>
      </c>
      <c r="C935" s="42" t="s">
        <v>148</v>
      </c>
      <c r="D935" s="39">
        <v>550000</v>
      </c>
      <c r="E935" s="29" t="s">
        <v>153</v>
      </c>
      <c r="F935" s="42"/>
      <c r="G935" s="42"/>
    </row>
    <row r="936" spans="1:10" x14ac:dyDescent="0.25">
      <c r="A936" s="8">
        <f t="shared" si="5"/>
        <v>21</v>
      </c>
      <c r="B936" s="37" t="s">
        <v>128</v>
      </c>
      <c r="C936" s="42" t="s">
        <v>149</v>
      </c>
      <c r="D936" s="39">
        <v>1700000</v>
      </c>
      <c r="E936" s="29" t="s">
        <v>153</v>
      </c>
      <c r="F936" s="42"/>
      <c r="G936" s="42"/>
    </row>
    <row r="937" spans="1:10" x14ac:dyDescent="0.25">
      <c r="A937" s="8">
        <f t="shared" si="5"/>
        <v>22</v>
      </c>
      <c r="B937" s="37" t="s">
        <v>128</v>
      </c>
      <c r="C937" s="42" t="s">
        <v>150</v>
      </c>
      <c r="D937" s="39">
        <v>400000</v>
      </c>
      <c r="E937" s="29" t="s">
        <v>153</v>
      </c>
      <c r="F937" s="42"/>
      <c r="G937" s="42"/>
    </row>
    <row r="938" spans="1:10" x14ac:dyDescent="0.25">
      <c r="A938" s="8">
        <f t="shared" si="5"/>
        <v>23</v>
      </c>
      <c r="B938" s="37" t="s">
        <v>128</v>
      </c>
      <c r="C938" s="42" t="s">
        <v>151</v>
      </c>
      <c r="D938" s="39">
        <v>2750000</v>
      </c>
      <c r="E938" s="29" t="s">
        <v>153</v>
      </c>
      <c r="F938" s="42"/>
      <c r="G938" s="42"/>
    </row>
    <row r="939" spans="1:10" x14ac:dyDescent="0.25">
      <c r="A939" s="8">
        <f t="shared" si="5"/>
        <v>24</v>
      </c>
      <c r="B939" s="37" t="s">
        <v>128</v>
      </c>
      <c r="C939" s="42" t="s">
        <v>152</v>
      </c>
      <c r="D939" s="43">
        <v>6000000</v>
      </c>
      <c r="E939" s="34" t="s">
        <v>153</v>
      </c>
      <c r="F939" s="42"/>
      <c r="G939" s="42"/>
    </row>
    <row r="941" spans="1:10" x14ac:dyDescent="0.25">
      <c r="D941" s="44">
        <f>SUM(D1:D940)</f>
        <v>96336190</v>
      </c>
      <c r="E941" s="45"/>
      <c r="J941" s="56">
        <f>SUM(J1:J940)</f>
        <v>96336900</v>
      </c>
    </row>
    <row r="942" spans="1:10" x14ac:dyDescent="0.25">
      <c r="D942" s="45">
        <f>D941-96336900</f>
        <v>-710</v>
      </c>
    </row>
    <row r="944" spans="1:10" ht="12.75" customHeight="1" x14ac:dyDescent="0.25"/>
    <row r="945" ht="12.75" customHeight="1" x14ac:dyDescent="0.25"/>
    <row r="946" ht="12.75" customHeight="1" x14ac:dyDescent="0.25"/>
    <row r="950" ht="12.75" customHeight="1" x14ac:dyDescent="0.25"/>
    <row r="951" ht="22.5" customHeight="1" x14ac:dyDescent="0.25"/>
    <row r="958" ht="12.75" customHeight="1" x14ac:dyDescent="0.25"/>
    <row r="959" ht="12.75" customHeight="1" x14ac:dyDescent="0.25"/>
    <row r="960" ht="12.75" customHeight="1" x14ac:dyDescent="0.25"/>
  </sheetData>
  <mergeCells count="918">
    <mergeCell ref="A6:D6"/>
    <mergeCell ref="F6:G6"/>
    <mergeCell ref="A7:D7"/>
    <mergeCell ref="F7:G7"/>
    <mergeCell ref="A8:D8"/>
    <mergeCell ref="F8:G8"/>
    <mergeCell ref="A9:D9"/>
    <mergeCell ref="F9:G9"/>
    <mergeCell ref="A599:H599"/>
    <mergeCell ref="A487:D487"/>
    <mergeCell ref="F487:G487"/>
    <mergeCell ref="A488:D488"/>
    <mergeCell ref="F488:G488"/>
    <mergeCell ref="A482:H482"/>
    <mergeCell ref="A483:E483"/>
    <mergeCell ref="F483:G483"/>
    <mergeCell ref="A484:D484"/>
    <mergeCell ref="F484:G484"/>
    <mergeCell ref="A485:D485"/>
    <mergeCell ref="F485:G485"/>
    <mergeCell ref="A486:D486"/>
    <mergeCell ref="F486:G486"/>
    <mergeCell ref="A590:D590"/>
    <mergeCell ref="F590:G590"/>
    <mergeCell ref="A600:E600"/>
    <mergeCell ref="F600:G600"/>
    <mergeCell ref="A601:D601"/>
    <mergeCell ref="F601:G601"/>
    <mergeCell ref="A602:D602"/>
    <mergeCell ref="F602:G602"/>
    <mergeCell ref="A603:D603"/>
    <mergeCell ref="F603:G603"/>
    <mergeCell ref="A604:D604"/>
    <mergeCell ref="F604:G604"/>
    <mergeCell ref="A605:D605"/>
    <mergeCell ref="F605:G605"/>
    <mergeCell ref="A883:D883"/>
    <mergeCell ref="F883:G883"/>
    <mergeCell ref="A884:D884"/>
    <mergeCell ref="F884:G884"/>
    <mergeCell ref="A885:D885"/>
    <mergeCell ref="F885:G885"/>
    <mergeCell ref="A865:H865"/>
    <mergeCell ref="A866:E866"/>
    <mergeCell ref="F866:G866"/>
    <mergeCell ref="A867:D867"/>
    <mergeCell ref="F867:G867"/>
    <mergeCell ref="A868:D868"/>
    <mergeCell ref="F868:G868"/>
    <mergeCell ref="A869:D869"/>
    <mergeCell ref="F869:G869"/>
    <mergeCell ref="A856:D856"/>
    <mergeCell ref="F856:G856"/>
    <mergeCell ref="A857:D857"/>
    <mergeCell ref="F857:G857"/>
    <mergeCell ref="A858:D858"/>
    <mergeCell ref="F858:G858"/>
    <mergeCell ref="A859:D859"/>
    <mergeCell ref="A886:D886"/>
    <mergeCell ref="F886:G886"/>
    <mergeCell ref="A870:D870"/>
    <mergeCell ref="F870:G870"/>
    <mergeCell ref="A871:D871"/>
    <mergeCell ref="F871:G871"/>
    <mergeCell ref="A880:H880"/>
    <mergeCell ref="A881:E881"/>
    <mergeCell ref="F881:G881"/>
    <mergeCell ref="A882:D882"/>
    <mergeCell ref="F882:G882"/>
    <mergeCell ref="F859:G859"/>
    <mergeCell ref="A860:D860"/>
    <mergeCell ref="F860:G860"/>
    <mergeCell ref="A847:D847"/>
    <mergeCell ref="F847:G847"/>
    <mergeCell ref="A848:D848"/>
    <mergeCell ref="F848:G848"/>
    <mergeCell ref="A849:D849"/>
    <mergeCell ref="F849:G849"/>
    <mergeCell ref="A854:H854"/>
    <mergeCell ref="A855:E855"/>
    <mergeCell ref="F855:G855"/>
    <mergeCell ref="A838:D838"/>
    <mergeCell ref="F838:G838"/>
    <mergeCell ref="A843:H843"/>
    <mergeCell ref="A844:E844"/>
    <mergeCell ref="F844:G844"/>
    <mergeCell ref="A845:D845"/>
    <mergeCell ref="F845:G845"/>
    <mergeCell ref="A846:D846"/>
    <mergeCell ref="F846:G846"/>
    <mergeCell ref="A833:E833"/>
    <mergeCell ref="F833:G833"/>
    <mergeCell ref="A834:D834"/>
    <mergeCell ref="F834:G834"/>
    <mergeCell ref="A835:D835"/>
    <mergeCell ref="F835:G835"/>
    <mergeCell ref="A836:D836"/>
    <mergeCell ref="F836:G836"/>
    <mergeCell ref="A837:D837"/>
    <mergeCell ref="F837:G837"/>
    <mergeCell ref="A824:D824"/>
    <mergeCell ref="F824:G824"/>
    <mergeCell ref="A825:D825"/>
    <mergeCell ref="F825:G825"/>
    <mergeCell ref="A826:D826"/>
    <mergeCell ref="F826:G826"/>
    <mergeCell ref="A827:D827"/>
    <mergeCell ref="F827:G827"/>
    <mergeCell ref="A832:H832"/>
    <mergeCell ref="A815:D815"/>
    <mergeCell ref="F815:G815"/>
    <mergeCell ref="A816:D816"/>
    <mergeCell ref="F816:G816"/>
    <mergeCell ref="A821:H821"/>
    <mergeCell ref="A822:E822"/>
    <mergeCell ref="F822:G822"/>
    <mergeCell ref="A823:D823"/>
    <mergeCell ref="F823:G823"/>
    <mergeCell ref="A810:H810"/>
    <mergeCell ref="A811:E811"/>
    <mergeCell ref="F811:G811"/>
    <mergeCell ref="A812:D812"/>
    <mergeCell ref="F812:G812"/>
    <mergeCell ref="A813:D813"/>
    <mergeCell ref="F813:G813"/>
    <mergeCell ref="A814:D814"/>
    <mergeCell ref="F814:G814"/>
    <mergeCell ref="A801:D801"/>
    <mergeCell ref="F801:G801"/>
    <mergeCell ref="A802:D802"/>
    <mergeCell ref="F802:G802"/>
    <mergeCell ref="A803:D803"/>
    <mergeCell ref="F803:G803"/>
    <mergeCell ref="A804:D804"/>
    <mergeCell ref="F804:G804"/>
    <mergeCell ref="A805:D805"/>
    <mergeCell ref="F805:G805"/>
    <mergeCell ref="A792:D792"/>
    <mergeCell ref="F792:G792"/>
    <mergeCell ref="A793:D793"/>
    <mergeCell ref="F793:G793"/>
    <mergeCell ref="A794:D794"/>
    <mergeCell ref="F794:G794"/>
    <mergeCell ref="A799:H799"/>
    <mergeCell ref="A800:E800"/>
    <mergeCell ref="F800:G800"/>
    <mergeCell ref="A783:D783"/>
    <mergeCell ref="F783:G783"/>
    <mergeCell ref="A788:H788"/>
    <mergeCell ref="A789:E789"/>
    <mergeCell ref="F789:G789"/>
    <mergeCell ref="A790:D790"/>
    <mergeCell ref="F790:G790"/>
    <mergeCell ref="A791:D791"/>
    <mergeCell ref="F791:G791"/>
    <mergeCell ref="A778:E778"/>
    <mergeCell ref="F778:G778"/>
    <mergeCell ref="A779:D779"/>
    <mergeCell ref="F779:G779"/>
    <mergeCell ref="A780:D780"/>
    <mergeCell ref="F780:G780"/>
    <mergeCell ref="A781:D781"/>
    <mergeCell ref="F781:G781"/>
    <mergeCell ref="A782:D782"/>
    <mergeCell ref="F782:G782"/>
    <mergeCell ref="A769:D769"/>
    <mergeCell ref="F769:G769"/>
    <mergeCell ref="A770:D770"/>
    <mergeCell ref="F770:G770"/>
    <mergeCell ref="A771:D771"/>
    <mergeCell ref="F771:G771"/>
    <mergeCell ref="A772:D772"/>
    <mergeCell ref="F772:G772"/>
    <mergeCell ref="A777:H777"/>
    <mergeCell ref="A760:D760"/>
    <mergeCell ref="F760:G760"/>
    <mergeCell ref="A761:D761"/>
    <mergeCell ref="F761:G761"/>
    <mergeCell ref="A766:H766"/>
    <mergeCell ref="A767:E767"/>
    <mergeCell ref="F767:G767"/>
    <mergeCell ref="A768:D768"/>
    <mergeCell ref="F768:G768"/>
    <mergeCell ref="A755:H755"/>
    <mergeCell ref="A756:E756"/>
    <mergeCell ref="F756:G756"/>
    <mergeCell ref="A757:D757"/>
    <mergeCell ref="F757:G757"/>
    <mergeCell ref="A758:D758"/>
    <mergeCell ref="F758:G758"/>
    <mergeCell ref="A759:D759"/>
    <mergeCell ref="F759:G759"/>
    <mergeCell ref="A591:D591"/>
    <mergeCell ref="F591:G591"/>
    <mergeCell ref="A592:D592"/>
    <mergeCell ref="F592:G592"/>
    <mergeCell ref="A593:D593"/>
    <mergeCell ref="F593:G593"/>
    <mergeCell ref="A577:D577"/>
    <mergeCell ref="F577:G577"/>
    <mergeCell ref="A578:D578"/>
    <mergeCell ref="F578:G578"/>
    <mergeCell ref="A587:H587"/>
    <mergeCell ref="A588:E588"/>
    <mergeCell ref="F588:G588"/>
    <mergeCell ref="A589:D589"/>
    <mergeCell ref="F589:G589"/>
    <mergeCell ref="A572:H572"/>
    <mergeCell ref="A573:E573"/>
    <mergeCell ref="F573:G573"/>
    <mergeCell ref="A574:D574"/>
    <mergeCell ref="A575:D575"/>
    <mergeCell ref="A576:D576"/>
    <mergeCell ref="F576:G576"/>
    <mergeCell ref="A561:D561"/>
    <mergeCell ref="F561:G561"/>
    <mergeCell ref="A562:D562"/>
    <mergeCell ref="F562:G562"/>
    <mergeCell ref="A563:D563"/>
    <mergeCell ref="F563:G563"/>
    <mergeCell ref="A564:D564"/>
    <mergeCell ref="F564:G564"/>
    <mergeCell ref="A565:D565"/>
    <mergeCell ref="F565:G565"/>
    <mergeCell ref="A543:D543"/>
    <mergeCell ref="F543:G543"/>
    <mergeCell ref="A544:D544"/>
    <mergeCell ref="F544:G544"/>
    <mergeCell ref="A545:D545"/>
    <mergeCell ref="F545:G545"/>
    <mergeCell ref="A559:H559"/>
    <mergeCell ref="A560:E560"/>
    <mergeCell ref="F560:G560"/>
    <mergeCell ref="A539:H539"/>
    <mergeCell ref="A540:E540"/>
    <mergeCell ref="F540:G540"/>
    <mergeCell ref="A541:D541"/>
    <mergeCell ref="A542:D542"/>
    <mergeCell ref="A523:E523"/>
    <mergeCell ref="F523:G523"/>
    <mergeCell ref="A524:D524"/>
    <mergeCell ref="A525:D525"/>
    <mergeCell ref="A526:D526"/>
    <mergeCell ref="F526:G526"/>
    <mergeCell ref="A527:D527"/>
    <mergeCell ref="F527:G527"/>
    <mergeCell ref="F524:H524"/>
    <mergeCell ref="F525:H525"/>
    <mergeCell ref="A509:D509"/>
    <mergeCell ref="F509:G509"/>
    <mergeCell ref="A510:D510"/>
    <mergeCell ref="F510:G510"/>
    <mergeCell ref="A511:D511"/>
    <mergeCell ref="F511:G511"/>
    <mergeCell ref="A522:H522"/>
    <mergeCell ref="A528:D528"/>
    <mergeCell ref="F528:G528"/>
    <mergeCell ref="A500:D500"/>
    <mergeCell ref="F500:G500"/>
    <mergeCell ref="A505:H505"/>
    <mergeCell ref="A506:E506"/>
    <mergeCell ref="F506:G506"/>
    <mergeCell ref="A507:D507"/>
    <mergeCell ref="F507:G507"/>
    <mergeCell ref="A508:D508"/>
    <mergeCell ref="F508:G508"/>
    <mergeCell ref="F495:G495"/>
    <mergeCell ref="A496:D496"/>
    <mergeCell ref="F496:G496"/>
    <mergeCell ref="A497:D497"/>
    <mergeCell ref="F497:G497"/>
    <mergeCell ref="A498:D498"/>
    <mergeCell ref="F498:G498"/>
    <mergeCell ref="A499:D499"/>
    <mergeCell ref="F499:G499"/>
    <mergeCell ref="A285:D285"/>
    <mergeCell ref="F285:G285"/>
    <mergeCell ref="A282:D282"/>
    <mergeCell ref="F282:G282"/>
    <mergeCell ref="A283:D283"/>
    <mergeCell ref="F283:G283"/>
    <mergeCell ref="A284:D284"/>
    <mergeCell ref="F284:G284"/>
    <mergeCell ref="A279:H279"/>
    <mergeCell ref="A280:E280"/>
    <mergeCell ref="F280:G280"/>
    <mergeCell ref="A281:D281"/>
    <mergeCell ref="F281:G281"/>
    <mergeCell ref="A272:D272"/>
    <mergeCell ref="F272:G272"/>
    <mergeCell ref="A273:D273"/>
    <mergeCell ref="F273:G273"/>
    <mergeCell ref="A274:D274"/>
    <mergeCell ref="F274:G274"/>
    <mergeCell ref="A269:E269"/>
    <mergeCell ref="F269:G269"/>
    <mergeCell ref="A270:D270"/>
    <mergeCell ref="F270:G270"/>
    <mergeCell ref="A271:D271"/>
    <mergeCell ref="F271:G271"/>
    <mergeCell ref="A262:D262"/>
    <mergeCell ref="F262:G262"/>
    <mergeCell ref="A263:D263"/>
    <mergeCell ref="F263:G263"/>
    <mergeCell ref="A268:H268"/>
    <mergeCell ref="A259:D259"/>
    <mergeCell ref="F259:G259"/>
    <mergeCell ref="A260:D260"/>
    <mergeCell ref="F260:G260"/>
    <mergeCell ref="A261:D261"/>
    <mergeCell ref="F261:G261"/>
    <mergeCell ref="A252:D252"/>
    <mergeCell ref="F252:G252"/>
    <mergeCell ref="A257:H257"/>
    <mergeCell ref="A258:E258"/>
    <mergeCell ref="F258:G258"/>
    <mergeCell ref="A249:D249"/>
    <mergeCell ref="F249:G249"/>
    <mergeCell ref="A250:D250"/>
    <mergeCell ref="F250:G250"/>
    <mergeCell ref="A251:D251"/>
    <mergeCell ref="F251:G251"/>
    <mergeCell ref="A246:H246"/>
    <mergeCell ref="A247:E247"/>
    <mergeCell ref="F247:G247"/>
    <mergeCell ref="A248:D248"/>
    <mergeCell ref="F248:G248"/>
    <mergeCell ref="A239:D239"/>
    <mergeCell ref="F239:G239"/>
    <mergeCell ref="A240:D240"/>
    <mergeCell ref="F240:G240"/>
    <mergeCell ref="A241:D241"/>
    <mergeCell ref="F241:G241"/>
    <mergeCell ref="A236:E236"/>
    <mergeCell ref="F236:G236"/>
    <mergeCell ref="A237:D237"/>
    <mergeCell ref="F237:G237"/>
    <mergeCell ref="A238:D238"/>
    <mergeCell ref="F238:G238"/>
    <mergeCell ref="A229:D229"/>
    <mergeCell ref="F229:G229"/>
    <mergeCell ref="A230:D230"/>
    <mergeCell ref="F230:G230"/>
    <mergeCell ref="A235:H235"/>
    <mergeCell ref="A226:D226"/>
    <mergeCell ref="F226:G226"/>
    <mergeCell ref="A227:D227"/>
    <mergeCell ref="F227:G227"/>
    <mergeCell ref="A228:D228"/>
    <mergeCell ref="F228:G228"/>
    <mergeCell ref="A219:D219"/>
    <mergeCell ref="F219:G219"/>
    <mergeCell ref="A224:H224"/>
    <mergeCell ref="A225:E225"/>
    <mergeCell ref="F225:G225"/>
    <mergeCell ref="A216:D216"/>
    <mergeCell ref="F216:G216"/>
    <mergeCell ref="A217:D217"/>
    <mergeCell ref="F217:G217"/>
    <mergeCell ref="A218:D218"/>
    <mergeCell ref="F218:G218"/>
    <mergeCell ref="A213:H213"/>
    <mergeCell ref="A214:E214"/>
    <mergeCell ref="F214:G214"/>
    <mergeCell ref="A215:D215"/>
    <mergeCell ref="F215:G215"/>
    <mergeCell ref="A206:D206"/>
    <mergeCell ref="F206:G206"/>
    <mergeCell ref="A207:D207"/>
    <mergeCell ref="F207:G207"/>
    <mergeCell ref="A208:D208"/>
    <mergeCell ref="F208:G208"/>
    <mergeCell ref="A203:E203"/>
    <mergeCell ref="F203:G203"/>
    <mergeCell ref="A204:D204"/>
    <mergeCell ref="F204:G204"/>
    <mergeCell ref="A205:D205"/>
    <mergeCell ref="F205:G205"/>
    <mergeCell ref="A196:D196"/>
    <mergeCell ref="F196:G196"/>
    <mergeCell ref="A197:D197"/>
    <mergeCell ref="F197:G197"/>
    <mergeCell ref="A202:H202"/>
    <mergeCell ref="A193:D193"/>
    <mergeCell ref="F193:G193"/>
    <mergeCell ref="A194:D194"/>
    <mergeCell ref="F194:G194"/>
    <mergeCell ref="A195:D195"/>
    <mergeCell ref="F195:G195"/>
    <mergeCell ref="A186:D186"/>
    <mergeCell ref="F186:G186"/>
    <mergeCell ref="A191:H191"/>
    <mergeCell ref="A192:E192"/>
    <mergeCell ref="F192:G192"/>
    <mergeCell ref="A183:D183"/>
    <mergeCell ref="F183:G183"/>
    <mergeCell ref="A184:D184"/>
    <mergeCell ref="F184:G184"/>
    <mergeCell ref="A185:D185"/>
    <mergeCell ref="F185:G185"/>
    <mergeCell ref="A180:H180"/>
    <mergeCell ref="A181:E181"/>
    <mergeCell ref="F181:G181"/>
    <mergeCell ref="A182:D182"/>
    <mergeCell ref="F182:G182"/>
    <mergeCell ref="A173:D173"/>
    <mergeCell ref="F173:G173"/>
    <mergeCell ref="A174:D174"/>
    <mergeCell ref="F174:G174"/>
    <mergeCell ref="A175:D175"/>
    <mergeCell ref="F175:G175"/>
    <mergeCell ref="A170:E170"/>
    <mergeCell ref="F170:G170"/>
    <mergeCell ref="A171:D171"/>
    <mergeCell ref="F171:G171"/>
    <mergeCell ref="A172:D172"/>
    <mergeCell ref="F172:G172"/>
    <mergeCell ref="A163:D163"/>
    <mergeCell ref="F163:G163"/>
    <mergeCell ref="A164:D164"/>
    <mergeCell ref="F164:G164"/>
    <mergeCell ref="A169:H169"/>
    <mergeCell ref="A160:D160"/>
    <mergeCell ref="F160:G160"/>
    <mergeCell ref="A161:D161"/>
    <mergeCell ref="F161:G161"/>
    <mergeCell ref="A162:D162"/>
    <mergeCell ref="F162:G162"/>
    <mergeCell ref="A153:D153"/>
    <mergeCell ref="F153:G153"/>
    <mergeCell ref="A158:H158"/>
    <mergeCell ref="A159:E159"/>
    <mergeCell ref="F159:G159"/>
    <mergeCell ref="A150:D150"/>
    <mergeCell ref="F150:G150"/>
    <mergeCell ref="A151:D151"/>
    <mergeCell ref="F151:G151"/>
    <mergeCell ref="A152:D152"/>
    <mergeCell ref="F152:G152"/>
    <mergeCell ref="A147:H147"/>
    <mergeCell ref="A148:E148"/>
    <mergeCell ref="F148:G148"/>
    <mergeCell ref="A149:D149"/>
    <mergeCell ref="F149:G149"/>
    <mergeCell ref="A141:D141"/>
    <mergeCell ref="F141:G141"/>
    <mergeCell ref="A136:H136"/>
    <mergeCell ref="A137:E137"/>
    <mergeCell ref="A142:D142"/>
    <mergeCell ref="F142:G142"/>
    <mergeCell ref="A138:D138"/>
    <mergeCell ref="F138:G138"/>
    <mergeCell ref="A139:D139"/>
    <mergeCell ref="F139:G139"/>
    <mergeCell ref="A140:D140"/>
    <mergeCell ref="F140:G140"/>
    <mergeCell ref="F137:G137"/>
    <mergeCell ref="A129:D129"/>
    <mergeCell ref="F129:G129"/>
    <mergeCell ref="A130:D130"/>
    <mergeCell ref="F130:G130"/>
    <mergeCell ref="A131:D131"/>
    <mergeCell ref="F131:G131"/>
    <mergeCell ref="A126:E126"/>
    <mergeCell ref="F126:G126"/>
    <mergeCell ref="A127:D127"/>
    <mergeCell ref="F127:G127"/>
    <mergeCell ref="A128:D128"/>
    <mergeCell ref="F128:G128"/>
    <mergeCell ref="A119:D119"/>
    <mergeCell ref="F119:G119"/>
    <mergeCell ref="A120:D120"/>
    <mergeCell ref="F120:G120"/>
    <mergeCell ref="A125:H125"/>
    <mergeCell ref="A116:D116"/>
    <mergeCell ref="F116:G116"/>
    <mergeCell ref="A117:D117"/>
    <mergeCell ref="F117:G117"/>
    <mergeCell ref="A118:D118"/>
    <mergeCell ref="F118:G118"/>
    <mergeCell ref="A109:D109"/>
    <mergeCell ref="F109:G109"/>
    <mergeCell ref="A114:H114"/>
    <mergeCell ref="A115:E115"/>
    <mergeCell ref="F115:G115"/>
    <mergeCell ref="A107:D107"/>
    <mergeCell ref="F107:G107"/>
    <mergeCell ref="A108:D108"/>
    <mergeCell ref="F108:G108"/>
    <mergeCell ref="A74:H74"/>
    <mergeCell ref="A75:E75"/>
    <mergeCell ref="A80:D80"/>
    <mergeCell ref="F80:G80"/>
    <mergeCell ref="A103:H103"/>
    <mergeCell ref="A104:E104"/>
    <mergeCell ref="F104:G104"/>
    <mergeCell ref="A105:D105"/>
    <mergeCell ref="F105:G105"/>
    <mergeCell ref="A106:D106"/>
    <mergeCell ref="F106:G106"/>
    <mergeCell ref="A79:D79"/>
    <mergeCell ref="F79:G79"/>
    <mergeCell ref="A77:D77"/>
    <mergeCell ref="F77:G77"/>
    <mergeCell ref="A78:D78"/>
    <mergeCell ref="F78:G78"/>
    <mergeCell ref="A63:H63"/>
    <mergeCell ref="A64:E64"/>
    <mergeCell ref="A69:D69"/>
    <mergeCell ref="F69:G69"/>
    <mergeCell ref="F75:G75"/>
    <mergeCell ref="A76:D76"/>
    <mergeCell ref="F76:G76"/>
    <mergeCell ref="A68:D68"/>
    <mergeCell ref="F68:G68"/>
    <mergeCell ref="A65:D65"/>
    <mergeCell ref="F65:G65"/>
    <mergeCell ref="A66:D66"/>
    <mergeCell ref="F66:G66"/>
    <mergeCell ref="A67:D67"/>
    <mergeCell ref="F67:G67"/>
    <mergeCell ref="F64:G64"/>
    <mergeCell ref="A58:D58"/>
    <mergeCell ref="F58:G58"/>
    <mergeCell ref="A55:D55"/>
    <mergeCell ref="F55:G55"/>
    <mergeCell ref="A56:D56"/>
    <mergeCell ref="F56:G56"/>
    <mergeCell ref="A57:D57"/>
    <mergeCell ref="F57:G57"/>
    <mergeCell ref="A52:H52"/>
    <mergeCell ref="A53:E53"/>
    <mergeCell ref="F53:G53"/>
    <mergeCell ref="A54:D54"/>
    <mergeCell ref="F54:G54"/>
    <mergeCell ref="A47:D47"/>
    <mergeCell ref="F47:G47"/>
    <mergeCell ref="A41:H41"/>
    <mergeCell ref="A42:E42"/>
    <mergeCell ref="F42:G42"/>
    <mergeCell ref="A43:D43"/>
    <mergeCell ref="A44:D44"/>
    <mergeCell ref="F44:G44"/>
    <mergeCell ref="A45:D45"/>
    <mergeCell ref="F45:G45"/>
    <mergeCell ref="A46:D46"/>
    <mergeCell ref="F46:G46"/>
    <mergeCell ref="A36:D36"/>
    <mergeCell ref="F36:G36"/>
    <mergeCell ref="F43:G43"/>
    <mergeCell ref="A33:D33"/>
    <mergeCell ref="F33:G33"/>
    <mergeCell ref="A34:D34"/>
    <mergeCell ref="F34:G34"/>
    <mergeCell ref="A35:D35"/>
    <mergeCell ref="F35:G35"/>
    <mergeCell ref="A30:H30"/>
    <mergeCell ref="A31:E31"/>
    <mergeCell ref="F31:G31"/>
    <mergeCell ref="A32:D32"/>
    <mergeCell ref="F32:G32"/>
    <mergeCell ref="A1:J1"/>
    <mergeCell ref="A19:H19"/>
    <mergeCell ref="A20:E20"/>
    <mergeCell ref="F20:G20"/>
    <mergeCell ref="A25:D25"/>
    <mergeCell ref="F25:G25"/>
    <mergeCell ref="A24:D24"/>
    <mergeCell ref="F24:G24"/>
    <mergeCell ref="A23:D23"/>
    <mergeCell ref="F23:G23"/>
    <mergeCell ref="A22:D22"/>
    <mergeCell ref="F22:G22"/>
    <mergeCell ref="A21:D21"/>
    <mergeCell ref="F21:G21"/>
    <mergeCell ref="A3:H3"/>
    <mergeCell ref="A4:E4"/>
    <mergeCell ref="F4:G4"/>
    <mergeCell ref="A5:D5"/>
    <mergeCell ref="F5:G5"/>
    <mergeCell ref="A471:H471"/>
    <mergeCell ref="A472:E472"/>
    <mergeCell ref="F472:G472"/>
    <mergeCell ref="A473:D473"/>
    <mergeCell ref="F473:G473"/>
    <mergeCell ref="A474:D474"/>
    <mergeCell ref="F474:G474"/>
    <mergeCell ref="A475:D475"/>
    <mergeCell ref="F475:G475"/>
    <mergeCell ref="A476:D476"/>
    <mergeCell ref="F476:G476"/>
    <mergeCell ref="A477:D477"/>
    <mergeCell ref="F477:G477"/>
    <mergeCell ref="A629:H629"/>
    <mergeCell ref="A630:E630"/>
    <mergeCell ref="F630:G630"/>
    <mergeCell ref="A631:D631"/>
    <mergeCell ref="F631:G631"/>
    <mergeCell ref="A618:D618"/>
    <mergeCell ref="F618:G618"/>
    <mergeCell ref="A619:D619"/>
    <mergeCell ref="F619:G619"/>
    <mergeCell ref="A613:H613"/>
    <mergeCell ref="A614:E614"/>
    <mergeCell ref="F614:G614"/>
    <mergeCell ref="A615:D615"/>
    <mergeCell ref="F615:G615"/>
    <mergeCell ref="A616:D616"/>
    <mergeCell ref="F616:G616"/>
    <mergeCell ref="A617:D617"/>
    <mergeCell ref="F617:G617"/>
    <mergeCell ref="A494:H494"/>
    <mergeCell ref="A495:E495"/>
    <mergeCell ref="A632:D632"/>
    <mergeCell ref="F632:G632"/>
    <mergeCell ref="A633:D633"/>
    <mergeCell ref="F633:G633"/>
    <mergeCell ref="A634:D634"/>
    <mergeCell ref="F634:G634"/>
    <mergeCell ref="A635:D635"/>
    <mergeCell ref="F635:G635"/>
    <mergeCell ref="A642:H642"/>
    <mergeCell ref="A643:E643"/>
    <mergeCell ref="F643:G643"/>
    <mergeCell ref="A644:D644"/>
    <mergeCell ref="F644:G644"/>
    <mergeCell ref="A645:D645"/>
    <mergeCell ref="F645:G645"/>
    <mergeCell ref="A646:D646"/>
    <mergeCell ref="F646:G646"/>
    <mergeCell ref="A647:D647"/>
    <mergeCell ref="F647:G647"/>
    <mergeCell ref="A648:D648"/>
    <mergeCell ref="F648:G648"/>
    <mergeCell ref="A654:H654"/>
    <mergeCell ref="A655:E655"/>
    <mergeCell ref="F655:G655"/>
    <mergeCell ref="A656:D656"/>
    <mergeCell ref="F656:G656"/>
    <mergeCell ref="A657:D657"/>
    <mergeCell ref="F657:G657"/>
    <mergeCell ref="A658:D658"/>
    <mergeCell ref="F658:G658"/>
    <mergeCell ref="A659:D659"/>
    <mergeCell ref="F659:G659"/>
    <mergeCell ref="A660:D660"/>
    <mergeCell ref="F660:G660"/>
    <mergeCell ref="A672:H672"/>
    <mergeCell ref="A673:E673"/>
    <mergeCell ref="F673:G673"/>
    <mergeCell ref="A674:D674"/>
    <mergeCell ref="F674:G674"/>
    <mergeCell ref="A675:D675"/>
    <mergeCell ref="F675:G675"/>
    <mergeCell ref="A676:D676"/>
    <mergeCell ref="F676:G676"/>
    <mergeCell ref="A677:D677"/>
    <mergeCell ref="F677:G677"/>
    <mergeCell ref="A678:D678"/>
    <mergeCell ref="F678:G678"/>
    <mergeCell ref="A684:H684"/>
    <mergeCell ref="A685:E685"/>
    <mergeCell ref="F685:G685"/>
    <mergeCell ref="A686:D686"/>
    <mergeCell ref="F686:G686"/>
    <mergeCell ref="A687:D687"/>
    <mergeCell ref="F687:G687"/>
    <mergeCell ref="A688:D688"/>
    <mergeCell ref="F688:G688"/>
    <mergeCell ref="A689:D689"/>
    <mergeCell ref="F689:G689"/>
    <mergeCell ref="A690:D690"/>
    <mergeCell ref="F690:G690"/>
    <mergeCell ref="A695:H695"/>
    <mergeCell ref="A696:E696"/>
    <mergeCell ref="F696:G696"/>
    <mergeCell ref="A697:D697"/>
    <mergeCell ref="F697:G697"/>
    <mergeCell ref="A698:D698"/>
    <mergeCell ref="F698:G698"/>
    <mergeCell ref="A699:D699"/>
    <mergeCell ref="F699:G699"/>
    <mergeCell ref="A700:D700"/>
    <mergeCell ref="F700:G700"/>
    <mergeCell ref="A701:D701"/>
    <mergeCell ref="F701:G701"/>
    <mergeCell ref="A706:H706"/>
    <mergeCell ref="A707:E707"/>
    <mergeCell ref="F707:G707"/>
    <mergeCell ref="A708:D708"/>
    <mergeCell ref="F708:G708"/>
    <mergeCell ref="A709:D709"/>
    <mergeCell ref="F709:G709"/>
    <mergeCell ref="A710:D710"/>
    <mergeCell ref="F710:G710"/>
    <mergeCell ref="A711:D711"/>
    <mergeCell ref="F711:G711"/>
    <mergeCell ref="A712:D712"/>
    <mergeCell ref="F712:G712"/>
    <mergeCell ref="A719:H719"/>
    <mergeCell ref="A720:E720"/>
    <mergeCell ref="F720:G720"/>
    <mergeCell ref="A721:D721"/>
    <mergeCell ref="F721:G721"/>
    <mergeCell ref="A722:D722"/>
    <mergeCell ref="F722:G722"/>
    <mergeCell ref="A723:D723"/>
    <mergeCell ref="F723:G723"/>
    <mergeCell ref="A724:D724"/>
    <mergeCell ref="F724:G724"/>
    <mergeCell ref="A725:D725"/>
    <mergeCell ref="F725:G725"/>
    <mergeCell ref="A730:H730"/>
    <mergeCell ref="A731:E731"/>
    <mergeCell ref="F731:G731"/>
    <mergeCell ref="A732:D732"/>
    <mergeCell ref="F732:G732"/>
    <mergeCell ref="A733:D733"/>
    <mergeCell ref="F733:G733"/>
    <mergeCell ref="A734:D734"/>
    <mergeCell ref="F734:G734"/>
    <mergeCell ref="A735:D735"/>
    <mergeCell ref="F735:G735"/>
    <mergeCell ref="A736:D736"/>
    <mergeCell ref="F736:G736"/>
    <mergeCell ref="A748:D748"/>
    <mergeCell ref="F748:G748"/>
    <mergeCell ref="A749:D749"/>
    <mergeCell ref="F749:G749"/>
    <mergeCell ref="A743:H743"/>
    <mergeCell ref="A744:E744"/>
    <mergeCell ref="F744:G744"/>
    <mergeCell ref="A745:D745"/>
    <mergeCell ref="F745:G745"/>
    <mergeCell ref="A746:D746"/>
    <mergeCell ref="F746:G746"/>
    <mergeCell ref="A747:D747"/>
    <mergeCell ref="F747:G747"/>
    <mergeCell ref="A895:H895"/>
    <mergeCell ref="A896:E896"/>
    <mergeCell ref="F896:G896"/>
    <mergeCell ref="A897:D897"/>
    <mergeCell ref="F897:G897"/>
    <mergeCell ref="A898:D898"/>
    <mergeCell ref="F898:G898"/>
    <mergeCell ref="A899:D899"/>
    <mergeCell ref="F899:G899"/>
    <mergeCell ref="A900:D900"/>
    <mergeCell ref="F900:G900"/>
    <mergeCell ref="A901:D901"/>
    <mergeCell ref="F901:G901"/>
    <mergeCell ref="A907:H907"/>
    <mergeCell ref="A908:E908"/>
    <mergeCell ref="F908:G908"/>
    <mergeCell ref="A909:D909"/>
    <mergeCell ref="A910:D910"/>
    <mergeCell ref="A911:D911"/>
    <mergeCell ref="F911:G911"/>
    <mergeCell ref="A912:D912"/>
    <mergeCell ref="F912:G912"/>
    <mergeCell ref="A913:D913"/>
    <mergeCell ref="F913:G913"/>
    <mergeCell ref="A85:H85"/>
    <mergeCell ref="A86:E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291:H291"/>
    <mergeCell ref="A292:E292"/>
    <mergeCell ref="F292:G292"/>
    <mergeCell ref="A293:D293"/>
    <mergeCell ref="F293:G293"/>
    <mergeCell ref="A294:D294"/>
    <mergeCell ref="F294:G294"/>
    <mergeCell ref="A295:D295"/>
    <mergeCell ref="F295:G295"/>
    <mergeCell ref="A296:D296"/>
    <mergeCell ref="F296:G296"/>
    <mergeCell ref="A297:D297"/>
    <mergeCell ref="F297:G297"/>
    <mergeCell ref="A303:H303"/>
    <mergeCell ref="A304:E304"/>
    <mergeCell ref="F304:G304"/>
    <mergeCell ref="A305:D305"/>
    <mergeCell ref="F305:G305"/>
    <mergeCell ref="A306:D306"/>
    <mergeCell ref="F306:G306"/>
    <mergeCell ref="A307:D307"/>
    <mergeCell ref="F307:G307"/>
    <mergeCell ref="A308:D308"/>
    <mergeCell ref="F308:G308"/>
    <mergeCell ref="A309:D309"/>
    <mergeCell ref="F309:G309"/>
    <mergeCell ref="A315:H315"/>
    <mergeCell ref="A316:E316"/>
    <mergeCell ref="F316:G316"/>
    <mergeCell ref="A317:D317"/>
    <mergeCell ref="F317:G317"/>
    <mergeCell ref="A318:D318"/>
    <mergeCell ref="F318:G318"/>
    <mergeCell ref="A319:D319"/>
    <mergeCell ref="F319:G319"/>
    <mergeCell ref="A320:D320"/>
    <mergeCell ref="F320:G320"/>
    <mergeCell ref="A321:D321"/>
    <mergeCell ref="F321:G321"/>
    <mergeCell ref="A327:H327"/>
    <mergeCell ref="A328:E328"/>
    <mergeCell ref="F328:G328"/>
    <mergeCell ref="A329:D329"/>
    <mergeCell ref="F329:G329"/>
    <mergeCell ref="A330:D330"/>
    <mergeCell ref="F330:G330"/>
    <mergeCell ref="A331:D331"/>
    <mergeCell ref="F331:G331"/>
    <mergeCell ref="A332:D332"/>
    <mergeCell ref="F332:G332"/>
    <mergeCell ref="A333:D333"/>
    <mergeCell ref="F333:G333"/>
    <mergeCell ref="A338:H338"/>
    <mergeCell ref="A339:E339"/>
    <mergeCell ref="F339:G339"/>
    <mergeCell ref="A340:D340"/>
    <mergeCell ref="F340:G340"/>
    <mergeCell ref="A341:D341"/>
    <mergeCell ref="F341:G341"/>
    <mergeCell ref="A342:D342"/>
    <mergeCell ref="F342:G342"/>
    <mergeCell ref="A343:D343"/>
    <mergeCell ref="F343:G343"/>
    <mergeCell ref="A344:D344"/>
    <mergeCell ref="F344:G344"/>
    <mergeCell ref="A349:H349"/>
    <mergeCell ref="A350:E350"/>
    <mergeCell ref="F350:G350"/>
    <mergeCell ref="A351:D351"/>
    <mergeCell ref="F351:G351"/>
    <mergeCell ref="A352:D352"/>
    <mergeCell ref="F352:G352"/>
    <mergeCell ref="A353:D353"/>
    <mergeCell ref="F353:G353"/>
    <mergeCell ref="A354:D354"/>
    <mergeCell ref="F354:G354"/>
    <mergeCell ref="A355:D355"/>
    <mergeCell ref="F355:G355"/>
    <mergeCell ref="A368:H368"/>
    <mergeCell ref="A369:E369"/>
    <mergeCell ref="F369:G369"/>
    <mergeCell ref="A370:D370"/>
    <mergeCell ref="F370:G370"/>
    <mergeCell ref="A371:D371"/>
    <mergeCell ref="F371:G371"/>
    <mergeCell ref="A372:D372"/>
    <mergeCell ref="F372:G372"/>
    <mergeCell ref="A373:D373"/>
    <mergeCell ref="F373:G373"/>
    <mergeCell ref="A374:D374"/>
    <mergeCell ref="F374:G374"/>
    <mergeCell ref="A389:H389"/>
    <mergeCell ref="A390:E390"/>
    <mergeCell ref="F390:G390"/>
    <mergeCell ref="A391:D391"/>
    <mergeCell ref="F391:G391"/>
    <mergeCell ref="A392:D392"/>
    <mergeCell ref="F392:G392"/>
    <mergeCell ref="A393:D393"/>
    <mergeCell ref="F393:G393"/>
    <mergeCell ref="A394:D394"/>
    <mergeCell ref="F394:G394"/>
    <mergeCell ref="A395:D395"/>
    <mergeCell ref="F395:G395"/>
    <mergeCell ref="A408:H408"/>
    <mergeCell ref="A409:E409"/>
    <mergeCell ref="F409:G409"/>
    <mergeCell ref="A410:D410"/>
    <mergeCell ref="F410:G410"/>
    <mergeCell ref="A411:D411"/>
    <mergeCell ref="F411:G411"/>
    <mergeCell ref="A412:D412"/>
    <mergeCell ref="F412:G412"/>
    <mergeCell ref="A413:D413"/>
    <mergeCell ref="F413:G413"/>
    <mergeCell ref="A414:D414"/>
    <mergeCell ref="F414:G414"/>
    <mergeCell ref="A435:H435"/>
    <mergeCell ref="A436:E436"/>
    <mergeCell ref="F436:G436"/>
    <mergeCell ref="A437:D437"/>
    <mergeCell ref="F437:G437"/>
    <mergeCell ref="A438:D438"/>
    <mergeCell ref="F438:G438"/>
    <mergeCell ref="A439:D439"/>
    <mergeCell ref="F439:G439"/>
    <mergeCell ref="A458:D458"/>
    <mergeCell ref="F458:G458"/>
    <mergeCell ref="A459:D459"/>
    <mergeCell ref="F459:G459"/>
    <mergeCell ref="A460:D460"/>
    <mergeCell ref="F460:G460"/>
    <mergeCell ref="A461:D461"/>
    <mergeCell ref="F461:G461"/>
    <mergeCell ref="A440:D440"/>
    <mergeCell ref="F440:G440"/>
    <mergeCell ref="A441:D441"/>
    <mergeCell ref="F441:G441"/>
    <mergeCell ref="A455:H455"/>
    <mergeCell ref="A456:E456"/>
    <mergeCell ref="F456:G456"/>
    <mergeCell ref="A457:D457"/>
    <mergeCell ref="F457:G457"/>
  </mergeCells>
  <phoneticPr fontId="8" type="noConversion"/>
  <pageMargins left="0.7" right="0.7" top="0.75" bottom="0.75" header="0.3" footer="0.3"/>
  <pageSetup scale="87" fitToHeight="0" orientation="portrait" r:id="rId1"/>
  <rowBreaks count="8" manualBreakCount="8">
    <brk id="1" max="16383" man="1"/>
    <brk id="38" max="16383" man="1"/>
    <brk id="71" max="16383" man="1"/>
    <brk id="122" max="16383" man="1"/>
    <brk id="155" max="16383" man="1"/>
    <brk id="188" max="16383" man="1"/>
    <brk id="221" max="16383" man="1"/>
    <brk id="2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KARTU PEMELIHARAAN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2025-09-01T05:32:34Z</cp:lastPrinted>
  <dcterms:created xsi:type="dcterms:W3CDTF">2025-08-29T02:03:10Z</dcterms:created>
  <dcterms:modified xsi:type="dcterms:W3CDTF">2026-01-12T01:17:09Z</dcterms:modified>
</cp:coreProperties>
</file>