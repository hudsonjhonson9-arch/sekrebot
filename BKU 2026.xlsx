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benda\OneDrive\Desktop\FILE BENDAHARA 2026\"/>
    </mc:Choice>
  </mc:AlternateContent>
  <xr:revisionPtr revIDLastSave="0" documentId="13_ncr:1_{3B632A41-305B-44AA-8174-FAA2D5FAA180}" xr6:coauthVersionLast="47" xr6:coauthVersionMax="47" xr10:uidLastSave="{00000000-0000-0000-0000-000000000000}"/>
  <bookViews>
    <workbookView xWindow="-120" yWindow="-120" windowWidth="29040" windowHeight="15720" activeTab="5" xr2:uid="{00000000-000D-0000-FFFF-FFFF00000000}"/>
  </bookViews>
  <sheets>
    <sheet name="JANUARI" sheetId="21" r:id="rId1"/>
    <sheet name="FEBRUARI" sheetId="5" r:id="rId2"/>
    <sheet name="MARET" sheetId="6" r:id="rId3"/>
    <sheet name="APRIL" sheetId="22" r:id="rId4"/>
    <sheet name="MEI" sheetId="23" r:id="rId5"/>
    <sheet name="JUNI" sheetId="24" r:id="rId6"/>
    <sheet name="JULI" sheetId="25" r:id="rId7"/>
  </sheets>
  <definedNames>
    <definedName name="_xlnm.Print_Area" localSheetId="3">APRIL!$A$1:$H$139</definedName>
    <definedName name="_xlnm.Print_Area" localSheetId="1">FEBRUARI!$A$1:$G$177</definedName>
    <definedName name="_xlnm.Print_Area" localSheetId="0">JANUARI!$A$1:$G$135</definedName>
    <definedName name="_xlnm.Print_Area" localSheetId="4">MEI!$A$1:$H$166</definedName>
    <definedName name="_xlnm.Print_Titles" localSheetId="0">JANUARI!$6:$7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65" i="25" l="1"/>
  <c r="F158" i="25"/>
  <c r="F159" i="25" s="1"/>
  <c r="G36" i="25"/>
  <c r="G35" i="25"/>
  <c r="G32" i="25"/>
  <c r="G28" i="25"/>
  <c r="G158" i="25" s="1"/>
  <c r="G159" i="25" s="1"/>
  <c r="H8" i="25"/>
  <c r="H11" i="25" s="1"/>
  <c r="H12" i="25" s="1"/>
  <c r="H13" i="25" s="1"/>
  <c r="H14" i="25" s="1"/>
  <c r="H15" i="25" s="1"/>
  <c r="H16" i="25" s="1"/>
  <c r="H17" i="25" s="1"/>
  <c r="H18" i="25" s="1"/>
  <c r="H19" i="25" s="1"/>
  <c r="H20" i="25" s="1"/>
  <c r="H21" i="25" s="1"/>
  <c r="H22" i="25" s="1"/>
  <c r="H23" i="25" s="1"/>
  <c r="H24" i="25" s="1"/>
  <c r="H25" i="25" s="1"/>
  <c r="H27" i="25" s="1"/>
  <c r="H28" i="25" s="1"/>
  <c r="H29" i="25" s="1"/>
  <c r="H30" i="25" s="1"/>
  <c r="H31" i="25" s="1"/>
  <c r="H32" i="25" s="1"/>
  <c r="H33" i="25" s="1"/>
  <c r="H34" i="25" s="1"/>
  <c r="H35" i="25" s="1"/>
  <c r="H36" i="25" s="1"/>
  <c r="H37" i="25" s="1"/>
  <c r="H38" i="25" s="1"/>
  <c r="H39" i="25" s="1"/>
  <c r="H40" i="25" s="1"/>
  <c r="H41" i="25" s="1"/>
  <c r="H43" i="25" s="1"/>
  <c r="H44" i="25" s="1"/>
  <c r="H47" i="25" s="1"/>
  <c r="H48" i="25" s="1"/>
  <c r="H49" i="25" s="1"/>
  <c r="H50" i="25" s="1"/>
  <c r="H51" i="25" s="1"/>
  <c r="H52" i="25" s="1"/>
  <c r="H53" i="25" s="1"/>
  <c r="H54" i="25" s="1"/>
  <c r="H55" i="25" s="1"/>
  <c r="H56" i="25" s="1"/>
  <c r="H57" i="25" s="1"/>
  <c r="H58" i="25" s="1"/>
  <c r="H59" i="25" s="1"/>
  <c r="H60" i="25" s="1"/>
  <c r="H61" i="25" s="1"/>
  <c r="H62" i="25" s="1"/>
  <c r="H63" i="25" s="1"/>
  <c r="H64" i="25" s="1"/>
  <c r="H65" i="25" s="1"/>
  <c r="H66" i="25" s="1"/>
  <c r="H67" i="25" s="1"/>
  <c r="H68" i="25" s="1"/>
  <c r="H69" i="25" s="1"/>
  <c r="H70" i="25" s="1"/>
  <c r="H71" i="25" s="1"/>
  <c r="H72" i="25" s="1"/>
  <c r="H73" i="25" s="1"/>
  <c r="H74" i="25" s="1"/>
  <c r="H75" i="25" s="1"/>
  <c r="H76" i="25" s="1"/>
  <c r="H77" i="25" s="1"/>
  <c r="H78" i="25" s="1"/>
  <c r="H80" i="25" s="1"/>
  <c r="H89" i="25" s="1"/>
  <c r="H90" i="25" s="1"/>
  <c r="H91" i="25" s="1"/>
  <c r="H92" i="25" s="1"/>
  <c r="H93" i="25" s="1"/>
  <c r="H94" i="25" s="1"/>
  <c r="H95" i="25" s="1"/>
  <c r="H96" i="25" s="1"/>
  <c r="H97" i="25" s="1"/>
  <c r="H98" i="25" s="1"/>
  <c r="H99" i="25" s="1"/>
  <c r="H100" i="25" s="1"/>
  <c r="H101" i="25" s="1"/>
  <c r="H102" i="25" s="1"/>
  <c r="H103" i="25" s="1"/>
  <c r="H104" i="25" s="1"/>
  <c r="H105" i="25" s="1"/>
  <c r="H106" i="25" s="1"/>
  <c r="H107" i="25" s="1"/>
  <c r="H108" i="25" s="1"/>
  <c r="H109" i="25" s="1"/>
  <c r="H110" i="25" s="1"/>
  <c r="H111" i="25" s="1"/>
  <c r="H114" i="25" s="1"/>
  <c r="H115" i="25" s="1"/>
  <c r="H116" i="25" s="1"/>
  <c r="H117" i="25" s="1"/>
  <c r="H119" i="25" s="1"/>
  <c r="H120" i="25" s="1"/>
  <c r="H121" i="25" s="1"/>
  <c r="H122" i="25" s="1"/>
  <c r="H123" i="25" s="1"/>
  <c r="H124" i="25" s="1"/>
  <c r="H125" i="25" s="1"/>
  <c r="H126" i="25" s="1"/>
  <c r="H127" i="25" s="1"/>
  <c r="H128" i="25" s="1"/>
  <c r="H129" i="25" s="1"/>
  <c r="H130" i="25" s="1"/>
  <c r="H131" i="25" s="1"/>
  <c r="H132" i="25" s="1"/>
  <c r="H133" i="25" s="1"/>
  <c r="H134" i="25" s="1"/>
  <c r="H141" i="25" s="1"/>
  <c r="H142" i="25" s="1"/>
  <c r="H143" i="25" s="1"/>
  <c r="H144" i="25" s="1"/>
  <c r="H145" i="25" s="1"/>
  <c r="H146" i="25" s="1"/>
  <c r="H148" i="25" s="1"/>
  <c r="H149" i="25" s="1"/>
  <c r="H150" i="25" s="1"/>
  <c r="H151" i="25" s="1"/>
  <c r="H152" i="25" s="1"/>
  <c r="H153" i="25" s="1"/>
  <c r="H154" i="25" s="1"/>
  <c r="H155" i="25" s="1"/>
  <c r="H156" i="25" s="1"/>
  <c r="H157" i="25" s="1"/>
  <c r="F158" i="24"/>
  <c r="K62" i="24"/>
  <c r="G73" i="24"/>
  <c r="G72" i="24"/>
  <c r="G69" i="24"/>
  <c r="G65" i="24"/>
  <c r="M14" i="24"/>
  <c r="H158" i="25" l="1"/>
  <c r="H159" i="25"/>
  <c r="F165" i="24"/>
  <c r="F159" i="24"/>
  <c r="G36" i="24"/>
  <c r="G35" i="24"/>
  <c r="G32" i="24"/>
  <c r="G28" i="24"/>
  <c r="H8" i="24"/>
  <c r="H11" i="24" s="1"/>
  <c r="H12" i="24" s="1"/>
  <c r="H13" i="24" s="1"/>
  <c r="H14" i="24" s="1"/>
  <c r="H15" i="24" s="1"/>
  <c r="H16" i="24" s="1"/>
  <c r="H17" i="24" s="1"/>
  <c r="H18" i="24" s="1"/>
  <c r="H19" i="24" s="1"/>
  <c r="H20" i="24" s="1"/>
  <c r="H21" i="24" s="1"/>
  <c r="H22" i="24" s="1"/>
  <c r="H23" i="24" s="1"/>
  <c r="H24" i="24" s="1"/>
  <c r="H25" i="24" s="1"/>
  <c r="H27" i="24" s="1"/>
  <c r="F148" i="23"/>
  <c r="F149" i="23" s="1"/>
  <c r="K109" i="23"/>
  <c r="K89" i="23"/>
  <c r="F156" i="23"/>
  <c r="G36" i="23"/>
  <c r="G35" i="23"/>
  <c r="G32" i="23"/>
  <c r="G28" i="23"/>
  <c r="H8" i="23"/>
  <c r="H11" i="23" s="1"/>
  <c r="H12" i="23" s="1"/>
  <c r="H13" i="23" s="1"/>
  <c r="H14" i="23" s="1"/>
  <c r="H15" i="23" s="1"/>
  <c r="H16" i="23" s="1"/>
  <c r="H17" i="23" s="1"/>
  <c r="H18" i="23" s="1"/>
  <c r="H19" i="23" s="1"/>
  <c r="H20" i="23" s="1"/>
  <c r="H21" i="23" s="1"/>
  <c r="H22" i="23" s="1"/>
  <c r="H23" i="23" s="1"/>
  <c r="H24" i="23" s="1"/>
  <c r="H25" i="23" s="1"/>
  <c r="H27" i="23" s="1"/>
  <c r="E133" i="6"/>
  <c r="K24" i="23"/>
  <c r="G158" i="24" l="1"/>
  <c r="H158" i="24" s="1"/>
  <c r="H28" i="24"/>
  <c r="H29" i="24" s="1"/>
  <c r="H30" i="24" s="1"/>
  <c r="H31" i="24" s="1"/>
  <c r="H32" i="24" s="1"/>
  <c r="H33" i="24" s="1"/>
  <c r="H34" i="24" s="1"/>
  <c r="H35" i="24" s="1"/>
  <c r="H36" i="24" s="1"/>
  <c r="H37" i="24" s="1"/>
  <c r="H38" i="24" s="1"/>
  <c r="H39" i="24" s="1"/>
  <c r="H40" i="24" s="1"/>
  <c r="H41" i="24" s="1"/>
  <c r="H43" i="24" s="1"/>
  <c r="H44" i="24" s="1"/>
  <c r="H47" i="24" s="1"/>
  <c r="H48" i="24" s="1"/>
  <c r="H49" i="24" s="1"/>
  <c r="H50" i="24" s="1"/>
  <c r="H51" i="24" s="1"/>
  <c r="H52" i="24" s="1"/>
  <c r="H28" i="23"/>
  <c r="H29" i="23" s="1"/>
  <c r="H30" i="23" s="1"/>
  <c r="H31" i="23" s="1"/>
  <c r="H32" i="23" s="1"/>
  <c r="H33" i="23" s="1"/>
  <c r="H34" i="23" s="1"/>
  <c r="H35" i="23" s="1"/>
  <c r="H36" i="23" s="1"/>
  <c r="H37" i="23" s="1"/>
  <c r="H38" i="23" s="1"/>
  <c r="H39" i="23" s="1"/>
  <c r="H40" i="23" s="1"/>
  <c r="H41" i="23" s="1"/>
  <c r="H43" i="23" s="1"/>
  <c r="H44" i="23" s="1"/>
  <c r="H45" i="23" s="1"/>
  <c r="H47" i="23" s="1"/>
  <c r="H49" i="23" s="1"/>
  <c r="H50" i="23" s="1"/>
  <c r="H51" i="23" s="1"/>
  <c r="H53" i="23" s="1"/>
  <c r="H55" i="23" s="1"/>
  <c r="H57" i="23" s="1"/>
  <c r="H59" i="23" s="1"/>
  <c r="H61" i="23" s="1"/>
  <c r="H63" i="23" s="1"/>
  <c r="G148" i="23"/>
  <c r="H148" i="23" s="1"/>
  <c r="E132" i="6"/>
  <c r="F122" i="22"/>
  <c r="K77" i="22"/>
  <c r="G159" i="24" l="1"/>
  <c r="H159" i="24" s="1"/>
  <c r="H53" i="24"/>
  <c r="H54" i="24" s="1"/>
  <c r="H55" i="24" s="1"/>
  <c r="H56" i="24" s="1"/>
  <c r="H57" i="24" s="1"/>
  <c r="H58" i="24" s="1"/>
  <c r="H59" i="24" s="1"/>
  <c r="H60" i="24" s="1"/>
  <c r="H61" i="24" s="1"/>
  <c r="H62" i="24" s="1"/>
  <c r="H63" i="24" s="1"/>
  <c r="G149" i="23"/>
  <c r="H149" i="23" s="1"/>
  <c r="H65" i="23"/>
  <c r="H67" i="23" s="1"/>
  <c r="H69" i="23" s="1"/>
  <c r="H71" i="23" s="1"/>
  <c r="L60" i="22"/>
  <c r="K13" i="23"/>
  <c r="K10" i="23"/>
  <c r="F130" i="22"/>
  <c r="F123" i="22"/>
  <c r="G36" i="22"/>
  <c r="G35" i="22"/>
  <c r="G32" i="22"/>
  <c r="G28" i="22"/>
  <c r="H8" i="22"/>
  <c r="H11" i="22" s="1"/>
  <c r="H12" i="22" s="1"/>
  <c r="H13" i="22" s="1"/>
  <c r="H14" i="22" s="1"/>
  <c r="H15" i="22" s="1"/>
  <c r="H16" i="22" s="1"/>
  <c r="H17" i="22" s="1"/>
  <c r="H18" i="22" s="1"/>
  <c r="H19" i="22" s="1"/>
  <c r="H20" i="22" s="1"/>
  <c r="H21" i="22" s="1"/>
  <c r="H22" i="22" s="1"/>
  <c r="H23" i="22" s="1"/>
  <c r="H24" i="22" s="1"/>
  <c r="H25" i="22" s="1"/>
  <c r="H27" i="22" s="1"/>
  <c r="G131" i="6"/>
  <c r="F132" i="6"/>
  <c r="H64" i="24" l="1"/>
  <c r="H65" i="24" s="1"/>
  <c r="H66" i="24" s="1"/>
  <c r="H67" i="24" s="1"/>
  <c r="H68" i="24" s="1"/>
  <c r="H69" i="24" s="1"/>
  <c r="H70" i="24" s="1"/>
  <c r="H71" i="24" s="1"/>
  <c r="H72" i="24" s="1"/>
  <c r="H73" i="24" s="1"/>
  <c r="H74" i="24" s="1"/>
  <c r="H75" i="24" s="1"/>
  <c r="H76" i="24" s="1"/>
  <c r="H77" i="24" s="1"/>
  <c r="H78" i="24" s="1"/>
  <c r="H80" i="24" s="1"/>
  <c r="H89" i="24" s="1"/>
  <c r="H90" i="24" s="1"/>
  <c r="H91" i="24" s="1"/>
  <c r="H92" i="24" s="1"/>
  <c r="H93" i="24" s="1"/>
  <c r="H94" i="24" s="1"/>
  <c r="H95" i="24" s="1"/>
  <c r="H96" i="24" s="1"/>
  <c r="H97" i="24" s="1"/>
  <c r="H98" i="24" s="1"/>
  <c r="H99" i="24" s="1"/>
  <c r="H100" i="24" s="1"/>
  <c r="H101" i="24" s="1"/>
  <c r="H102" i="24" s="1"/>
  <c r="H103" i="24" s="1"/>
  <c r="H104" i="24" s="1"/>
  <c r="H105" i="24" s="1"/>
  <c r="H106" i="24" s="1"/>
  <c r="H107" i="24" s="1"/>
  <c r="H108" i="24" s="1"/>
  <c r="H109" i="24" s="1"/>
  <c r="H110" i="24" s="1"/>
  <c r="H111" i="24" s="1"/>
  <c r="H114" i="24" s="1"/>
  <c r="H115" i="24" s="1"/>
  <c r="H116" i="24" s="1"/>
  <c r="H117" i="24" s="1"/>
  <c r="H119" i="24" s="1"/>
  <c r="H120" i="24" s="1"/>
  <c r="H121" i="24" s="1"/>
  <c r="H122" i="24" s="1"/>
  <c r="H123" i="24" s="1"/>
  <c r="H124" i="24" s="1"/>
  <c r="H125" i="24" s="1"/>
  <c r="H126" i="24" s="1"/>
  <c r="H127" i="24" s="1"/>
  <c r="H128" i="24" s="1"/>
  <c r="H129" i="24" s="1"/>
  <c r="H130" i="24" s="1"/>
  <c r="H131" i="24" s="1"/>
  <c r="H132" i="24" s="1"/>
  <c r="H133" i="24" s="1"/>
  <c r="H134" i="24" s="1"/>
  <c r="H141" i="24" s="1"/>
  <c r="H142" i="24" s="1"/>
  <c r="H143" i="24" s="1"/>
  <c r="H144" i="24" s="1"/>
  <c r="H145" i="24" s="1"/>
  <c r="H146" i="24" s="1"/>
  <c r="H148" i="24" s="1"/>
  <c r="H149" i="24" s="1"/>
  <c r="H150" i="24" s="1"/>
  <c r="H151" i="24" s="1"/>
  <c r="H152" i="24" s="1"/>
  <c r="H153" i="24" s="1"/>
  <c r="H154" i="24" s="1"/>
  <c r="H155" i="24" s="1"/>
  <c r="H156" i="24" s="1"/>
  <c r="H157" i="24" s="1"/>
  <c r="H73" i="23"/>
  <c r="H75" i="23" s="1"/>
  <c r="H77" i="23" s="1"/>
  <c r="H79" i="23" s="1"/>
  <c r="H81" i="23" s="1"/>
  <c r="H83" i="23" s="1"/>
  <c r="H85" i="23" s="1"/>
  <c r="H87" i="23" s="1"/>
  <c r="H89" i="23" s="1"/>
  <c r="H91" i="23" s="1"/>
  <c r="H93" i="23" s="1"/>
  <c r="H95" i="23" s="1"/>
  <c r="H97" i="23" s="1"/>
  <c r="H99" i="23" s="1"/>
  <c r="H101" i="23" s="1"/>
  <c r="H103" i="23" s="1"/>
  <c r="H105" i="23" s="1"/>
  <c r="H107" i="23" s="1"/>
  <c r="H109" i="23" s="1"/>
  <c r="H111" i="23" s="1"/>
  <c r="H112" i="23" s="1"/>
  <c r="H113" i="23" s="1"/>
  <c r="H114" i="23" s="1"/>
  <c r="H115" i="23" s="1"/>
  <c r="H116" i="23" s="1"/>
  <c r="H117" i="23" s="1"/>
  <c r="H118" i="23" s="1"/>
  <c r="H120" i="23" s="1"/>
  <c r="H122" i="23" s="1"/>
  <c r="H124" i="23" s="1"/>
  <c r="H125" i="23" s="1"/>
  <c r="H126" i="23" s="1"/>
  <c r="H127" i="23" s="1"/>
  <c r="H128" i="23" s="1"/>
  <c r="H129" i="23" s="1"/>
  <c r="G122" i="22"/>
  <c r="G123" i="22" s="1"/>
  <c r="H123" i="22" s="1"/>
  <c r="H28" i="22"/>
  <c r="H29" i="22" s="1"/>
  <c r="H30" i="22" s="1"/>
  <c r="H31" i="22" s="1"/>
  <c r="H32" i="22" s="1"/>
  <c r="H33" i="22" s="1"/>
  <c r="H34" i="22" s="1"/>
  <c r="H35" i="22" s="1"/>
  <c r="H36" i="22" s="1"/>
  <c r="H37" i="22" s="1"/>
  <c r="H38" i="22" s="1"/>
  <c r="H39" i="22" s="1"/>
  <c r="H40" i="22" s="1"/>
  <c r="H41" i="22" s="1"/>
  <c r="H43" i="22" s="1"/>
  <c r="H44" i="22" s="1"/>
  <c r="H46" i="22" s="1"/>
  <c r="H48" i="22" s="1"/>
  <c r="H50" i="22" s="1"/>
  <c r="H52" i="22" s="1"/>
  <c r="H54" i="22" s="1"/>
  <c r="H56" i="22" s="1"/>
  <c r="H58" i="22" s="1"/>
  <c r="F92" i="6"/>
  <c r="F91" i="6"/>
  <c r="F88" i="6"/>
  <c r="F84" i="6"/>
  <c r="H130" i="23" l="1"/>
  <c r="H132" i="23" s="1"/>
  <c r="H59" i="22"/>
  <c r="H60" i="22" s="1"/>
  <c r="H62" i="22" s="1"/>
  <c r="H65" i="22" s="1"/>
  <c r="H67" i="22" s="1"/>
  <c r="H69" i="22" s="1"/>
  <c r="H70" i="22" s="1"/>
  <c r="H71" i="22" s="1"/>
  <c r="H122" i="22"/>
  <c r="E140" i="6"/>
  <c r="F37" i="6"/>
  <c r="F36" i="6"/>
  <c r="F33" i="6"/>
  <c r="F29" i="6"/>
  <c r="G9" i="6"/>
  <c r="G12" i="6" s="1"/>
  <c r="G13" i="6" s="1"/>
  <c r="G14" i="6" s="1"/>
  <c r="G15" i="6" s="1"/>
  <c r="G16" i="6" s="1"/>
  <c r="G17" i="6" s="1"/>
  <c r="G18" i="6" s="1"/>
  <c r="G19" i="6" s="1"/>
  <c r="G20" i="6" s="1"/>
  <c r="G21" i="6" s="1"/>
  <c r="G22" i="6" s="1"/>
  <c r="G23" i="6" s="1"/>
  <c r="G24" i="6" s="1"/>
  <c r="G25" i="6" s="1"/>
  <c r="G26" i="6" s="1"/>
  <c r="G28" i="6" s="1"/>
  <c r="G29" i="6" s="1"/>
  <c r="G30" i="6" s="1"/>
  <c r="G31" i="6" s="1"/>
  <c r="G32" i="6" s="1"/>
  <c r="E157" i="5"/>
  <c r="H134" i="23" l="1"/>
  <c r="H135" i="23" s="1"/>
  <c r="H136" i="23" s="1"/>
  <c r="H137" i="23" s="1"/>
  <c r="H138" i="23" s="1"/>
  <c r="H139" i="23" s="1"/>
  <c r="H140" i="23" s="1"/>
  <c r="H141" i="23" s="1"/>
  <c r="H142" i="23" s="1"/>
  <c r="H144" i="23" s="1"/>
  <c r="H72" i="22"/>
  <c r="H73" i="22" s="1"/>
  <c r="G33" i="6"/>
  <c r="G34" i="6" s="1"/>
  <c r="G35" i="6" s="1"/>
  <c r="G36" i="6"/>
  <c r="G37" i="6" s="1"/>
  <c r="G38" i="6" s="1"/>
  <c r="G39" i="6" s="1"/>
  <c r="G40" i="6" s="1"/>
  <c r="G41" i="6" s="1"/>
  <c r="G42" i="6" s="1"/>
  <c r="G44" i="6" s="1"/>
  <c r="E158" i="5"/>
  <c r="E165" i="5"/>
  <c r="F37" i="5"/>
  <c r="F36" i="5"/>
  <c r="F33" i="5"/>
  <c r="F29" i="5"/>
  <c r="G9" i="5"/>
  <c r="G12" i="5" s="1"/>
  <c r="G13" i="5" s="1"/>
  <c r="G14" i="5" s="1"/>
  <c r="G15" i="5" s="1"/>
  <c r="G16" i="5" s="1"/>
  <c r="G17" i="5" s="1"/>
  <c r="G18" i="5" s="1"/>
  <c r="G19" i="5" s="1"/>
  <c r="G20" i="5" s="1"/>
  <c r="G21" i="5" s="1"/>
  <c r="G22" i="5" s="1"/>
  <c r="G23" i="5" s="1"/>
  <c r="G24" i="5" s="1"/>
  <c r="G25" i="5" s="1"/>
  <c r="G26" i="5" s="1"/>
  <c r="G28" i="5" s="1"/>
  <c r="G118" i="21"/>
  <c r="F118" i="21"/>
  <c r="E118" i="21"/>
  <c r="H75" i="22" l="1"/>
  <c r="H77" i="22" s="1"/>
  <c r="H79" i="22" s="1"/>
  <c r="H80" i="22" s="1"/>
  <c r="H81" i="22" s="1"/>
  <c r="H83" i="22" s="1"/>
  <c r="H85" i="22" s="1"/>
  <c r="H86" i="22" s="1"/>
  <c r="H88" i="22" s="1"/>
  <c r="H90" i="22" s="1"/>
  <c r="H91" i="22" s="1"/>
  <c r="H92" i="22" s="1"/>
  <c r="G132" i="6"/>
  <c r="F133" i="6"/>
  <c r="G133" i="6" s="1"/>
  <c r="G45" i="6"/>
  <c r="F157" i="5"/>
  <c r="F158" i="5" s="1"/>
  <c r="G29" i="5"/>
  <c r="G30" i="5" s="1"/>
  <c r="G31" i="5" s="1"/>
  <c r="G32" i="5" s="1"/>
  <c r="G33" i="5" s="1"/>
  <c r="G34" i="5" s="1"/>
  <c r="G35" i="5" s="1"/>
  <c r="G36" i="5" s="1"/>
  <c r="G37" i="5" s="1"/>
  <c r="G38" i="5" s="1"/>
  <c r="G39" i="5" s="1"/>
  <c r="G40" i="5" s="1"/>
  <c r="G41" i="5" s="1"/>
  <c r="G42" i="5" s="1"/>
  <c r="G44" i="5" s="1"/>
  <c r="G45" i="5" s="1"/>
  <c r="G46" i="5" s="1"/>
  <c r="G47" i="5" s="1"/>
  <c r="G48" i="5" s="1"/>
  <c r="G49" i="5" s="1"/>
  <c r="G50" i="5" s="1"/>
  <c r="G51" i="5" s="1"/>
  <c r="G52" i="5" s="1"/>
  <c r="G53" i="5" s="1"/>
  <c r="G54" i="5" s="1"/>
  <c r="G55" i="5" s="1"/>
  <c r="G56" i="5" s="1"/>
  <c r="G57" i="5" s="1"/>
  <c r="G58" i="5" s="1"/>
  <c r="G59" i="5" s="1"/>
  <c r="G60" i="5" s="1"/>
  <c r="G61" i="5" s="1"/>
  <c r="G62" i="5" s="1"/>
  <c r="G63" i="5" s="1"/>
  <c r="E119" i="21"/>
  <c r="K120" i="21"/>
  <c r="H146" i="23" l="1"/>
  <c r="H147" i="23" s="1"/>
  <c r="H94" i="22"/>
  <c r="L96" i="22"/>
  <c r="G46" i="6"/>
  <c r="G157" i="5"/>
  <c r="G64" i="5"/>
  <c r="G65" i="5" s="1"/>
  <c r="G66" i="5" s="1"/>
  <c r="G67" i="5" s="1"/>
  <c r="G68" i="5" s="1"/>
  <c r="G69" i="5" s="1"/>
  <c r="G70" i="5" s="1"/>
  <c r="G71" i="5" s="1"/>
  <c r="G72" i="5" s="1"/>
  <c r="G73" i="5" s="1"/>
  <c r="G74" i="5" s="1"/>
  <c r="G75" i="5" s="1"/>
  <c r="G76" i="5" s="1"/>
  <c r="G77" i="5" s="1"/>
  <c r="G78" i="5" s="1"/>
  <c r="G79" i="5" s="1"/>
  <c r="G80" i="5" s="1"/>
  <c r="G81" i="5" s="1"/>
  <c r="G82" i="5" s="1"/>
  <c r="G83" i="5" s="1"/>
  <c r="G84" i="5" s="1"/>
  <c r="G85" i="5" s="1"/>
  <c r="G86" i="5" s="1"/>
  <c r="G87" i="5" s="1"/>
  <c r="G88" i="5" s="1"/>
  <c r="G89" i="5" s="1"/>
  <c r="G90" i="5" s="1"/>
  <c r="G91" i="5" s="1"/>
  <c r="G92" i="5" s="1"/>
  <c r="G158" i="5"/>
  <c r="E126" i="21"/>
  <c r="F36" i="21"/>
  <c r="F35" i="21"/>
  <c r="F32" i="21"/>
  <c r="F28" i="21"/>
  <c r="G8" i="21"/>
  <c r="H96" i="22" l="1"/>
  <c r="H97" i="22" s="1"/>
  <c r="H98" i="22" s="1"/>
  <c r="H99" i="22" s="1"/>
  <c r="G47" i="6"/>
  <c r="G48" i="6" s="1"/>
  <c r="G49" i="6" s="1"/>
  <c r="G50" i="6" s="1"/>
  <c r="G51" i="6" s="1"/>
  <c r="G52" i="6" s="1"/>
  <c r="G53" i="6" s="1"/>
  <c r="F119" i="21"/>
  <c r="G11" i="21"/>
  <c r="G12" i="21" s="1"/>
  <c r="G13" i="21" s="1"/>
  <c r="G14" i="21" s="1"/>
  <c r="G15" i="21" s="1"/>
  <c r="G16" i="21" s="1"/>
  <c r="G17" i="21" s="1"/>
  <c r="G18" i="21" s="1"/>
  <c r="G19" i="21" s="1"/>
  <c r="G20" i="21" s="1"/>
  <c r="G21" i="21" s="1"/>
  <c r="G22" i="21" s="1"/>
  <c r="G23" i="21" s="1"/>
  <c r="G24" i="21" s="1"/>
  <c r="G25" i="21" s="1"/>
  <c r="G27" i="21" s="1"/>
  <c r="G28" i="21" s="1"/>
  <c r="G29" i="21" s="1"/>
  <c r="G30" i="21" s="1"/>
  <c r="G31" i="21" s="1"/>
  <c r="G32" i="21" s="1"/>
  <c r="G33" i="21" s="1"/>
  <c r="G34" i="21" s="1"/>
  <c r="G35" i="21" s="1"/>
  <c r="G36" i="21" s="1"/>
  <c r="G37" i="21" s="1"/>
  <c r="G38" i="21" s="1"/>
  <c r="G39" i="21" s="1"/>
  <c r="G40" i="21" s="1"/>
  <c r="G41" i="21" s="1"/>
  <c r="G43" i="21" s="1"/>
  <c r="G44" i="21" s="1"/>
  <c r="G45" i="21" s="1"/>
  <c r="G46" i="21" s="1"/>
  <c r="G47" i="21" s="1"/>
  <c r="G48" i="21" s="1"/>
  <c r="G49" i="21" s="1"/>
  <c r="G50" i="21" s="1"/>
  <c r="G51" i="21" s="1"/>
  <c r="G52" i="21" s="1"/>
  <c r="G53" i="21" s="1"/>
  <c r="G54" i="21" s="1"/>
  <c r="G55" i="21" s="1"/>
  <c r="H100" i="22" l="1"/>
  <c r="H101" i="22" s="1"/>
  <c r="G54" i="6"/>
  <c r="G55" i="6" s="1"/>
  <c r="G56" i="2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79" i="21" s="1"/>
  <c r="G80" i="21" s="1"/>
  <c r="G81" i="21" s="1"/>
  <c r="G82" i="21" s="1"/>
  <c r="G83" i="21" s="1"/>
  <c r="G119" i="21"/>
  <c r="H105" i="22" l="1"/>
  <c r="H106" i="22" s="1"/>
  <c r="G56" i="6"/>
  <c r="G57" i="6" s="1"/>
  <c r="G58" i="6" s="1"/>
  <c r="G59" i="6" s="1"/>
  <c r="G60" i="6" s="1"/>
  <c r="G61" i="6" s="1"/>
  <c r="G62" i="6" s="1"/>
  <c r="G63" i="6" s="1"/>
  <c r="G64" i="6" s="1"/>
  <c r="G65" i="6" s="1"/>
  <c r="G66" i="6" s="1"/>
  <c r="G67" i="6" s="1"/>
  <c r="G68" i="6" s="1"/>
  <c r="G69" i="6" s="1"/>
  <c r="G70" i="6" s="1"/>
  <c r="G71" i="6" s="1"/>
  <c r="G72" i="6" s="1"/>
  <c r="G73" i="6" s="1"/>
  <c r="G74" i="6" s="1"/>
  <c r="G75" i="6" s="1"/>
  <c r="G76" i="6" s="1"/>
  <c r="G93" i="5"/>
  <c r="G94" i="5" s="1"/>
  <c r="G95" i="5" s="1"/>
  <c r="G98" i="5" s="1"/>
  <c r="G99" i="5" s="1"/>
  <c r="H108" i="22" l="1"/>
  <c r="H109" i="22" s="1"/>
  <c r="H110" i="22" s="1"/>
  <c r="H111" i="22" s="1"/>
  <c r="H113" i="22" s="1"/>
  <c r="H114" i="22" s="1"/>
  <c r="H115" i="22" s="1"/>
  <c r="G77" i="6"/>
  <c r="G78" i="6" s="1"/>
  <c r="G79" i="6" s="1"/>
  <c r="G80" i="6" s="1"/>
  <c r="G81" i="6" s="1"/>
  <c r="G82" i="6" s="1"/>
  <c r="G83" i="6" s="1"/>
  <c r="G84" i="6" s="1"/>
  <c r="G85" i="6" s="1"/>
  <c r="G86" i="6" s="1"/>
  <c r="G87" i="6" s="1"/>
  <c r="G88" i="6" s="1"/>
  <c r="G89" i="6" s="1"/>
  <c r="G90" i="6" s="1"/>
  <c r="G91" i="6" s="1"/>
  <c r="G92" i="6" s="1"/>
  <c r="G93" i="6" s="1"/>
  <c r="G94" i="6" s="1"/>
  <c r="G95" i="6" s="1"/>
  <c r="G96" i="6" s="1"/>
  <c r="G97" i="6" s="1"/>
  <c r="G98" i="6" s="1"/>
  <c r="G99" i="6" s="1"/>
  <c r="G100" i="5"/>
  <c r="G84" i="21"/>
  <c r="G85" i="21" s="1"/>
  <c r="G86" i="21" s="1"/>
  <c r="G87" i="21" s="1"/>
  <c r="G88" i="21" s="1"/>
  <c r="G89" i="21" s="1"/>
  <c r="H116" i="22" l="1"/>
  <c r="G100" i="6"/>
  <c r="G101" i="6" s="1"/>
  <c r="G102" i="6" s="1"/>
  <c r="G103" i="6" s="1"/>
  <c r="G104" i="6" s="1"/>
  <c r="G105" i="6" s="1"/>
  <c r="G106" i="6" s="1"/>
  <c r="G107" i="6" s="1"/>
  <c r="G108" i="6" s="1"/>
  <c r="G109" i="6" s="1"/>
  <c r="G110" i="6" s="1"/>
  <c r="G111" i="6" s="1"/>
  <c r="G112" i="6" s="1"/>
  <c r="G113" i="6" s="1"/>
  <c r="G114" i="6" s="1"/>
  <c r="G115" i="6" s="1"/>
  <c r="G118" i="6" s="1"/>
  <c r="G119" i="6" s="1"/>
  <c r="G101" i="5"/>
  <c r="G102" i="5" s="1"/>
  <c r="G103" i="5" s="1"/>
  <c r="G104" i="5" s="1"/>
  <c r="G105" i="5" s="1"/>
  <c r="G106" i="5" s="1"/>
  <c r="G107" i="5" s="1"/>
  <c r="G95" i="21"/>
  <c r="G96" i="21" s="1"/>
  <c r="H117" i="22" l="1"/>
  <c r="G120" i="6"/>
  <c r="G121" i="6" s="1"/>
  <c r="G122" i="6" s="1"/>
  <c r="G123" i="6" s="1"/>
  <c r="G124" i="6" s="1"/>
  <c r="G125" i="6" s="1"/>
  <c r="G126" i="6" s="1"/>
  <c r="G127" i="6" s="1"/>
  <c r="G128" i="6" s="1"/>
  <c r="G108" i="5"/>
  <c r="G109" i="5" s="1"/>
  <c r="G110" i="5" s="1"/>
  <c r="G111" i="5" s="1"/>
  <c r="G112" i="5" s="1"/>
  <c r="G113" i="5" s="1"/>
  <c r="G114" i="5" s="1"/>
  <c r="G97" i="21"/>
  <c r="G98" i="21" s="1"/>
  <c r="G99" i="21" s="1"/>
  <c r="G100" i="21" s="1"/>
  <c r="G101" i="21" s="1"/>
  <c r="H118" i="22" l="1"/>
  <c r="H119" i="22" s="1"/>
  <c r="H120" i="22" s="1"/>
  <c r="G129" i="6"/>
  <c r="G115" i="5"/>
  <c r="G116" i="5" s="1"/>
  <c r="G117" i="5" s="1"/>
  <c r="G118" i="5" s="1"/>
  <c r="G119" i="5" s="1"/>
  <c r="G120" i="5" s="1"/>
  <c r="G102" i="21"/>
  <c r="G103" i="21" s="1"/>
  <c r="G104" i="21" s="1"/>
  <c r="G105" i="21" s="1"/>
  <c r="G106" i="21" s="1"/>
  <c r="G107" i="21" s="1"/>
  <c r="G108" i="21" s="1"/>
  <c r="G109" i="21" s="1"/>
  <c r="G110" i="21" s="1"/>
  <c r="G111" i="21" s="1"/>
  <c r="G112" i="21" s="1"/>
  <c r="G113" i="21" s="1"/>
  <c r="G114" i="21" s="1"/>
  <c r="G115" i="21" s="1"/>
  <c r="G116" i="21" s="1"/>
  <c r="G130" i="6" l="1"/>
  <c r="G121" i="5"/>
  <c r="G122" i="5" s="1"/>
  <c r="G123" i="5" s="1"/>
  <c r="G124" i="5" s="1"/>
  <c r="G125" i="5" s="1"/>
  <c r="G126" i="5" s="1"/>
  <c r="G127" i="5" l="1"/>
  <c r="G128" i="5" s="1"/>
  <c r="G129" i="5" s="1"/>
  <c r="G130" i="5" s="1"/>
  <c r="G131" i="5" s="1"/>
  <c r="G132" i="5" s="1"/>
  <c r="G133" i="5" s="1"/>
  <c r="G134" i="5" s="1"/>
  <c r="G135" i="5" s="1"/>
  <c r="G136" i="5" s="1"/>
  <c r="G137" i="5" s="1"/>
  <c r="G138" i="5" s="1"/>
  <c r="G139" i="5" s="1"/>
  <c r="G140" i="5" s="1"/>
  <c r="G141" i="5" s="1"/>
  <c r="G142" i="5" s="1"/>
  <c r="G143" i="5" s="1"/>
  <c r="G144" i="5" s="1"/>
  <c r="G145" i="5" s="1"/>
  <c r="G146" i="5" s="1"/>
  <c r="G147" i="5" s="1"/>
  <c r="G148" i="5" s="1"/>
  <c r="G149" i="5" s="1"/>
  <c r="G150" i="5" s="1"/>
  <c r="G151" i="5" s="1"/>
  <c r="G152" i="5" s="1"/>
  <c r="G153" i="5" s="1"/>
  <c r="G154" i="5" s="1"/>
  <c r="G155" i="5" s="1"/>
</calcChain>
</file>

<file path=xl/sharedStrings.xml><?xml version="1.0" encoding="utf-8"?>
<sst xmlns="http://schemas.openxmlformats.org/spreadsheetml/2006/main" count="1839" uniqueCount="732">
  <si>
    <t>BUKU KAS UMUM</t>
  </si>
  <si>
    <t>BENDAHARA PENGELUARAN</t>
  </si>
  <si>
    <t>SKPD</t>
  </si>
  <si>
    <t>No</t>
  </si>
  <si>
    <t>Tanggal</t>
  </si>
  <si>
    <t>Uraian</t>
  </si>
  <si>
    <t>Kode Rekening</t>
  </si>
  <si>
    <t xml:space="preserve"> Penerimaan </t>
  </si>
  <si>
    <t xml:space="preserve"> Pengeluaran </t>
  </si>
  <si>
    <t xml:space="preserve"> SALDO </t>
  </si>
  <si>
    <t>Saldo Bulan Lalu</t>
  </si>
  <si>
    <t xml:space="preserve">Gaji Pokok </t>
  </si>
  <si>
    <t>Tunjangan Keluarga</t>
  </si>
  <si>
    <t>Tunjangan Perb Penghasilan</t>
  </si>
  <si>
    <t>Tunjangan Jabatan Struktural</t>
  </si>
  <si>
    <t>Tunjangan Fungsional</t>
  </si>
  <si>
    <t>Tunjangan Fungsional Umum</t>
  </si>
  <si>
    <t>BPJS Kes 4 %</t>
  </si>
  <si>
    <t>Tunjangan Beras</t>
  </si>
  <si>
    <t>Tunjangan Kemahalan Daerah</t>
  </si>
  <si>
    <t>Tunjangan Daerah Terpencil</t>
  </si>
  <si>
    <t>Tunjangan Khusus Pajak pasal 21</t>
  </si>
  <si>
    <t>Iuran Askes</t>
  </si>
  <si>
    <t>JKK</t>
  </si>
  <si>
    <t>JKM</t>
  </si>
  <si>
    <t>Pembulatan Gaji</t>
  </si>
  <si>
    <t>Pemotongan Langsung BUD/Bank</t>
  </si>
  <si>
    <t xml:space="preserve"> </t>
  </si>
  <si>
    <t>PPH Pasal 21</t>
  </si>
  <si>
    <t>Taperum</t>
  </si>
  <si>
    <t>Potongan Perumahan</t>
  </si>
  <si>
    <t>Potongan Bulog</t>
  </si>
  <si>
    <t>Potongan sewa rumah</t>
  </si>
  <si>
    <t>Potongan JKK</t>
  </si>
  <si>
    <t>Potongan JKM</t>
  </si>
  <si>
    <t>Potongan Tapera PK</t>
  </si>
  <si>
    <t>Potongan Tapera Pegawai</t>
  </si>
  <si>
    <t>PU Bank dengan Nomor Cek</t>
  </si>
  <si>
    <t xml:space="preserve">   </t>
  </si>
  <si>
    <t>PU Bank Ke Kas Tunai</t>
  </si>
  <si>
    <t>Jumlah sampai bulan lalu</t>
  </si>
  <si>
    <t>Jumlah Semua</t>
  </si>
  <si>
    <t>a</t>
  </si>
  <si>
    <t>Tunai</t>
  </si>
  <si>
    <t>b</t>
  </si>
  <si>
    <t>Saldo bank</t>
  </si>
  <si>
    <t xml:space="preserve">Jumlah </t>
  </si>
  <si>
    <t>Bendahara Pengeluaran</t>
  </si>
  <si>
    <t>Iuran Wajib Pegawai 8%</t>
  </si>
  <si>
    <t>Iuran Wajib Pegawai 1%</t>
  </si>
  <si>
    <t>5.1.01.01.01.0001</t>
  </si>
  <si>
    <t>5.1.01.01.02.0001</t>
  </si>
  <si>
    <t>5.1.01.01.03.0001</t>
  </si>
  <si>
    <t>5.1.01.01.04.0001</t>
  </si>
  <si>
    <t>5.1.01.01.05.0001</t>
  </si>
  <si>
    <t>5.1.01.01.09.0001</t>
  </si>
  <si>
    <t>5.1.01.01.06.0001</t>
  </si>
  <si>
    <t>5.1.01.01.07.0001</t>
  </si>
  <si>
    <t>5.1.01.01.11.0001</t>
  </si>
  <si>
    <t>5.1.01.01.10.0001</t>
  </si>
  <si>
    <t>5.1.01.01.08.0001</t>
  </si>
  <si>
    <t xml:space="preserve">           Pengguna Anggaran,</t>
  </si>
  <si>
    <t>NOV</t>
  </si>
  <si>
    <t>Potongan Lain-lain</t>
  </si>
  <si>
    <t>CHARLES HERMANA WERU,S.Sos</t>
  </si>
  <si>
    <t>NIP. 19721102 200112 1 001</t>
  </si>
  <si>
    <t>06-01-2026</t>
  </si>
  <si>
    <t>Gaji Bulan Januari 2026</t>
  </si>
  <si>
    <t>Penerimaan SP2D No : 53.12/04.0/000001/LS/5.01.5.05.0.00.25.0000/M/1/2026</t>
  </si>
  <si>
    <t>ARVIANI ASIA PAULINA KORE</t>
  </si>
  <si>
    <t xml:space="preserve">       NIP. 19900813 202521 2 030</t>
  </si>
  <si>
    <t xml:space="preserve"> Waikabubak, 30 Januari 2026</t>
  </si>
  <si>
    <t>Bayar Kepada Charles Hermana Weru S.Sos, dkk</t>
  </si>
  <si>
    <t>Penerimaan SP2D No : 53.12/04.0/000002/UP/5.01.5.05.0.00.25.0000/M/1/2026</t>
  </si>
  <si>
    <t>12-01-2026</t>
  </si>
  <si>
    <t>20-01-2026</t>
  </si>
  <si>
    <t>Penerimaan SP2D No : 53.12/04.0/000003/LS/5.01.5.05.0.00.25.0000/M/1/2026</t>
  </si>
  <si>
    <t>Penerimaan SP2D No : 53.12/04.0/000004/LS/5.01.5.05.0.00.25.0000/M/1/2026</t>
  </si>
  <si>
    <t>Penerimaan SP2D No : 53.12/04.0/000005/LS/5.01.5.05.0.00.25.0000/M/1/2026</t>
  </si>
  <si>
    <t>Penerimaan SP2D No : 53.12/04.0/000006/LS/5.01.5.05.0.00.25.0000/M/1/2026</t>
  </si>
  <si>
    <t>Penerimaan SP2D No : 53.12/04.0/000007/LS/5.01.5.05.0.00.25.0000/M/1/2026</t>
  </si>
  <si>
    <t>Penerimaan SP2D No : 53.12/04.0/00008/LS/5.01.5.05.0.00.25.0000/M/1/2026</t>
  </si>
  <si>
    <t>Bayar biaya belanja lembur penyusunan dokumen Lakip dari kegiatan Koordinasi Penyusunnn Laporan Capian Kinerja dan Ikhtisar Reliasasi Kinerja SKPD Tahun Anggaran 2026 Kepada Yahya Antosari Story,S.IP,dkk</t>
  </si>
  <si>
    <t>5.01.01.2.01.06.5.1.02.01.01.0071</t>
  </si>
  <si>
    <t>Bayar Honorarium Penyuluh atau Pendamping Bulan Januari 2026 dari sub Kegiatan Monitoring, evaluasi dan Penyusunan Laporan Berkala Pelaksanaan Pembangunan Daerah Tahun Anggaran 2026 Kepada Elvira,dkk</t>
  </si>
  <si>
    <t>5.01.02.2.03.03.5.1.02.02.01.00039</t>
  </si>
  <si>
    <t>Bayar biaya belanja lembur dalam rangka penginputan data hasil musrenbang desa/kelurahan pada SIPD RI dari kegiatan Asistensi Penyusunan Dokumen Perencanaan Pembangunan Perangkat Daerah Bidang Pembangunan Manusia Tahun Anggaran 2026 Kepada Fika Martiana,SE,dkk</t>
  </si>
  <si>
    <t>5.01.03.2.01.06.5.1.02.01.01.0071</t>
  </si>
  <si>
    <t>Bayar biaya belanja lembur penyiapan bahan koordinasi musrenbang kecamatan dari kegiatan Penyiapan Bahan Koordinasi Musrenbang Kecamatan  Tahun Anggaran 2026 Kepada Charles Hermana Weru,S.Sos,dkk</t>
  </si>
  <si>
    <t>5.01.02.2.01.06.5.1.02.04.01.0071</t>
  </si>
  <si>
    <t>5.01.03.2.02.02.5.1.02.01.01.0071</t>
  </si>
  <si>
    <t>Bayar biaya belanja lembur penyusunan dokumen rencana kerja pemerintah daerah untuk kegiatan koordinasi dokumen RKPD bidang Ekonomi dari kegiatan Asistensi Penyusunan Dokumen Perencanaan Pembangunan Perangkat Daerah Bidang Perekonomian  Tahun Anggaran 2026 Kepada Alvian Z. T. Kosi, S.Pt,dkk</t>
  </si>
  <si>
    <t>5.01.03.2.02.03.5.1.02.01.01.0071</t>
  </si>
  <si>
    <t>Bayar biaya belanja lembur penyusunan data hasil musrenbang desa/kelurahan program prioritas bidang pembangunan ekonomi dari kegiatan Pelaksanaan Monitoring dan Evaluasi Penyusunan Dokumen Perencanaan Pembangunan Daerah Bidang Perekonomian Tahun Anggaran 2026 Kepada Alvian Z. T. Kosi,S.Pt,dkk</t>
  </si>
  <si>
    <t>13-01-2026</t>
  </si>
  <si>
    <t>5.01.01.2.01.06.5.1.02.01.01.0024</t>
  </si>
  <si>
    <t>5.01.01.2.01.06.5.1.02.01.01.0025</t>
  </si>
  <si>
    <t>5.01.01.2.01.06.5.1.02.01.01.0026</t>
  </si>
  <si>
    <t>5.01.01.2.01.06.5.1.02.01.01.0029</t>
  </si>
  <si>
    <t>15-01-2026</t>
  </si>
  <si>
    <t>5.01.01.2.01.06.5.1.02.01.01.0054</t>
  </si>
  <si>
    <t>5.01.01.2.06.05.5.1.01.01.0026</t>
  </si>
  <si>
    <t>5.01.01.2.06.0009.5.1.02.04.01.0001</t>
  </si>
  <si>
    <t>5.01.01.2.06.10.5.1.02.01.01.0024</t>
  </si>
  <si>
    <t>5.01.01.2.06.10.5.1.02.01.01.0025</t>
  </si>
  <si>
    <t>5.01.01.2.06.10.5.1.02.01.01.0029</t>
  </si>
  <si>
    <t>5.01.01.2.08.0002.5.1.02.02.01.0063</t>
  </si>
  <si>
    <t>Bayar Biaya Belanja Alat/Bahan umtuk kegiatan kantor - Kertas dan Cover dari sub kegiatan Koordinasi dan Penyusunan Laporan Capaian Kinerja dan Ikhtisar Realisasi Kinerja SKPD Tahun Anggaran 2026 kepada Fotocopy, ATK AQIL JAYA An. Kasmun Susanto. (GU 1)</t>
  </si>
  <si>
    <t>Bayar Biaya Belanja Alat/Bahan umtuk kegiatan kantor - Alat Tulis Kantor dari sub kegiatan Koordinasi dan Penyusunan Laporan Capaian Kinerja dan Ikhtisar Realisasi Kinerja SKPD Tahun Anggaran 2026 kepada Fotocopy, ATK AQIL JAYA An. Kasmun Susanto. (GU 1 )</t>
  </si>
  <si>
    <t>Bayar Biaya Belanja Alat/Bahan umtuk kegiatan kantor - Bahan Cetak dari sub kegiatan Koordinasi dan Penyusunan Laporan Capaian Kinerja dan Ikhtisar Realisasi Kinerja SKPD Tahun Anggaran 2026 kepada Fotocopy, ATK AQIL JAYA An. Kasmun Susanto. (GU 1)</t>
  </si>
  <si>
    <t>Bayar Biaya Belanja Alat/Bahan umtuk kegiatan kantor - Bahan Komputer dari sub kegiatan Koordinasi dan Penyusunan Laporan Capaian Kinerja dan Ikhtisar Realisasi Kinerja SKPD Tahun Anggaran 2026 kepada Fotocopy, ATK AQIL JAYA An. Kasmun Susanto. (GU 1)</t>
  </si>
  <si>
    <t>Bayar Biaya Belanja Alat/Bahan umtuk kegiatan kantor - Bahan Cetak dari sub kegiatan Penyediaan Barang Cetakan dan Penggandaan  Tahun Anggaran 2026 kepada Fotocopy, ATK AQIL JAYA An. Kasmun Susanto. (GU 1)</t>
  </si>
  <si>
    <t>Bayar Biaya Belanja Alat/Bahan umtuk kegiatan kantor - Bahan Cetak dari sub kegiatan Penyediaan Barang Cetakan dan Penggandaan  Tahun Anggaran 2026 kepada Fotocopy PALAXXI  An. J. Wanto Sapulete (GU 1)</t>
  </si>
  <si>
    <t>Bayar Biaya Perjalanan Dinas Luar Daerah Kepada Charles Hermana Weru,S.Sos dalam rangka mengikuti Rapat Koordinasi Nasional Sinergi Pelaksanaan Program dan Kegiatan Urusan Pemerintahan Umum di Daerah Guna Mendukung Pelaksanaan Program Prioritas Presiden dan Asta Cita di Jakarta selama 4 Hari dari Sub Kegiatan Penyelennggaraan Rapat Koordinasi dan Konsultasi SKPD Tahun Anggaran 2026.( GU 1)</t>
  </si>
  <si>
    <t>Bayar Biaya Belanja Alat/Bahan umtuk kegiatan kantor -Alat Tulis Kantor dari sub kegiatan  Penatausahaan Arsip Dinamis pada SKPD  Tahun Anggaran 2026 kepada Toko Sumber Baru An. Sunarto Limoa  ( GU 1)</t>
  </si>
  <si>
    <t>Bayar Biaya Belanja Alat/Bahan umtuk kegiatan kantor - Kertas dan Cover dari sub kegiatan  Penatausahaan Arsip Dinamis pada SKPD  Tahun Anggaran 2026 kepada Toko Sumber Baru An. Sunarto Limoa  (GU 1)</t>
  </si>
  <si>
    <t>Bayar Biaya Belanja Alat/Bahan umtuk kegiatan kantor - Bahan Komputer dari sub kegiatan  Penatausahaan Arsip Dinamis pada SKPD  Tahun Anggaran 2026 kepada Toko Sumber Baru An. Sunarto Limoa  (GU 1)</t>
  </si>
  <si>
    <r>
      <t xml:space="preserve">Bayar Biaya Belanja Kawat/Faksimili/Internet/TV Berlangganan (Internet) untuk Bulan Januari Tahun 2026 </t>
    </r>
    <r>
      <rPr>
        <b/>
        <sz val="10"/>
        <rFont val="Times New Roman"/>
        <family val="1"/>
      </rPr>
      <t>@</t>
    </r>
    <r>
      <rPr>
        <sz val="10"/>
        <rFont val="Times New Roman"/>
        <family val="1"/>
      </rPr>
      <t>Rp. 615.000 x 5 Bidang, dari Sub Kegiatan Penyediaan Jasa Komunikasi, Sumber Daya Air dan Listrik TA.2026(PAD), An. Telkom Sumba Barat  (GU 1)</t>
    </r>
  </si>
  <si>
    <t>Bayar Biaya Belanja Alat/Bahan untuk kegiatan kantor - Perabot Kantor dari sub kegiatan  Penyediaan Jasa Pelayanan Umum Kantor  Tahun Anggaran 2026 kepada Toko Sumber Baru An. Sunarto Limoa  (GU 1)</t>
  </si>
  <si>
    <t>5.01.01.2.08.04.5.1.02.01.01.0030</t>
  </si>
  <si>
    <t>Bayar Biaya Belanja Penambah Daya Tahan Tubuh ( Makan Minum Harian Pegawai ) intuk Bulan Januari 2026 dari sub kegiatan  Penyediaan Jasa Pelayanan Umum Kantor  Tahun Anggaran 2026 kepada Kantin Dassa Elu An. Paulina B. Deki ( GU 1)</t>
  </si>
  <si>
    <t>5.01.01.2.08.04.5.1.02.01.01.0054</t>
  </si>
  <si>
    <t>5.01.01.2.09.01.5.1.02.01.01.0004</t>
  </si>
  <si>
    <t>Bayar Biaya Belanja Bahan-Bahan Bakar dan Pelumas untuk kendaraan Dinas roda empat ED.1056.WB dan ED.8045.WB, dari Sub Kegiatan Penyediaan Jasa Pemeliharaan, Biaya Pemeliharaan dan Pajak Kendaraan Perorangan Dinas atau Kendaraan Dinas Jabatan TA.2026(PAD), An. Maria B. A. Bili (GU 1)</t>
  </si>
  <si>
    <t>Bayar Biaya Belanja Bahan-Bahan Bakar dan Pelumas untuk kendaraan Dinas roda empat ED.1056.WB dan ED.8045.WB, dari Sub Kegiatan Penyediaan Jasa Pemeliharaan, Biaya Pemeliharaan dan Pajak Kendaraan Perorangan Dinas atau Kendaraan Dinas Jabatan TA.2026(PAD), An. Agustinus M D (GU 1)</t>
  </si>
  <si>
    <t>5.01.01.2.09.01.5.1.02.01.01.0038</t>
  </si>
  <si>
    <t>Bayar Biaya Belanja Pemeliharaan Alat Angkutan - Alat Angkutan Darat Bermotor - Kendaraan Bermotor Beroda Dua, dari Sub Kegiatan Penyediaan Jasa Pemeliharaan, Biaya Pemeliharaan dan Pajak Kendaraan Perorangan Dinas atau Kendaraan Dinas Jabatan TA.2026(PAD), An. M. Iksan(GU 1)</t>
  </si>
  <si>
    <t>Bayar Biaya Belanja Pemeliharaan Alat Angkutan - Alat Angkutan Darat Bermotor - Kendaraan Bermotor Beroda Dua, dari Sub Kegiatan Penyediaan Jasa Pemeliharaan, Biaya Pemeliharaan dan Pajak Kendaraan Perorangan Dinas atau Kendaraan Dinas Jabatan TA.2026(PAD), An. Zulfikar Tariq (GU 1)</t>
  </si>
  <si>
    <t>14-01-2026</t>
  </si>
  <si>
    <t>Bayar Biaya Belanja Pemeliharaan Alat Angkutan - Alat Angkutan Darat Bermotor - Kendaraan Bermotor Beroda Dua, dari Sub Kegiatan Penyediaan Jasa Pemeliharaan, Biaya Pemeliharaan dan Pajak Kendaraan Perorangan Dinas atau Kendaraan Dinas Jabatan TA.2026(PAD), An. Ali (GU 1)</t>
  </si>
  <si>
    <t>5.01.02.2.01.06.5.1.02.01.01.0024</t>
  </si>
  <si>
    <t>Bayar Biaya Belanja Alat/Bahan umtuk kegiatan kantor -Alat Tulis Kantor dari sub kegiatan  Penyiapan Bahan Koordinasi Musrenbang Kecamatan  Tahun Anggaran 2026 kepada Relasido An. Iddhyariesta Dadhona  ( GU 1)</t>
  </si>
  <si>
    <t>5.01.02.2.01.06.5.1.02.01.01.0025</t>
  </si>
  <si>
    <t>5.01.02.2.01.06.5.1.02.01.01.0026</t>
  </si>
  <si>
    <t>5.01.02.2.01.06.5.1.02.01.01.0029</t>
  </si>
  <si>
    <t>Bayar Biaya Belanja Alat/Bahan umtuk kegiatan kantor -Kertas dan Cover dari sub kegiatan  Penyiapan Bahan Koordinasi Musrenbang Kecamatan  Tahun Anggaran 2026 kepada Relasido An. Iddhyariesta Dadhona  ( GU 1)</t>
  </si>
  <si>
    <t>Bayar Biaya Belanja Alat/Bahan umtuk kegiatan kantor - Bahan Cetak dari sub kegiatan  Penyiapan Bahan Koordinasi Musrenbang Kecamatan  Tahun Anggaran 2026 kepada Relasido An. Iddhyariesta Dadhona  ( GU 1)</t>
  </si>
  <si>
    <t>Bayar Biaya Belanja Alat/Bahan umtuk kegiatan kantor - Bahan Komputer dari sub kegiatan  Penyiapan Bahan Koordinasi Musrenbang Kecamatan  Tahun Anggaran 2026 kepada Relasido An. Iddhyariesta Dadhona  ( GU 1)</t>
  </si>
  <si>
    <t>5.01.02.2.01.06.5.1.02.01.01.0052</t>
  </si>
  <si>
    <t>Bayar Biaya Belanja Makanan dan Minuman Rapat Persiapan Pelaksanaan Musrenbang Kecamatan  dari sub kegiatan  Penyiapan Bahan Koordinasi Musrenbang Kecamatan  Tahun Anggaran 2026 kepada Catering Kenyang Dulu An. Claradisha H Dade  ( GU 1)</t>
  </si>
  <si>
    <t>Bayar Biaya Belanja Alat/Bahan umtuk kegiatan kantor - Alat Tulis Kantor dari sub kegiatan Asistensi Penyusunan Dokumen Perencanaan Pembangunan Daerah Bidang Perekonomian Tahun Anggaran 2026 kepada Fotocopy PALAXXI  An. J. Wanto Sapulete (GU 1)</t>
  </si>
  <si>
    <t>5.01.03.2.02.02.5.1.02.01.01.0024</t>
  </si>
  <si>
    <t>5.01.03.2.02.02.5.1.02.01.01.0025</t>
  </si>
  <si>
    <t>Bayar Biaya Belanja Alat/Bahan umtuk kegiatan kantor - Kertas dan Cover dari sub kegiatan Asistensi Penyusunan Dokumen Perencanaan Pembangunan Daerah Bidang Perekonomian Tahun Anggaran 2026 kepada Fotocopy PALAXXI  An. J. Wanto Sapulete (GU 1)</t>
  </si>
  <si>
    <t>Bayar Biaya Belanja Alat/Bahan umtuk kegiatan kantor - Bahan Cetak dari sub kegiatan Asistensi Penyusunan Dokumen Perencanaan Pembangunan Daerah Bidang Perekonomian Tahun Anggaran 2026 kepada Fotocopy PALAXXI  An. J. Wanto Sapulete (GU 1)</t>
  </si>
  <si>
    <t>5.01.03.2.02.02.5.1.02.01.01.0026</t>
  </si>
  <si>
    <t>5.01.03.2.02.02.5.1.02.01.01.0029</t>
  </si>
  <si>
    <t>Bayar Biaya Belanja Alat/Bahan umtuk kegiatan kantor - Bahan Komputer dari sub kegiatan Asistensi Penyusunan Dokumen Perencanaan Pembangunan Daerah Bidang Perekonomian Tahun Anggaran 2026 kepada Fotocopy PALAXXI  An. J. Wanto Sapulete (GU 1)</t>
  </si>
  <si>
    <t>Bayar Biaya Belanja Alat/Bahan umtuk kegiatan kantor - Alat Tulis Kantor dari sub kegiatan Monitoring dan Evaluasi Penyusunan Dokumen Perencanaan Pembangunan Daerah Bidang Perekonomian Tahun Anggaran 2026 kepada Fotocopy PALAXXI  An. J. Wanto Sapulete (GU 1)</t>
  </si>
  <si>
    <t>5.01.03.2.02.03.5.1.02.01.01.0024</t>
  </si>
  <si>
    <t>Bayar Biaya Belanja Alat/Bahan umtuk kegiatan kantor - Kertas dan Cover dari sub kegiatan Monitoring dan Evaluasi Penyusunan Dokumen Perencanaan Pembangunan Daerah Bidang Perekonomian Tahun Anggaran 2026 kepada Fotocopy PALAXXI  An. J. Wanto Sapulete (GU 1)</t>
  </si>
  <si>
    <t>5.01.03.2.02.03.5.1.02.01.01.0025</t>
  </si>
  <si>
    <t>Bayar Biaya Belanja Alat/Bahan umtuk kegiatan kantor - Bahan Cetak dari sub kegiatan Monitoring dan Evaluasi Penyusunan Dokumen Perencanaan Pembangunan Daerah Bidang Perekonomian Tahun Anggaran 2026 kepada Fotocopy PALAXXI  An. J. Wanto Sapulete (GU 1)</t>
  </si>
  <si>
    <t>5.01.03.2.02.03.5.1.02.01.01.0026</t>
  </si>
  <si>
    <t>5.01.03.2.02.03.5.1.02.01.01.0029</t>
  </si>
  <si>
    <t>Bayar Biaya Belanja Alat/Bahan umtuk kegiatan kantor - Bahan Komputer dari sub kegiatan Monitoring dan Evaluasi Penyusunan Dokumen Perencanaan Pembangunan Daerah Bidang Perekonomian Tahun Anggaran 2026 kepada Fotocopy PALAXXI  An. J. Wanto Sapulete (GU 1)</t>
  </si>
  <si>
    <t>5.01.03.2.02.03.5.1.02.01.01.0054</t>
  </si>
  <si>
    <t>Bayar Biaya Belanja Penambah Daya Tahan Tubuh ( Makan dan Minuman Lembur kegiatan Monitoring dan Evaluasi kegiatan bidang Ekonomi ) dari sub kegiatan Monitoring dan Evaluasi Penyusunan Dokumen Perencanaan Pembangunan Daerah Bidang Perekonomian Tahun Anggaran 2026 kepada  Catering Dapur Selecta An. Hetty Abdurahman (GU 1)</t>
  </si>
  <si>
    <t>5.01.01.2.09.0002.5.1.02.01.01.0035</t>
  </si>
  <si>
    <t>Bayar Biaya Belanja Pemeliharaan Alat Angkutan - Alat Angkutan Darat Bermotor Kendaraan Dinas Bermotor Perorangan Mobil Kaban (ED 8045 WB), dari Sub Kegiatan Penyediaan Jasa Pemeliharaan, Biaya Pemeliharaan dan Pajak Kendaraan Dinas Operasional atau Lapangan TA.2026(PAD), An. M Iksan</t>
  </si>
  <si>
    <t xml:space="preserve">Pada hari ini Jumat Tanggal Tiga Puluh  Bulan  Januari Tahun Dua Ribu Dua Puluh Enam telah melaksanakan opname kas pada perangkat Daerah  </t>
  </si>
  <si>
    <t>5.01.01.2.06.10.5.1.02.01.01.0026</t>
  </si>
  <si>
    <t>Bayar Biaya Belanja Alat/Bahan umtuk kegiatan kantor - Bahan Cetak dari sub kegiatan  Penatausahaan Arsip Dinamis pada SKPD  Tahun Anggaran 2026 kepada Fotocopy Aqil Jaya An. Kasmun Susanto  (GU 1)</t>
  </si>
  <si>
    <t>22-01-2026</t>
  </si>
  <si>
    <t xml:space="preserve"> : BAPPERIDA Kabupaten Sumba Barat</t>
  </si>
  <si>
    <t>Penerimaan SP2D No: 53.12/04.0/000009/GU/5.01.5.05.0.00.25.0000/M/1/2026</t>
  </si>
  <si>
    <t>23-01-2026</t>
  </si>
  <si>
    <r>
      <t xml:space="preserve">BAPPERIDA  dan kas di bendahara pengeluaran </t>
    </r>
    <r>
      <rPr>
        <b/>
        <sz val="10"/>
        <rFont val="Times New Roman"/>
        <family val="1"/>
      </rPr>
      <t>Rp. 83.422.200</t>
    </r>
    <r>
      <rPr>
        <sz val="10"/>
        <rFont val="Times New Roman"/>
        <family val="1"/>
      </rPr>
      <t xml:space="preserve">  yang terdiri dari :</t>
    </r>
  </si>
  <si>
    <t>Bayar Biaya Belanja Penambah Daya Tahan Tubuh dalam rangka Lembur Penyusunan Dokumen Lakip,LPPD, ANJAB/ABK dan PK dari Sub Kegiatan Koordinasi dan Penyusunan Laporan Capaian Kinerja dan Ikhtisar Realisasi Kinerja SKPD Tahun Anggaran 2026 kepada Catering Dapur Selecta An. Hetty Abdurahman (GU 1)</t>
  </si>
  <si>
    <t>29-01-2026</t>
  </si>
  <si>
    <t>Penerima SP2D No: 53.12/04.0/000010/LS/5.01.5.05.0.00.25.0000/M/1/2026</t>
  </si>
  <si>
    <t>Penerima SP2D No: 53.12/04.0/000011/LS/5.01.5.05.0.00.25.0000/M/1/2026</t>
  </si>
  <si>
    <t>Penerima SP2D No: 53.12/04.0/000012/LS/5.01.5.05.0.00.25.0000/M/1/2026</t>
  </si>
  <si>
    <t xml:space="preserve">Bayar biaya perjalanan dinas dalam daerah dalam rangka persiapan pelaksanaan Musrenbang Kecamatan di Kecamatan Loli dari Sub Kegiatan Penyiapan Bahan Koordinasi Musrenbang Kecamatan Tahun Anggaran 2026 Kepada Charles H. Weru,S.Sos, dkk </t>
  </si>
  <si>
    <t>5.01.02.2.01.006.5.1.02.04.001.00003</t>
  </si>
  <si>
    <t xml:space="preserve">Bayar biaya perjalanan dinas dalam daerah dalam rangka persiapan pelaksanaan Musrenbang Kecamatan di Kecamatan Wanukaka dari Sub Kegiatan Penyiapan Bahan Koordinasi Musrenbang Kecamatan Tahun Anggaran 2026 Kepada Charles H. Weru,S.Sos, dkk </t>
  </si>
  <si>
    <t xml:space="preserve">Bayar biaya perjalanan dinas dalam daerah dalam rangka persiapan pelaksanaan Musrenbang Kecamatan di Kecamatan Laboya Barat dari Sub Kegiatan Penyiapan Bahan Koordinasi Musrenbang Kecamatan Tahun Anggaran 2026 Kepada Imanuel Moses Kalegotana, dkk </t>
  </si>
  <si>
    <t>Bayar biaya perjalanan dinas dalam daerah dalam rangka Mengikuti Kunjungan Kerja DPRD Kabupaten Sumba Barat Tahun 2026 di Kecamatan Loli dari sub kegiatan Asistensi Penyusunan Dokumen Perencanaan Pembangunan Perangkat Bidang Pembangunan Manusia Tahun Anggaran 2026 kepada Fika Martiana,SE.,dkk</t>
  </si>
  <si>
    <t>5.01.03.2.01.0006.5.1.02.04.001.0003</t>
  </si>
  <si>
    <t>Bayar biaya perjalanan dinas dalam daerah dalam rangka Mengikuti Kunjungan Kerja DPRD Kabupaten Sumba Barat Tahun 2026 di Kecamatan Tana Righu dari sub kegiatan Asistensi Penyusunan Dokumen Perencanaan Pembangunan Perangkat Bidang Pembangunan Manusia Tahun Anggaran 2026 kepada Fika Martiana,SE.,dkk</t>
  </si>
  <si>
    <t>Bayar biaya perjalanan dinas dalam daerah dalam rangka Survey Kelayakan Hasil Musrenbang Kecamatan Bidang Infrastruktur di Kecamatan Loli dari Sub Kegiatan Koordinasi Penyusunan Dokumen Perencanaan Pembangunan Daerah Bidang Infrastruktur (RPJPD,RPJMD dan RKPD) kepada Erlan Poro,dkk</t>
  </si>
  <si>
    <t>5.01.03.2.03.01.5.1.02.04.01.0003</t>
  </si>
  <si>
    <t>Bayar biaya perjalanan dinas dalam daerah dalam rangka Survey Kelayakan Hasil Musrenbang Kecamatan Bidang Infrastruktur di Kecamatan Lamboya dari Sub Kegiatan Koordinasi Penyusunan Dokumen Perencanaan Pembangunan Daerah Bidang Infrastruktur (RPJPD,RPJMD dan RKPD) kepada Erlan Poro,dkk</t>
  </si>
  <si>
    <t>Bayar biaya perjalanan dinas dalam daerah dalam rangka Survey Kelayakan Hasil Musrenbang Kecamatan Bidang Infrastruktur di Kecamatan  Kota Waikabubak  kegiatan Koordinasi Penyusunan Dokumen Perencanaan Pembangunan Daerah Bidang Infrastruktur (RPJPD,RPJMD dan RKPD) kepada Erlan Poro,dkk</t>
  </si>
  <si>
    <t>Bayar biaya perjalanan dinas dalam daerah dalam rangka Survey Kelayakan Hasil Musrenbang Kecamatan Bidang Infrastruktur di Kecamatan Laboya Barat dari Sub Kegiatan Koordinasi Penyusunan Dokumen Perencanaan Pembangunan Daerah Bidang Infrastruktur (RPJPD,RPJMD dan RKPD) kepada Erlan Poro,dkk</t>
  </si>
  <si>
    <t>Bayar biaya perjalanan dinas dalam daerah dalam rangka Survey Kelayakan Hasil Musrenbang Kecamatan Bidang Infrastruktur di Kecamatan Wanukaka dari Sub Kegiatan Koordinasi Penyusunan Dokumen Perencanaan Pembangunan Daerah Bidang Infrastruktur (RPJPD,RPJMD dan RKPD) kepada Erlan Poro,dkk</t>
  </si>
  <si>
    <t>Bayar biaya perjalanan dinas dalam daerah dalam rangka Survey Kelayakan Hasil Musrenbang Kecamatan Bidang Infrastruktur di Kecamatan Tana Righu dari Sub Kegiatan Koordinasi Penyusunan Dokumen Perencanaan Pembangunan Daerah Bidang Infrastruktur (RPJPD,RPJMD dan RKPD) kepada Erlan Poro,dkk</t>
  </si>
  <si>
    <t>02-02-2026</t>
  </si>
  <si>
    <t>03-02-2026</t>
  </si>
  <si>
    <t>Penerimaan SP2D No: 53.12/04.0/000013/LS/5.01.5.05.0.00.25.0000/M/2/2026</t>
  </si>
  <si>
    <t>Gaji Bulan Februari 2026</t>
  </si>
  <si>
    <t xml:space="preserve"> Waikabubak,  27 Februari 2026</t>
  </si>
  <si>
    <t xml:space="preserve">Pada hari ini Jumat Tanggal Dua Puluh Tujuh  Bulan  Februari Tahun Dua Ribu Dua Puluh Enam telah melaksanakan opname kas pada perangkat Daerah  </t>
  </si>
  <si>
    <t>Penerimaan SP2D No : 53.12/04.0/000014/LS/5.01.5.05.0.00.25.0000/M/2/2026</t>
  </si>
  <si>
    <t>Bayar Honorarium Penyuluh atau Pendamping Bulan Februari 2026 dari sub Kegiatan Monitoring, evaluasi dan Penyusunan Laporan Berkala Pelaksanaan Pembangunan Daerah Tahun Anggaran 2026 Kepada Elvira,dkk</t>
  </si>
  <si>
    <t>Penerimaan SP2D No : 53.12/04.0/000015/LS/5.01.5.05.0.00.25.0000/M/2/2026</t>
  </si>
  <si>
    <t>12-02-2026</t>
  </si>
  <si>
    <t>5.05.03.2.02.04.5.1.02.04.01.0003</t>
  </si>
  <si>
    <t>Bayar biaya perjalanan dinas dalam daerah dalam rangka Survey Lokasi KKN Mahasiswa UGM di Kecamatan Wanukaka  Tanggal 14-15 Januari 2026 dari Sub Kegiatan Fasilitasi dan Pembinaan untuk penyelenggaraan dan pengembangan Klaster Inovasi Berbasis Produk Unggulan Daerah-daerah/atau Mengatasi Permasalahan Daerah Tahun Anggaran 2026 kepada Yahya A. Story,S.IP,dkk</t>
  </si>
  <si>
    <t>Bayar biaya perjalanan dinas dalam daerah dalam rangka Survey Lokasi KKN Mahasiswa UGM di Kecamatan Tana Righu Tanggal 19 - 20 Januari 2026  dari Sub Kegiatan Fasilitasi dan Pembinaan untuk penyelenggaraan dan pengembangan Klaster Inovasi Berbasis Produk Unggulan Daerah-daerah/atau Mengatasi Permasalahan Daerah Tahun Anggaran 2026 kepada Yahya A. Story,S.IP,dkk</t>
  </si>
  <si>
    <t>Bayar biaya perjalanan dinas dalam daerah dalam rangka Survey Lokasi KKN Mahasiswa UGM di Kecamatan Laboya Barat Tanggal 12 - 13 Januari 2026  dari Sub Kegiatan Fasilitasi dan Pembinaan untuk penyelenggaraan dan pengembangan Klaster Inovasi Berbasis Produk Unggulan Daerah-daerah/atau Mengatasi Permasalahan Daerah Tahun Anggaran 2026 kepada Yahya A. Story,S.IP,dkk</t>
  </si>
  <si>
    <t>Penerimaan SP2D No : 53.12/04.0/000016/LS/5.01.5.05.0.00.25.0000/M/2/2026</t>
  </si>
  <si>
    <t>13-02-2026</t>
  </si>
  <si>
    <t>Penerimaan SP2D No : 53.12/04.0/000017/LS/5.01.5.05.0.00.25.0000/M/2/2026</t>
  </si>
  <si>
    <t>5.01.03.2.01.0006.5.1.02.04.01.0003</t>
  </si>
  <si>
    <t>5.01.03.2.01.0002.5.1.02.04.01.0003</t>
  </si>
  <si>
    <t>18-02-2026</t>
  </si>
  <si>
    <t>Penerimaan SP2D No : 53.12/04.0/000019/LS/5.01.5.05.0.00.25.0000/M/2/2026</t>
  </si>
  <si>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Laboya Barat selama 2 hari </t>
    </r>
    <r>
      <rPr>
        <sz val="10"/>
        <color rgb="FF000000"/>
        <rFont val="Times New Roman"/>
        <family val="1"/>
      </rPr>
      <t xml:space="preserve"> sesuai SPT Nomor: BP4D.011.7/38/ST/01/2026 Tanggal 26 Januari 2026 dan SPD Nomor: 221-223/SPPD/2026 Tanggal 26 - 27 Januari 2026 kepada Angela Sujanuarti,dkk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</si>
  <si>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Wanukaka selama 2 hari </t>
    </r>
    <r>
      <rPr>
        <sz val="10"/>
        <color rgb="FF000000"/>
        <rFont val="Times New Roman"/>
        <family val="1"/>
      </rPr>
      <t xml:space="preserve"> sesuai SPT Nomor: BP4D.011.7/55/ST/02/2026 Tanggal 02 Februari  2026 dan SPD Nomor: 339-341/SPPD/2026 Tanggal 02 - 03 Februari  2026 kepada Caesar Calveru El Rambi,S.Ars,dkk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</si>
  <si>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Tana Righu selama 2 hari </t>
    </r>
    <r>
      <rPr>
        <sz val="10"/>
        <color rgb="FF000000"/>
        <rFont val="Times New Roman"/>
        <family val="1"/>
      </rPr>
      <t xml:space="preserve"> sesuai SPT Nomor: BP4D.011.7/58.a/ST/02/2026 Tanggal 04 Februari  2026 dan SPD Nomor: 365-367/SPPD/2026 Tanggal 04 - 05 Februari  2026 kepada Angela Sujanuarti,dkk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</si>
  <si>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Lamboya selama 1 hari </t>
    </r>
    <r>
      <rPr>
        <sz val="10"/>
        <color rgb="FF000000"/>
        <rFont val="Times New Roman"/>
        <family val="1"/>
      </rPr>
      <t xml:space="preserve"> sesuai SPT Nomor: BP4D.011.7/68/ST/02/2026 Tanggal 06 Februari  2026 dan SPD Nomor: 444-446/SPPD/2026 Tanggal 06 Februari  2026 kepada Angela Sujanuarti,dkk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</si>
  <si>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Loli  selama 2 hari </t>
    </r>
    <r>
      <rPr>
        <sz val="10"/>
        <color rgb="FF000000"/>
        <rFont val="Times New Roman"/>
        <family val="1"/>
      </rPr>
      <t xml:space="preserve"> sesuai SPT Nomor: BP4D.011.7/74/ST/02/2026 Tanggal 09 Februari  2026 dan SPD Nomor: 486-487/SPPD/2026 Tanggal 09-10 Februari  2026 kepada Caesar Calveru El Rambi,S.Ars,dkk</t>
    </r>
  </si>
  <si>
    <t>Penerimaan SP2D No : 53.12/04.0/000018/LS/5.01.5.05.0.00.25.0000/M/2/2026</t>
  </si>
  <si>
    <r>
      <t xml:space="preserve">Bayar biaya perjalanan dinas dalam daerah dalam rangka Survey Kelayakan Hasil Musrenbang Desa  Tahun Anggaran 2026 di Kecamatan </t>
    </r>
    <r>
      <rPr>
        <b/>
        <sz val="10"/>
        <color rgb="FF000000"/>
        <rFont val="Times New Roman"/>
        <family val="1"/>
      </rPr>
      <t xml:space="preserve"> Wanukaka 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BP4D.011.7/40/ST/01/2026 Tanggal 28 Januari 2026 dan SPD Nomor: 236-243/SPPD/2026 Tanggal 28 Januari 2026 kepada Jackson Ubulele Dade,SE.,M.Acc,dkk</t>
    </r>
  </si>
  <si>
    <t>5.01.02.2.01.0006.5.1.02.04.001.0003</t>
  </si>
  <si>
    <r>
      <t xml:space="preserve">Bayar biaya perjalanan dinas dalam daerah dalam rangka Survey Kelayakan Hasil Musrenbang Desa  Tahun Anggaran 2026 di Kecamatan </t>
    </r>
    <r>
      <rPr>
        <b/>
        <sz val="10"/>
        <color rgb="FF000000"/>
        <rFont val="Times New Roman"/>
        <family val="1"/>
      </rPr>
      <t>Loli</t>
    </r>
    <r>
      <rPr>
        <sz val="10"/>
        <color rgb="FF000000"/>
        <rFont val="Times New Roman"/>
        <family val="1"/>
      </rPr>
      <t xml:space="preserve"> </t>
    </r>
    <r>
      <rPr>
        <b/>
        <sz val="10"/>
        <color rgb="FF000000"/>
        <rFont val="Times New Roman"/>
        <family val="1"/>
      </rPr>
      <t xml:space="preserve">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BP4D.011.7/45/ST/01/2026 Tanggal 29 Januari 2026 dan SPD Nomor: 272-279/SPPD/2026 Tanggal 29 Januari 2026 kepada Jackson Ubulele Dade,SE.,M.Acc,dkk</t>
    </r>
  </si>
  <si>
    <r>
      <t xml:space="preserve">Bayar biaya perjalanan dinas dalam daerah dalam rangka Survey Kelayakan Hasil Musrenbang Desa  Tahun Anggaran 2026 di Kecamatan </t>
    </r>
    <r>
      <rPr>
        <b/>
        <sz val="10"/>
        <color rgb="FF000000"/>
        <rFont val="Times New Roman"/>
        <family val="1"/>
      </rPr>
      <t xml:space="preserve">Tana Righu 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BP4D.011.7/49/ST/01/2026 Tanggal 30 Januari 2026 dan SPD Nomor: 294-301/SPPD/2026 Tanggal 30 Januari 2026 kepada Jackson Ubulele Dade,SE.,M.Acc,dkk</t>
    </r>
  </si>
  <si>
    <r>
      <t xml:space="preserve">Bayar biaya perjalanan dinas dalam daerah dalam rangka Survey Kelayakan Hasil Musrenbang Desa  Tahun Anggaran 2026 di Kecamatan </t>
    </r>
    <r>
      <rPr>
        <b/>
        <sz val="10"/>
        <color rgb="FF000000"/>
        <rFont val="Times New Roman"/>
        <family val="1"/>
      </rPr>
      <t xml:space="preserve">Lamboya 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BP4D.011.7/76/ST/02/2026 Tanggal 12 Februari  2026 dan SPD Nomor: 497-504/SPPD/2026 Tanggal 12 Februari  2026 kepada Jackson Ubulele Dade,SE.,M.Acc,dkk</t>
    </r>
  </si>
  <si>
    <r>
      <t xml:space="preserve">Bayar biaya perjalanan dinas dalam daerah dalam rangka Persiapan Pelaksanaan Musrenbang Kecamatan  di Kecamatan </t>
    </r>
    <r>
      <rPr>
        <b/>
        <sz val="10"/>
        <color rgb="FF000000"/>
        <rFont val="Times New Roman"/>
        <family val="1"/>
      </rPr>
      <t xml:space="preserve">Tana Righu selama 1 hari </t>
    </r>
    <r>
      <rPr>
        <sz val="10"/>
        <color rgb="FF000000"/>
        <rFont val="Times New Roman"/>
        <family val="1"/>
      </rPr>
      <t xml:space="preserve">dari Sub Kegiatan Penyiapan Bahan Koordinasi Musrenbang Kecamatan Tahun Anggaran 2026 </t>
    </r>
    <r>
      <rPr>
        <b/>
        <sz val="10"/>
        <color rgb="FF000000"/>
        <rFont val="Times New Roman"/>
        <family val="1"/>
      </rPr>
      <t xml:space="preserve"> </t>
    </r>
    <r>
      <rPr>
        <sz val="10"/>
        <color rgb="FF000000"/>
        <rFont val="Times New Roman"/>
        <family val="1"/>
      </rPr>
      <t>sesuai SPT Nomor: BP4D.011.7/24/ST/01/2026 Tanggal 20 Januari dan SPT Nomor: BP4D011.7/24/ST/01/2026  dan SPD Nomor: 116-124/SPPD/2026 Tanggal 20 Januari  2026 kepada Charles Hermana Weru.S,Sos,dkk</t>
    </r>
  </si>
  <si>
    <r>
      <t xml:space="preserve">Bayar biaya perjalanan dinas dalam daerah dalam rangka Persiapan Pelaksanaan Musrenbang Kecamatan  di Kecamatan </t>
    </r>
    <r>
      <rPr>
        <b/>
        <sz val="10"/>
        <color rgb="FF000000"/>
        <rFont val="Times New Roman"/>
        <family val="1"/>
      </rPr>
      <t xml:space="preserve">Lamboya selama 1 hari </t>
    </r>
    <r>
      <rPr>
        <sz val="10"/>
        <color rgb="FF000000"/>
        <rFont val="Times New Roman"/>
        <family val="1"/>
      </rPr>
      <t xml:space="preserve">dari Sub Kegiatan Penyiapan Bahan Koordinasi Musrenbang Kecamatan Tahun Anggaran 2026 </t>
    </r>
    <r>
      <rPr>
        <b/>
        <sz val="10"/>
        <color rgb="FF000000"/>
        <rFont val="Times New Roman"/>
        <family val="1"/>
      </rPr>
      <t xml:space="preserve"> </t>
    </r>
    <r>
      <rPr>
        <sz val="10"/>
        <color rgb="FF000000"/>
        <rFont val="Times New Roman"/>
        <family val="1"/>
      </rPr>
      <t>sesuai SPT Nomor: BP4D.011.7/33/ST/01/2026 Tanggal 23 Januari 2026 dan SPD Nomor: 175-184/SPPD/2026 Tanggal 23 Januari  2026 kepada Imanuel Moses Kalegotana,ST.,M.Si,dkk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</si>
  <si>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Wanukaka selama 2 hari</t>
    </r>
    <r>
      <rPr>
        <sz val="10"/>
        <color rgb="FF000000"/>
        <rFont val="Times New Roman"/>
        <family val="1"/>
      </rPr>
      <t xml:space="preserve"> sesuai SPT Nomor: BP4D.011.7/54/ST/02/2026 Tanggal 02 Februari 2026 dan SPD Nomor: 332-336/SPPD/2026 Tanggal 02 -03 Februari 2026,  kepada Binoni Saubaki,ST,dkk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</si>
  <si>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Lamboya</t>
    </r>
    <r>
      <rPr>
        <sz val="10"/>
        <color rgb="FF000000"/>
        <rFont val="Times New Roman"/>
        <family val="1"/>
      </rPr>
      <t xml:space="preserve"> </t>
    </r>
    <r>
      <rPr>
        <b/>
        <sz val="10"/>
        <color rgb="FF000000"/>
        <rFont val="Times New Roman"/>
        <family val="1"/>
      </rPr>
      <t>selama 2 hari</t>
    </r>
    <r>
      <rPr>
        <sz val="10"/>
        <color rgb="FF000000"/>
        <rFont val="Times New Roman"/>
        <family val="1"/>
      </rPr>
      <t xml:space="preserve"> sesuai SPT Nomor: BP4D.011.7/63/ST/02/2026 Tanggal 06 Februari 2026  dan SPD Nomor: 404-408/SPPD/2026 Tanggal 06 -07 Februari 2026,  kepada Binoni Saubaki,ST,dkk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</si>
  <si>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Laboya Barat</t>
    </r>
    <r>
      <rPr>
        <sz val="10"/>
        <color rgb="FF000000"/>
        <rFont val="Times New Roman"/>
        <family val="1"/>
      </rPr>
      <t xml:space="preserve"> selama 2 hari sesuai SPT Nomor: BP4D.011.7/37/ST/01/2026 Tanggal 26 Januari 2026  dan SPD Nomor: 215-219/SPPD/2026 Tanggal 26-27 Januari 2026,  kepada Binoni Saubaki,ST,dkk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</si>
  <si>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 xml:space="preserve">Loli selama 2 hari </t>
    </r>
    <r>
      <rPr>
        <sz val="10"/>
        <color rgb="FF000000"/>
        <rFont val="Times New Roman"/>
        <family val="1"/>
      </rPr>
      <t xml:space="preserve"> sesuai SPT Nomor: BP4D.011.7/72/ST/02/2026 Tanggal 09 Februari 2026  dan SPD Nomor: 479-483/SPPD/2026 Tanggal 09 - 10 Februari 2026,  kepada Binoni Saubaki,ST,dkk</t>
    </r>
  </si>
  <si>
    <r>
      <t xml:space="preserve">Bayar biaya perjalanan dinas dalam daerah dalam rangka Koordinasi Bidang Pendidikan dan Kesehatan (Kegiatan Musrenbang RKPD TA. 2027 Tingkat Kecamatan ) dari Sub Kegiatan  Asistensi Penyusunan Dokumen Perencanaan Pembangunan Perangkat Daerah Bidang Pembangunan Manusia Tahun Anggaran 2026 di Kecamatan </t>
    </r>
    <r>
      <rPr>
        <b/>
        <sz val="10"/>
        <color rgb="FF000000"/>
        <rFont val="Times New Roman"/>
        <family val="1"/>
      </rPr>
      <t>Tana Righu</t>
    </r>
    <r>
      <rPr>
        <sz val="10"/>
        <color rgb="FF000000"/>
        <rFont val="Times New Roman"/>
        <family val="1"/>
      </rPr>
      <t xml:space="preserve"> selama 2 hari sesuai SPT Nomor: BP4D.011.7/56/ST/02/2026 Tanggal 04 Februari 2026  dan SPD Nomor: 368-371/SPPD/2026 Tanggal 04 - 05 Februari 2026,  kepada Binoni Saubaki,ST,dkk</t>
    </r>
  </si>
  <si>
    <t>19-02-2026</t>
  </si>
  <si>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Laboya Barat selama 2 hari </t>
    </r>
    <r>
      <rPr>
        <sz val="10"/>
        <color rgb="FF000000"/>
        <rFont val="Times New Roman"/>
        <family val="1"/>
      </rPr>
      <t xml:space="preserve"> sesuai SPT Nomor: BP4D.011.7/35-36/53.12/01/2026 Tanggal 23 Januari  2026 dan SPD Nomor: 193-215/SPPD/2026 Tanggal 26 - 27 Januari  2026 kepada Charles Hermana Wer,S.Sos,dkk</t>
    </r>
  </si>
  <si>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Wanukaka  selama 2 hari </t>
    </r>
    <r>
      <rPr>
        <sz val="10"/>
        <color rgb="FF000000"/>
        <rFont val="Times New Roman"/>
        <family val="1"/>
      </rPr>
      <t xml:space="preserve"> sesuai SPT Nomor: BP4D.011.7/51-52/53.12/01/2026 Tanggal 23 Januari  2026 dan SPD Nomor: 308-329/SPPD/2026 Tanggal 02 - 03  Februari  2026 kepada Charles Hermana Wer,S.Sos,dkk</t>
    </r>
  </si>
  <si>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Tana Righu selama 2 hari </t>
    </r>
    <r>
      <rPr>
        <sz val="10"/>
        <color rgb="FF000000"/>
        <rFont val="Times New Roman"/>
        <family val="1"/>
      </rPr>
      <t xml:space="preserve"> sesuai SPT Nomor: BP4D.011.7/60-61/15.13/01/2026 Tanggal 23 Januari  2026 dan SPD Nomor: 378-399/SPPD/2026 Tanggal 04 - 05 Februari  2026 kepada Charles Hermana Wer,S.Sos,dkk</t>
    </r>
  </si>
  <si>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Lamboya selama 2 hari </t>
    </r>
    <r>
      <rPr>
        <sz val="10"/>
        <color rgb="FF000000"/>
        <rFont val="Times New Roman"/>
        <family val="1"/>
      </rPr>
      <t xml:space="preserve"> sesuai SPT Nomor: BP4D.011.7/66-67/53.12/02/2026 Tanggal 05 Februari  2026 dan SPD Nomor: 421-443/SPPD/2026 Tanggal 06 - 07 Februari  2026 kepada Charles Hermana Wer,S.Sos,dkk</t>
    </r>
  </si>
  <si>
    <t>Penerimaan SP2D No : 53.12/04.0/000021/LS/5.01.5.05.0.00.25.0000/M/2/2026</t>
  </si>
  <si>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Loli selama 2 hari </t>
    </r>
    <r>
      <rPr>
        <sz val="10"/>
        <color rgb="FF000000"/>
        <rFont val="Times New Roman"/>
        <family val="1"/>
      </rPr>
      <t xml:space="preserve"> sesuai SPT Nomor: BP4D.011.7/70-71/53.12/01/2026 Tanggal 23 Januari  2026 dan SPD Nomor: 421-443/SPPD/2026 Tanggal 09-10 Februari  2026 kepada Charles Hermana Wer,S.Sos,dkk</t>
    </r>
  </si>
  <si>
    <t>Penerimaan SP2D No : 53.12/04.0/000020/LS/5.01.5.05.0.00.25.0000/M/2/2026</t>
  </si>
  <si>
    <r>
      <t xml:space="preserve">Bayar biaya perjalanan dinas dalam daerah dalam rangka mengikuti kegiatan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Laboya Barat selama 2 hari </t>
    </r>
    <r>
      <rPr>
        <sz val="10"/>
        <color rgb="FF000000"/>
        <rFont val="Times New Roman"/>
        <family val="1"/>
      </rPr>
      <t xml:space="preserve"> sesuai SPT Nomor: BP4D.011.7/34/53.12/ST/01/2026 Tanggal 26 Januari   2026 dan SPD Nomor: 185-186/SPPD/2026 Tanggal 26 - 27  Januari 2026 Kepada Elvis Pote Leba,SE,dkk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</si>
  <si>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Loli selama 1 hari </t>
    </r>
    <r>
      <rPr>
        <sz val="10"/>
        <color rgb="FF000000"/>
        <rFont val="Times New Roman"/>
        <family val="1"/>
      </rPr>
      <t xml:space="preserve"> sesuai SPT Nomor: BP4D.011.7/32/53.12/ST/01/2026 Tanggal 23 Januari   2026 dan SPD Nomor: 169-173/SPPD/2026 Tanggal 23 Januari 2026 Kepada Alvian Z.T. Kosi,S.Pt,dkk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</si>
  <si>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Tana Righu selama 1 hari </t>
    </r>
    <r>
      <rPr>
        <sz val="10"/>
        <color rgb="FF000000"/>
        <rFont val="Times New Roman"/>
        <family val="1"/>
      </rPr>
      <t xml:space="preserve"> sesuai SPT Nomor: BP4D.011.7/31/53.12/ST/01/2026 Tanggal 22 Januari   2026 dan SPD Nomor: 164-168/SPPD/2026 Tanggal 22 Januari 2026 Kepada Alvian Z.T. Kosi,S.Pt,dkk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</si>
  <si>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Lamboya selama 1 hari </t>
    </r>
    <r>
      <rPr>
        <sz val="10"/>
        <color rgb="FF000000"/>
        <rFont val="Times New Roman"/>
        <family val="1"/>
      </rPr>
      <t xml:space="preserve"> sesuai SPT Nomor: BP4D.011.7/29/53.12/ST/01/2026 Tanggal 21 Januari   2026 dan SPD Nomor: 149-153/SPPD/2026 Tanggal 21 Januari 2026 Kepada Alvian Z.T. Kosi,S.Pt,dkk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</si>
  <si>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Wanukaka  selama 1 hari </t>
    </r>
    <r>
      <rPr>
        <sz val="10"/>
        <color rgb="FF000000"/>
        <rFont val="Times New Roman"/>
        <family val="1"/>
      </rPr>
      <t xml:space="preserve"> sesuai SPT Nomor: BP4D.011.7/23.a/53.12/ST/01/2026 Tanggal 20 Januari   2026 dan SPD Nomor: 115.a-115.e/SPPD/2026 Tanggal 20 Januari 2026 Kepada Alvian Z.T. Kosi,S.Pt,dkk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</si>
  <si>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Tana Righu selama 2 hari </t>
    </r>
    <r>
      <rPr>
        <sz val="10"/>
        <color rgb="FF000000"/>
        <rFont val="Times New Roman"/>
        <family val="1"/>
      </rPr>
      <t xml:space="preserve"> sesuai SPT Nomor: BP4D.011.7/58/53.12/ST/02/2026 Tanggal 04 Februari  2026 dan SPD Nomor: 363-364.a/SPPD/2026 Tanggal 04 - 05 Februari 2026 Kepada Cherryllena T. Matheos,SST.Par,dkk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</si>
  <si>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Lamboya selama 2 hari </t>
    </r>
    <r>
      <rPr>
        <sz val="10"/>
        <color rgb="FF000000"/>
        <rFont val="Times New Roman"/>
        <family val="1"/>
      </rPr>
      <t xml:space="preserve"> sesuai SPT Nomor: BP4D.011.7/62/53.12/ST/02/2026 Tanggal 06 Februari  2026 dan SPD Nomor: 400-401/SPPD/2026 Tanggal 06 - 07  Februari 2026 Kepada Cherryllena T. Matheos,SST.Par,dkk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</si>
  <si>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Loli selama 2 hari </t>
    </r>
    <r>
      <rPr>
        <sz val="10"/>
        <color rgb="FF000000"/>
        <rFont val="Times New Roman"/>
        <family val="1"/>
      </rPr>
      <t xml:space="preserve"> sesuai SPT Nomor: BP4D.011.7/73/53.12/ST/02/2026 Tanggal 09 Februari  2026 dan SPD Nomor: 484-485.a/SPPD/2026 Tanggal 09 - 10 Februari 2026 Kepada Cherryllena T. Matheos,SST.Par,dkk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</si>
  <si>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Wanukaka selama 2 hari </t>
    </r>
    <r>
      <rPr>
        <sz val="10"/>
        <color rgb="FF000000"/>
        <rFont val="Times New Roman"/>
        <family val="1"/>
      </rPr>
      <t xml:space="preserve"> sesuai SPT Nomor: BP4D.011.7/53/53.12/ST/02/2026 Tanggal 02 Februari  2026 dan SPD Nomor: 330-331.a/SPPD/2026 Tanggal 02 - 03 Februari 2026 Kepada Cherryllena T. Matheos,SST.Par,dkk</t>
    </r>
  </si>
  <si>
    <t>25-02-2026</t>
  </si>
  <si>
    <t>Penerimaan SP2D No : 53.12/04.0/000022/LS/5.01.5.05.0.00.25.0000/M/2/2026</t>
  </si>
  <si>
    <t>5.01.03.2.03.04.5.1.02.10.01.0071</t>
  </si>
  <si>
    <t>Bayar biaya belanja lembur dalam rangka Pelaksanaan Koordinasi Penyusunan Dokumen Perencanaan Bidang Infrastrukut dari Sub Kegiatan Koordinasi Penyusunan Dokumen Perencanaan Pembangunan Daerah Bidang Infrastruktur (RPJPD,RPJMD dan RKPD) Tahun Anggaran 2026 Kepada Erlan Poro,ST.,M.Sc,dkk</t>
  </si>
  <si>
    <t>Bayar Biaya Belanja Alat/Bahan umtuk kegiatan kantor - Bahan Cetak dari sub kegiatan Koordinasi dan Penyusunan Laporan Capaian Kinerja dan Ikhtisar Realisasi Kinerja SKPD Tahun Anggaran 2026 kepada Fotocopy, ATK AQIL JAYA An. Kasmun Susanto. (GU 2)</t>
  </si>
  <si>
    <t>Bayar Biaya Belanja Alat/Bahan umtuk kegiatan kantor - Bahan Cetak dari sub kegiatan Penyediaan Barang Cetakan dan Penggandaan  Tahun Anggaran 2026 kepada Fotocopy, ATK AQIL JAYA An. Kasmun Susanto. (GU 2)</t>
  </si>
  <si>
    <t>04-02-2026</t>
  </si>
  <si>
    <t>23-02-2026</t>
  </si>
  <si>
    <t>Bayar Biaya Perjalanan Dinas Luar Daerah  Dalam Rangka Mengikuti Rapat Koordinasi Diseminasi Kajian Dampak Efisiensi Anggaran terhadap Pembangunan Daerah Tertinggal di Bappelitbangda Sumba Tengah dari Sub Kegiatan Penyelenggaraan Rapat Koordinasi dan Konsultasi SKPD Tahun Anggaran 2026 kepada Yahya A. Story,S.IP,dkk</t>
  </si>
  <si>
    <t>Bayar biaya belanja Alat/Bahan umtuk kegiatan kantor - Alat Listrik dari Sub Kegiatan Penyediaan Komponen Instalasi Listrik/Penerangan Bangunan Kantor Tahun Anggaran 2026 Kepada CV. Sumber Karya Abadi An. Sunarto Limoa (GU2)</t>
  </si>
  <si>
    <t>5.01.01.2.06.0001.5.1.02.01.01.0031</t>
  </si>
  <si>
    <r>
      <t xml:space="preserve">Bayar Biaya Belanja Kawat/Faksimili/Internet/TV Berlangganan (Internet) untuk Bulan Februari Tahun 2026 </t>
    </r>
    <r>
      <rPr>
        <b/>
        <sz val="10"/>
        <rFont val="Times New Roman"/>
        <family val="1"/>
      </rPr>
      <t>@</t>
    </r>
    <r>
      <rPr>
        <sz val="10"/>
        <rFont val="Times New Roman"/>
        <family val="1"/>
      </rPr>
      <t>Rp. 615.000 x 5 Bidang, dari Sub Kegiatan Penyediaan Jasa Komunikasi, Sumber Daya Air dan Listrik TA.2026(PAD), An. Telkom Sumba Barat  (GU 2)</t>
    </r>
  </si>
  <si>
    <t>5.01.01.2.08.0003.5.1.02.03.02.0405</t>
  </si>
  <si>
    <t>Bayar Biaya Belanja Pemeliharaan Alat Kantor dan Rumah Tangga - Alat Kantor Lainnya, dari Sub Kegiatan Penyediaan Jasa Peralatan dan Perlengkapan Kantor Tahun Anggaran 2026 (PAD), An. Jaya Elelctro Service (GU 2)</t>
  </si>
  <si>
    <t>Bayar Biaya Belanja Penambah Daya Tahan Tubuh ( Makan Minum Harian Pegawai ) intuk Bulan Januari 2026 dari sub kegiatan  Penyediaan Jasa Pelayanan Umum Kantor  Tahun Anggaran 2026 kepada Kantin Dassa Elu An. Paulina B. Deki ( GU 2)</t>
  </si>
  <si>
    <t>5.01.01.2.08.0004.5.1.02.01.01.0054</t>
  </si>
  <si>
    <t>09-02-2026</t>
  </si>
  <si>
    <t>Bayar Biaya Belanja Bahan-Bahan Bakar dan Pelumas untuk kendaraan Dinas roda empat ED.1056.WB dan ED.8045.WB, dari Sub Kegiatan Penyediaan Jasa Pemeliharaan, Biaya Pemeliharaan dan Pajak Kendaraan Perorangan Dinas atau Kendaraan Dinas Jabatan TA.2026(PAD), An. Maria B. A. Bili (GU 2)</t>
  </si>
  <si>
    <t>Bayar Biaya Belanja Bahan-Bahan Bakar dan Pelumas untuk kendaraan Dinas roda empat ED.1056.WB dan ED.8045.WB, dari Sub Kegiatan Penyediaan Jasa Pemeliharaan, Biaya Pemeliharaan dan Pajak Kendaraan Perorangan Dinas atau Kendaraan Dinas Jabatan TA.2026(PAD), An.Ang Ita Tesiana (GU 2)</t>
  </si>
  <si>
    <t>Bayar Biaya Belanja Bahan-Bahan Bakar dan Pelumas untuk kendaraan Dinas roda empat ED.1056.WB dan ED.8045.WB, dari Sub Kegiatan Penyediaan Jasa Pemeliharaan, Biaya Pemeliharaan dan Pajak Kendaraan Perorangan Dinas atau Kendaraan Dinas Jabatan TA.2026(PAD), An. Alvian Wulang (GU 2)</t>
  </si>
  <si>
    <t>Bayar Biaya Belanja Pemeliharaan Alat Angkutan - Alat Angkutan Darat Bermotor Kendaraan Dinas Bermotor Perorangan Mobil Kaban (ED 1056 WB), dari Sub Kegiatan Penyediaan Jasa Pemeliharaan, Biaya Pemeliharaan dan Pajak Kendaraan Dinas Operasional atau Lapangan TA.2026(PAD), An. Steven Wadoe (GU 2)</t>
  </si>
  <si>
    <t>Bayar Biaya Belanja Pemeliharaan Alat Angkutan - Alat Angkutan Darat Bermotor Kendaraan Dinas Bermotor Perorangan Mobil Kaban (ED 8045 WB), dari Sub Kegiatan Penyediaan Jasa Pemeliharaan, Biaya Pemeliharaan dan Pajak Kendaraan Dinas Operasional atau Lapangan TA.2026(PAD), An. Steven Wadoe (GU 2)</t>
  </si>
  <si>
    <t>Bayar Biaya Belanja Pemeliharaan Alat Angkutan - Alat Angkutan Darat Bermotor - Kendaraan Bermotor Beroda Dua, dari Sub Kegiatan Penyediaan Jasa Pemeliharaan, Biaya Pemeliharaan dan Pajak Kendaraan Perorangan Dinas atau Kendaraan Dinas Jabatan TA.2026(PAD), An. Septian (GU 2)</t>
  </si>
  <si>
    <t>Bayar Biaya Belanja Pemeliharaan Alat Angkutan - Alat Angkutan Darat Bermotor - Kendaraan Bermotor Beroda Dua, dari Sub Kegiatan Penyediaan Jasa Pemeliharaan, Biaya Pemeliharaan dan Pajak Kendaraan Perorangan Dinas atau Kendaraan Dinas Jabatan TA.2026(PAD), An. Elvan Motor(GU 2)</t>
  </si>
  <si>
    <t>26-02-2026</t>
  </si>
  <si>
    <t>Bayar Biaya Belanja Pemeliharaan Alat Angkutan - Alat Angkutan Darat Bermotor - Kendaraan Bermotor Beroda Dua, dari Sub Kegiatan Penyediaan Jasa Pemeliharaan, Biaya Pemeliharaan dan Pajak Kendaraan Perorangan Dinas atau Kendaraan Dinas Jabatan TA.2026(PAD), An. Elvan Motor  (GU 2)</t>
  </si>
  <si>
    <t>Bayar biaya belanja Alat/Bahan umtuk kegiatan kantor - Alat Tulis Kantor  dari Sub Kegiatan Asistensi Penyusunan Dokumen Perencanaan Pembangunan Perangkat Daerah Bidang Pemerintahan Tahun Anggaran 2026 Kepada Kios Palaxxi An. J Wanto Sapulete (GU2)</t>
  </si>
  <si>
    <t>5.01.03.2.01.0002.5.1.02.01.01.0024</t>
  </si>
  <si>
    <t>5.01.03.2.01.0002.5.1.02.01.01.0025</t>
  </si>
  <si>
    <t>5.01.03.2.01.0002.5.1.02.01.01.0029</t>
  </si>
  <si>
    <t>Bayar biaya belanja Alat/Bahan umtuk kegiatan kantor - Kertas dan Cover dari Sub Kegiatan Asistensi Penyusunan Dokumen Perencanaan Pembangunan Perangkat Daerah Bidang Pemerintahan Tahun Anggaran 2026 Kepada Kios Palaxxi An. J Wanto Sapulete (GU2)</t>
  </si>
  <si>
    <t>Bayar biaya belanja Alat/Bahan umtuk kegiatan kantor - Bahan Komputer  dari Sub Kegiatan Asistensi Penyusunan Dokumen Perencanaan Pembangunan Perangkat Daerah Bidang Pemerintahan Tahun Anggaran 2026 Kepada Kios Palaxxi An. J Wanto Sapulete (GU2)</t>
  </si>
  <si>
    <t>5.01.03.2.01.0006.5.1.02.01.01.0024</t>
  </si>
  <si>
    <t>Bayar biaya belanja Alat/Bahan umtuk kegiatan kantor - Alat Tulis Kantor  dari Sub Kegiatan Asistensi Penyusunan Dokumen Perencanaan Pembangunan Perangkat Daerah Bidang Pembangunan Manusia  Tahun Anggaran 2026 Kepada Kios Palaxxi An. J Wanto Sapulete (GU2)</t>
  </si>
  <si>
    <t>5.01.03.2.01.0006.5.1.02.01.01.0025</t>
  </si>
  <si>
    <t>Bayar biaya belanja Alat/Bahan umtuk kegiatan kantor - Kertas dan Cover  dari Sub Kegiatan Asistensi Penyusunan Dokumen Perencanaan Pembangunan Perangkat Daerah Bidang Pembangunan Manusia  Tahun Anggaran 2026 Kepada Kios Palaxxi An. J Wanto Sapulete (GU2)</t>
  </si>
  <si>
    <t>Bayar biaya belanja Alat/Bahan umtuk kegiatan kantor - Bahan Cetak dari Sub Kegiatan Asistensi Penyusunan Dokumen Perencanaan Pembangunan Perangkat Daerah Bidang Pembangunan Manusia  Tahun Anggaran 2026 Kepada Kios Palaxxi An. J Wanto Sapulete (GU2)</t>
  </si>
  <si>
    <t>5.01.03.2.01.0006.5.1.02.01.01.0026</t>
  </si>
  <si>
    <t>Bayar biaya belanja Alat/Bahan umtuk kegiatan kantor - Bahan Komputer dari Sub Kegiatan Asistensi Penyusunan Dokumen Perencanaan Pembangunan Perangkat Daerah Bidang Pembangunan Manusia  Tahun Anggaran 2026 Kepada Kios Palaxxi An. J Wanto Sapulete (GU2)</t>
  </si>
  <si>
    <t>5.01.03.2.01.0006.5.1.02.01.01.0029</t>
  </si>
  <si>
    <t>Bayar biaya belanja Alat/Bahan umtuk kegiatan kantor - Alat Tulis Kantor  dari Sub Kegiatan Asistensi Penyusunan Dokumen Perencanaan Pembangunan Perangkat Daerah Bidang Infrastruktur  Tahun Anggaran 2026 Kepada CV. Primatech An. Umbu Nay (GU 2)</t>
  </si>
  <si>
    <t>5.01.03.2.03.02.5.1.02.01.01.0024</t>
  </si>
  <si>
    <t>Bayar biaya belanja Alat/Bahan umtuk kegiatan kantor - Kertas dan Cover  dari Sub Kegiatan Asistensi Penyusunan Dokumen Perencanaan Pembangunan Perangkat Daerah Bidang Infrastruktur  Tahun Anggaran 2026 Kepada CV. Primatech An. Umbu Nay (GU 2)</t>
  </si>
  <si>
    <t>5.01.03.2.03.02.5.1.02.01.01.0025</t>
  </si>
  <si>
    <t>Bayar biaya belanja Alat/Bahan umtuk kegiatan kantor - Bahan Komputer  dari Sub Kegiatan Asistensi Penyusunan Dokumen Perencanaan Pembangunan Perangkat Daerah Bidang Infrastruktur  Tahun Anggaran 2026 Kepada CV. Primatech An. Umbu Nay (GU 2)</t>
  </si>
  <si>
    <t>5.01.03.2.03.02.5.1.02.01.01.0029</t>
  </si>
  <si>
    <t>24-02-2026</t>
  </si>
  <si>
    <t>Bayar biaya belanja Makanan dan Minuman Rapat  dari Sub Kegiatan Asistensi Penyusunan Dokumen Perencanaan Pembangunan Perangkat Daerah Bidang Infrastruktur  Tahun Anggaran 2026 Kepada Dapur BUDI An. Dian Jane Christiana  (GU 2)</t>
  </si>
  <si>
    <t>5.01.03.2.03.02.5.1.02.01.01.0052</t>
  </si>
  <si>
    <t>5.01.03.2.03.03.5.1.02.01.01.0029</t>
  </si>
  <si>
    <t>Bayar biaya belanja Alat/Bahan umtuk kegiatan kantor - Alat Tulis Kantor  dari Sub Kegiatan Pelaksanaan Monitoring dan Evaluasi  Penyusunan Dokumen Perencanaan Pembangunan Perangkat Daerah Bidang Infrastruktur  Tahun Anggaran 2026 Kepada CV. Primatech An. Umbu Nay (GU 2)</t>
  </si>
  <si>
    <t>5.01.03.2.03.03.5.1.02.01.01.0024</t>
  </si>
  <si>
    <t>Bayar biaya belanja Alat/Bahan umtuk kegiatan kantor - Kertas dan Cover  dari Sub Kegiatan Pelaksanaan Monitoring dan Evaluasi  Penyusunan Dokumen Perencanaan Pembangunan Perangkat Daerah Bidang Infrastruktur  Tahun Anggaran 2026 Kepada CV. Primatech An. Umbu Nay (GU 2)</t>
  </si>
  <si>
    <t>5.01.03.2.03.03.5.1.02.01.01.0025</t>
  </si>
  <si>
    <t>Bayar biaya belanja Alat/Bahan umtuk kegiatan kantor - Bahan Komputer  dari Sub Kegiatan Pelaksanaan Monitoring dan Evaluasi  Penyusunan Dokumen Perencanaan Pembangunan Perangkat Daerah Bidang Infrastruktur  Tahun Anggaran 2026 Kepada CV. Primatech An. Umbu Nay (GU 2)</t>
  </si>
  <si>
    <t>Bayar biaya belanja Alat/Bahan umtuk kegiatan kantor - Alat Tulis Kantor  dari Sub Kegiatan Koordinasi  Penyusunan Dokumen Perencanaan Pembangunan  Daerah Bidang Infrastruktur (RPJPD,RPJMD dan RKPD) Tahun Anggaran 2026 Kepada CV. Primatech An. Umbu Nay (GU 2)</t>
  </si>
  <si>
    <t>5.01.03.2.03.04.5.1.02.01.01.0024</t>
  </si>
  <si>
    <t>5.01.03.2.03.04.5.1.02.01.01.0025</t>
  </si>
  <si>
    <t>Bayar biaya belanja Alat/Bahan umtuk kegiatan kantor - Kertas dan Cover  dari Sub Kegiatan Koordinasi  Penyusunan Dokumen Perencanaan Pembangunan  Daerah Bidang Infrastruktur (RPJPD,RPJMD dan RKPD) Tahun Anggaran 2026 Kepada CV. Primatech An. Umbu Nay (GU 2)</t>
  </si>
  <si>
    <t>Bayar biaya belanja Alat/Bahan umtuk kegiatan kantor - Bahan Komputer  dari Sub Kegiatan Koordinasi  Penyusunan Dokumen Perencanaan Pembangunan  Daerah Bidang Infrastruktur (RPJPD,RPJMD dan RKPD) Tahun Anggaran 2026 Kepada CV. Primatech An. Umbu Nay (GU 2)</t>
  </si>
  <si>
    <t>5.01.03.2.03.04.5.1.02.01.01.0029</t>
  </si>
  <si>
    <t>5.01.03.2.03.04.5.1.02.01.01.0054</t>
  </si>
  <si>
    <t>Bayar biaya belanja Penambah Daya Tahan Tubuh  dari Sub Kegiatan Koordinasi Penyusunan Dokumen Perencanaan Pembangunan Daerah Bidang Infrastruktur  Tahun Anggaran 2026 Kepada Dapur BUDI An. Dian Jane Christiana  (GU 2)</t>
  </si>
  <si>
    <t>5.01.03.2.03.04.5.1.02.04.01.0001</t>
  </si>
  <si>
    <t>Bayar biaya belanja Alat/Bahan umtuk kegiatan kantor - Alat Tulis Kantor  dari Sub Kegiatan Fasilitasi, Pelaksanaan dan Evaluasi Penelitian dan Pengembangan Bidang Kelembagaan dan Ketatalaksanaan Tahun Anggaran 2026 kepada Kios Palaxxi An. J Wanto Sapulete (GU 2 )</t>
  </si>
  <si>
    <t>Bayar biaya belanja Alat/Bahan umtuk kegiatan kantor - Bahan Cetak  dari Sub Kegiatan Fasilitasi, Pelaksanaan dan Evaluasi Penelitian dan Pengembangan Bidang Kelembagaan dan Ketatalaksanaan Tahun Anggaran 2026 kepada Kios Palaxxi An. J Wanto Sapulete (GU 2 )</t>
  </si>
  <si>
    <t>Bayar biaya belanja Alat/Bahan umtuk kegiatan kantor - Bahan Komputer  dari Sub Kegiatan Fasilitasi, Pelaksanaan dan Evaluasi Penelitian dan Pengembangan Bidang Kelembagaan dan Ketatalaksanaan Tahun Anggaran 2026 kepada Kios Palaxxi An. J Wanto Sapulete (GU 2 )</t>
  </si>
  <si>
    <t>Bayar biaya belanja Alat/Bahan umtuk kegiatan kantor - Alat Tulis Kantor  dari Sub Kegiatan Fasilitasi, Pelaksanaan dan Evaluasi Penelitian dan Pengembangan Bidang Keuangan dan Aset Daerah, Reformasi Birokrasi  Tahun Anggaran 2026 kepada Kios Palaxxi An. J Wanto Sapulete (GU 2 )</t>
  </si>
  <si>
    <t>Bayar biaya belanja Alat/Bahan umtuk kegiatan kantor - Kertas dan Cover  dari Sub Kegiatan Fasilitasi, Pelaksanaan dan Evaluasi Penelitian dan Pengembangan Bidang Keuangan dan Aset Daerah, Reformasi Birokrasi  Tahun Anggaran 2026 kepada Kios Palaxxi An. J Wanto Sapulete (GU 2 )</t>
  </si>
  <si>
    <t>Bayar biaya belanja Alat/Bahan umtuk kegiatan kantor - Bahan Cetak  dari Sub Kegiatan Fasilitasi, Pelaksanaan dan Evaluasi Penelitian dan Pengembangan Bidang Keuangan dan Aset Daerah, Reformasi Birokrasi  Tahun Anggaran 2026 kepada Kios Palaxxi An. J Wanto Sapulete (GU 2 )</t>
  </si>
  <si>
    <t>Bayar biaya belanja Alat/Bahan umtuk kegiatan kantor - Bahan Komputer dari Sub Kegiatan Fasilitasi, Pelaksanaan dan Evaluasi Penelitian dan Pengembangan Bidang Keuangan dan Aset Daerah, Reformasi Birokrasi  Tahun Anggaran 2026 kepada Kios Palaxxi An. J Wanto Sapulete (GU 2 )</t>
  </si>
  <si>
    <t>5.05.02.2.01.003.5.1.02.2.01.01.0024</t>
  </si>
  <si>
    <t>5.05.02.2.01.003.5.1.02.2.01.01.0029</t>
  </si>
  <si>
    <t>5.05.02.2.01.003.5.1.02.2.01.01.0026</t>
  </si>
  <si>
    <t>5.05.02.2.01.005.5.1.02.2.01.01.0024</t>
  </si>
  <si>
    <t>5.05.02.2.01.005.5.1.02.2.01.01.0025</t>
  </si>
  <si>
    <t>5.05.02.2.01.005.5.1.02.2.01.01.0026</t>
  </si>
  <si>
    <t>5.05.02.2.01.005.5.1.02.2.01.01.0029</t>
  </si>
  <si>
    <t>Bayar biaya belanja Alat/Bahan umtuk kegiatan kantor - Kertas dan Cover  dari Sub Kegiatan Fasilitasi dan Pembinaan Pelaksanaan Penelitian Pengembangan, Pengkajian dan Penerapan Tahun Anggaran 2026 kepada Kios Palaxxi An. J Wanto Sapulete (GU 2 )</t>
  </si>
  <si>
    <t>5.05.02.2.01.0003.5.1.02.2.01.01.0025</t>
  </si>
  <si>
    <t>5.05.02.2.01.0003.5.1.02.2.01.01.0026</t>
  </si>
  <si>
    <t>Bayar biaya belanja Alat/Bahan umtuk kegiatan kantor - Bahan Cetak  dari Sub Kegiatan Fasilitasi dan Pembinaan Pelaksanaan Penelitian Pengembangan, Pengkajian dan Penerapan Tahun Anggaran 2026 kepada Kios Palaxxi An. J Wanto Sapulete (GU 2 )</t>
  </si>
  <si>
    <t>5.05.02.2.02.0003.5.1.02.2.01.01.0024</t>
  </si>
  <si>
    <t>Bayar biaya belanja Alat/Bahan umtuk kegiatan kantor - Alat Tulis Kantor dari Sub Kegiatan Fasilitasi Pembinaan untuk penyelenggaraan pengembangan Klaster Inovasi Berbasis Produk Unggulan Daerah  Anggaran 2026 kepada Kios Palaxxi An. J Wanto Sapulete (GU 2 )</t>
  </si>
  <si>
    <t>Bayar biaya belanja Alat/Bahan umtuk kegiatan kantor - Bahan Cetak dari Sub Kegiatan Fasilitasi Pembinaan untuk penyelenggaraan pengembangan Klaster Inovasi Berbasis Produk Unggulan Daerah  Anggaran 2026 kepada Kios Palaxxi An. J Wanto Sapulete (GU 2 )</t>
  </si>
  <si>
    <t>5.05.02.2.02.0003.5.1.02.2.01.01.0026</t>
  </si>
  <si>
    <t>5.05.02.2.02.0003.5.1.02.2.01.01.0029</t>
  </si>
  <si>
    <t>Bayar biaya belanja Alat/Bahan umtuk kegiatan kantor - Bahan Komputer dari Sub Kegiatan Fasilitasi Pembinaan untuk penyelenggaraan pengembangan Klaster Inovasi Berbasis Produk Unggulan Daerah  Anggaran 2026 kepada Kios Palaxxi An. J Wanto Sapulete (GU 2 )</t>
  </si>
  <si>
    <t>Bayar biaya belanja Makanan dan Minuman Rapat  dari Sub Kegiatan Fasilitasi Pembinaan untuk penyelenggaraan pengembangan Klaster Inovasi Berbasis Produk Unggulan Daerah  Anggaran 2026 kepada Catering Kuda Bintang An. Syahrul A Kasih (GU 2)</t>
  </si>
  <si>
    <t>5.05.02.2.02.0003.5.1.02.2.01.01.0052</t>
  </si>
  <si>
    <t>Bayar biaya belanja Alat/Bahan umtuk kegiatan kantor - Alat Tulis Kantor dari Sub Kegiatan Fasilitasi dan Pembinaan Untuk Apresiasi Prestasi Inovasi  Anggaran 2026 kepada Kios Palaxxi An. J Wanto Sapulete (GU 2 )</t>
  </si>
  <si>
    <t>5.05.02.2.02.0012.5.1.02.2.01.01.0024</t>
  </si>
  <si>
    <t>5.05.02.2.02.0012.5.1.02.2.01.01.0025</t>
  </si>
  <si>
    <t>Bayar biaya belanja Alat/Bahan umtuk kegiatan kantor - Kertas dan Cover dari Sub Kegiatan Fasilitasi dan Pembinaan Untuk Apresiasi Prestasi Inovasi  Anggaran 2026 kepada Kios Palaxxi An. J Wanto Sapulete (GU 2 )</t>
  </si>
  <si>
    <t>Bayar biaya belanja Alat/Bahan umtuk kegiatan kantor - Bahan Cetak dari Sub Kegiatan Fasilitasi dan Pembinaan Untuk Apresiasi Prestasi Inovasi  Anggaran 2026 kepada Kios Palaxxi An. J Wanto Sapulete (GU 2 )</t>
  </si>
  <si>
    <t>5.05.02.2.02.0012.5.1.02.2.01.01.0026</t>
  </si>
  <si>
    <t>5.05.02.2.02.0012.5.1.02.2.01.01.0029</t>
  </si>
  <si>
    <t>5.05.02.2.02.0004.5.1.02.2.01.01.0024</t>
  </si>
  <si>
    <t>Bayar biaya belanja Alat/Bahan umtuk kegiatan kantor - Alat Tulis Kantor dari Sub Kegiatan Fasilitasi Pembinaan untuk penyelenggaraan pengembangan Klaster Inovasi Berbasis Produk Unggulan Daerah dan/atau Mengatasi Permasalahan Daerah  Anggaran 2026 kepada Kios Palaxxi An. J Wanto Sapulete (GU 2 )</t>
  </si>
  <si>
    <t>Bayar biaya belanja Alat/Bahan umtuk kegiatan kantor - Kertas dan Cover dari Sub Kegiatan Fasilitasi Pembinaan untuk penyelenggaraan pengembangan Klaster Inovasi Berbasis Produk Unggulan Daerah dan/atau Mengatasi Permasalahan Daerah  Anggaran 2026 kepada Kios Palaxxi An. J Wanto Sapulete (GU 2 )</t>
  </si>
  <si>
    <t>5.05.02.2.02.0004.5.1.02.2.01.01.0025</t>
  </si>
  <si>
    <t>5.05.02.2.02.0004.5.1.02.2.01.01.0026</t>
  </si>
  <si>
    <t>Bayar biaya belanja Alat/Bahan umtuk kegiatan kantor - Bahan Cetak dari Sub Kegiatan Fasilitasi Pembinaan untuk penyelenggaraan pengembangan Klaster Inovasi Berbasis Produk Unggulan Daerah dan/atau Mengatasi Permasalahan Daerah  Anggaran 2026 kepada Kios Palaxxi An. J Wanto Sapulete (GU 2 )</t>
  </si>
  <si>
    <t>5.05.02.2.02.0004.5.1.02.2.01.01.0029</t>
  </si>
  <si>
    <t>Bayar biaya belanja Alat/Bahan umtuk kegiatan kantor - Bahan Komputer dari Sub Kegiatan Fasilitasi Pembinaan untuk penyelenggaraan pengembangan Klaster Inovasi Berbasis Produk Unggulan Daerah dan/atau Mengatasi Permasalahan Daerah  Anggaran 2026 kepada Kios Palaxxi An. J Wanto Sapulete (GU 2 )</t>
  </si>
  <si>
    <t>27-02-2026</t>
  </si>
  <si>
    <t>5.01.03.2.02.0002.5.1.02.01.001.00026</t>
  </si>
  <si>
    <t>5.01.03.2.02.0003.5.1.02.01.001.00029</t>
  </si>
  <si>
    <t>Bayar biaya belanja Alat/Bahan umtuk kegiatan kantor - Bahan Cetak dari Sub Kegiatan Asistensi Penyusunan Dokumen Perencanaan Pembangunan Perangkat Daerah Bidang Perekonomian Anggaran 2026 kepada Kios Palaxxi An. J Wanto Sapulete (GU 2 )</t>
  </si>
  <si>
    <t>Bayar biaya belanja Alat/Bahan umtuk kegiatan kantor - Bahan Komputer  dari Sub Kegiatan Pelaksanaan Monitoring dan Evaluasi Penyusunan Dokumen Perencanaan Pembangunan Perangkat Daerah Bidang Perekonomian Anggaran 2026 kepada Kios Palaxxi An. J Wanto Sapulete (GU 2 )</t>
  </si>
  <si>
    <t>5.01.03.2.02.0004.5.1.02.01.001.00024</t>
  </si>
  <si>
    <t>Bayar biaya belanja Alat/Bahan umtuk kegiatan kantor - Bahan Komputer  dari Sub Kegiatan Koordinasi Pelaksanaan Sinergitas dan Harmonisasi Perencanaan Pembangunan  Daerah Bidang Perekonomian Anggaran 2026 kepada Kios Palaxxi An. J Wanto Sapulete (GU 2 )</t>
  </si>
  <si>
    <t>5.01.03.2.02.0004.5.1.02.01.001.00025</t>
  </si>
  <si>
    <t>5.01.03.2.02.0004.5.1.02.01.001.00026</t>
  </si>
  <si>
    <t>5.01.03.2.02.0004.5.1.02.01.001.00029</t>
  </si>
  <si>
    <t>Bayar biaya belanja Alat/Bahan umtuk kegiatan kantor - Alat Tulis Kantor dari Sub Kegiatan Koordinasi Pelaksanaan Sinergitas dan Harmonisasi Perencanaan Pembangunan  Daerah Bidang Perekonomian Anggaran 2026 kepada Kios Palaxxi An. J Wanto Sapulete (GU 2 )</t>
  </si>
  <si>
    <t>Bayar biaya belanja Alat/Bahan umtuk kegiatan kantor - Kertas dan Cover  dari Sub Kegiatan Koordinasi Pelaksanaan Sinergitas dan Harmonisasi Perencanaan Pembangunan  Daerah Bidang Perekonomian Anggaran 2026 kepada Kios Palaxxi An. J Wanto Sapulete (GU 2 )</t>
  </si>
  <si>
    <t>Bayar biaya belanja Alat/Bahan umtuk kegiatan kantor - Bahan Cetak  dari Sub Kegiatan Koordinasi Pelaksanaan Sinergitas dan Harmonisasi Perencanaan Pembangunan  Daerah Bidang Perekonomian Anggaran 2026 kepada Kios Palaxxi An. J Wanto Sapulete (GU 2 )</t>
  </si>
  <si>
    <r>
      <t xml:space="preserve">BAPPERIDA  dan kas di bendahara pengeluaran </t>
    </r>
    <r>
      <rPr>
        <b/>
        <sz val="10"/>
        <rFont val="Times New Roman"/>
        <family val="1"/>
      </rPr>
      <t xml:space="preserve">Rp. 24.406.000 </t>
    </r>
    <r>
      <rPr>
        <sz val="10"/>
        <rFont val="Times New Roman"/>
        <family val="1"/>
      </rPr>
      <t xml:space="preserve"> yang terdiri dari :</t>
    </r>
  </si>
  <si>
    <t>5.01.03.2.02.0003.5.1.02.04.001.0003</t>
  </si>
  <si>
    <t>Bayar Biaya Perjalanan Dinas Luar Daerah  Dalam Rangka Mengikuti Rapat Koordinasi Diseminasi Kajian Dampak Efisiensi Anggaran terhadap Pembangunan Daerah Tertinggal di Bappelitbangda Sumba Tengah dari Sub Kegiatan Koordinasi Penyusunan Dokumen Perencanaan Pembangunan Daerah Bidang Infrastruktur (RPJPD,RPJMD dan RKPD) Tahun Anggaran 2026 kepada Charles Hermana Weru,S.Sos,dkk (GU 2)</t>
  </si>
  <si>
    <t>02-03-2026</t>
  </si>
  <si>
    <t>Gaji Bulan Maret  2026</t>
  </si>
  <si>
    <t>Penerimaan SP2D No: 53.12/04.0/000023/LS/5.01.5.05.0.00.25.0000/M/3/2026</t>
  </si>
  <si>
    <t>Penerimaan SP2D No: 53.12/04.0/000024/GU/5.01.5.05.0.00.25.0000/M/3/2026</t>
  </si>
  <si>
    <t>03-03-2026</t>
  </si>
  <si>
    <t>04-03-2026</t>
  </si>
  <si>
    <t>05-03-2026</t>
  </si>
  <si>
    <t>Penerimaan SP2D No: 53.12/04.0/000025/LS/5.01.5.05.0.00.25.0000/M/3/2026</t>
  </si>
  <si>
    <t>Penerimaan SP2D No: 53.12/04.0/000026/LS/5.01.5.05.0.00.25.0000/M/3/2026</t>
  </si>
  <si>
    <t>Penerimaan SP2D No: 53.12/04.0/000027/LS/5.01.5.05.0.00.25.0000/M/3/2026</t>
  </si>
  <si>
    <t>Penerimaan SP2D No: 53.12/04.0/000028/LS/5.01.5.05.0.00.25.0000/M/3/2026</t>
  </si>
  <si>
    <t>Bayar biaya belaja honorarium penggungjawaban pengelola keuangan bulan jan-maret 2026 kepada Arviani Asia Paulina Kore dari Sub Kegiatan Koordinasi dan Penyusunan Laporan Keuangan Bulanan/Triwulan/Semesteran SKPD Tahun Anggaran 2026.</t>
  </si>
  <si>
    <t>Bayar biaya belanja Jasa Pengelolaan BMD yang tidak Menghasilkan Pendapatan bulan jan-maret 2026 kepada Agustinus Mada Leko dari Sub Kegiatan Koordinasi dan Penyusunan Laporan Keuangan Bulanan/Triwulan/Semesteran SKPD Tahun Anggaran 2026.</t>
  </si>
  <si>
    <t>5.01.01.2.02.0007.5.1.02.02.01.0001</t>
  </si>
  <si>
    <t>Bayar Honorarium Penyuluh atau Pendamping Bulan Maret 2026 dari sub Kegiatan Monitoring, evaluasi dan Penyusunan Laporan Berkala Pelaksanaan Pembangunan Daerah Tahun Anggaran 2026 Kepada Elvira,dkk</t>
  </si>
  <si>
    <t>Bayar biaya belanja Lembur dalam rangka verifikasi hasil usulan musrenbang kecamatan dalam aplikasi SIPD RI dari sub kegiatan Penyiapan Bahan Koordinasi Musrenbang Kecamatan Tahun Anggaran 2026 kepada Erlan Poro,dkk</t>
  </si>
  <si>
    <t>16-03-2026</t>
  </si>
  <si>
    <t>Penerimaan SP2D No: 53.12/04.0/000029/LS/5.01.5.05.0.00.25.0000/M/3/2026</t>
  </si>
  <si>
    <t>17-03-2026</t>
  </si>
  <si>
    <t>26-03-2026</t>
  </si>
  <si>
    <t>Penerimaan SP2D No: 53.12/04.0/000030/LS/5.01.5.05.0.00.25.0000/M/3/2026</t>
  </si>
  <si>
    <t>Penerimaan SP2D No: 53.12/04.0/000031/LS/5.01.5.05.0.00.25.0000/M/3/2026</t>
  </si>
  <si>
    <t xml:space="preserve">Bayar biaya belanja Honorarium Tim Penyusun Dokumen Perencanaan Pembangunan Daerah bulan Jan - Maret 2026 dari Sub Kegiatan Analisis Kondisi Daerah, Permasalahan dan Isu Strategis Pembangunan Daerah Tahun Anggaran 2026 kepada Yohanes Dade,SH,dkk </t>
  </si>
  <si>
    <t>5.01.02.2.01.0001.5.1.02.02.01.0004</t>
  </si>
  <si>
    <t>5.01.03.2.01.0007.5.1.02.04.001.0003</t>
  </si>
  <si>
    <t>Bayar biaya perjalanan dinas dalam daerah dalam rangka kegiatan survey hasil prioritas musrenbang Tingkat Kecamatan Bidang Pendidikan dan Kesehatan Tahun Anggaran 2026 di Kecamatan Laboya Barat sesuai Surat Tugas Nomor : BP4D.011.7/96/53.12/ST/03/2026 Tanggal 05 Maret 2026 dan SPD Nomor : 618-624/SPPD/2026 Tanggal 05 Maret 2026 Kepada Fika Martiana,SE,dkk</t>
  </si>
  <si>
    <t>Bayar biaya perjalanan dinas dalam daerah dalam rangka kegiatan survey hasil prioritas musrenbang Tingkat Kecamatan Bidang Pendidikan dan Kesehatan Tahun Anggaran 2026 di Puskesmas Tana Rara  sesuai Surat Tugas Nomor : BP4D.011.7/95/53.12/ST/03/2026 Tanggal 04 Maret 2026 dan SPD Nomor : 611-613/SPPD/2026 Tanggal 04 Maret 2026 Kepada Gregorius Bili Lende,dkk</t>
  </si>
  <si>
    <t>Bayar biaya perjalanan dinas dalam daerah dalam rangka kegiatan survey hasil prioritas musrenbang Tingkat Kecamatan Bidang Pendidikan dan Kesehatan Tahun Anggaran 2026 di Puskesmas Gaura   sesuai Surat Tugas Nomor : BP4D.011.7/93/53.12/ST/03/2026 Tanggal 03 Maret 2026 dan SPD Nomor : 604-605/SPPD/2026 Tanggal 03 Maret 2026 Kepada Alexander U Duka,dkk</t>
  </si>
  <si>
    <t>Bayar biaya perjalanan dinas dalam daerah dalam rangka kegiatan survey hasil prioritas musrenbang Tingkat Kecamatan Bidang Pendidikan dan Kesehatan Tahun Anggaran 2026 di Puskesmas Kabukarudi sesuai Surat Tugas Nomor : BP4D.011.7/94/53.12/ST/03/2026 Tanggal 03 Maret 2026 dan SPD Nomor : 606-610/SPPD/2026 Tanggal 03 Maret 2026 Kepada Binoni Saubaki,ST,dkk</t>
  </si>
  <si>
    <t>Bayar biaya perjalanan dinas dalam daerah dalam rangka kegiatan survey hasil prioritas musrenbang Tingkat Kecamatan Bidang Pendidikan dan Kesehatan Tahun Anggaran 2026 di Puskesmas Malata  sesuai Surat Tugas Nomor : BP4D.011.7/92/53.12/ST/03/2026 Tanggal 02 Maret 2026 dan SPD Nomor : 600-603/SPPD/2026 Tanggal 02 Maret 2026 Kepada Binoni Saubaki,ST,dkk</t>
  </si>
  <si>
    <t>Bayar biaya perjalanan dinas dalam daerah dalam rangka kegiatan survey hasil prioritas musrenbang Tingkat Kecamatan Bidang Pendidikan dan Kesehatan Tahun Anggaran 2026 di Kecamatan Loli  sesuai Surat Tugas Nomor : BP4D.011.7/89/53.12/ST/02/2026 Tanggal 27 Februari 2026 dan SPD Nomor : 584-590/SPPD/2026 Tanggal 27 Februari  2026 Kepada Fika Martiana,SE,dkk</t>
  </si>
  <si>
    <t>Bayar biaya perjalanan dinas dalam daerah dalam rangka kegiatan survey hasil prioritas musrenbang Tingkat Kecamatan Bidang Pendidikan dan Kesehatan Tahun Anggaran 2026 di Kecamatan Lamboya sesuai Surat Tugas Nomor : BP4D.011.7/88/53.12/ST/02/2026 Tanggal 25 Februari 2026 dan SPD Nomor : 578-583.a/SPPD/2026 Tanggal 25 Februari  2026 Kepada Fika Martiana,SE,dkk</t>
  </si>
  <si>
    <t>Bayar biaya perjalanan dinas dalam daerah dalam rangka kegiatan survey hasil prioritas musrenbang Tingkat Kecamatan Bidang Pendidikan dan Kesehatan Tahun Anggaran 2026 di Kecamatan Tana Righu sesuai Surat Tugas Nomor : BP4D.011.7/86/53.12/ST/02/2026 Tanggal 23 Februari 2026 dan SPD Nomor : 565-570.a/SPPD/2026 Tanggal 23 Februari  2026 Kepada Fika Martiana,SE,dkk</t>
  </si>
  <si>
    <t>Bayar biaya perjalanan dinas dalam daerah dalam rangka kegiatan survey hasil prioritas musrenbang Tingkat Kecamatan Bidang Pendidikan dan Kesehatan Tahun Anggaran 2026 di Desa Hupu Mada  sesuai Surat Tugas Nomor : BP4D.011.7/84/53.12/ST/02/2026 Tanggal 20 Februari 2026 dan SPD Nomor : 555-556/SPPD/2026 Tanggal 20 Februari  2026 Kepada Fika Martiana,SE,dkk</t>
  </si>
  <si>
    <t>Bayar biaya perjalanan dinas dalam daerah dalam rangka kegiatan survey hasil prioritas musrenbang Tingkat Kecamatan Bidang Pendidikan dan Kesehatan Tahun Anggaran 2026 di Kecamatan Wanukaka  sesuai Surat Tugas Nomor : BP4D.011.7/81/53.12/ST/02/2026 Tanggal 18  Februari 2026 dan SPD Nomor : 535-541/SPPD/2026 Tanggal 18 Februari  2026 Kepada Fika Martiana,SE,dkk</t>
  </si>
  <si>
    <r>
      <t xml:space="preserve">Bayar Biaya Belanja Kawat/Faksimili/Internet/TV Berlangganan (Internet) untuk Bulan Maret Tahun 2026 </t>
    </r>
    <r>
      <rPr>
        <b/>
        <sz val="10"/>
        <rFont val="Times New Roman"/>
        <family val="1"/>
      </rPr>
      <t>@</t>
    </r>
    <r>
      <rPr>
        <sz val="10"/>
        <rFont val="Times New Roman"/>
        <family val="1"/>
      </rPr>
      <t>Rp. 615.000 x 5 Bidang, dari Sub Kegiatan Penyediaan Jasa Komunikasi, Sumber Daya Air dan Listrik TA.2026(PAD), An. Telkom Sumba Barat  (GU 3)</t>
    </r>
  </si>
  <si>
    <t>Bayar Biaya Belanja Makanan dan Minuman Rapat Persiapan Bahan Penyusun Rencana Kerja Pemerintah Daerah Tahun 2027 dari Sub Kegiatan Analisis Kondisi Daerah, Permasalahan, dan Isu Strategis Pembangunan Daerah Tahun Anggaran 2026 Kepada Catering Kenyang Dulu An. Claradisha H. Dade (GU 3)</t>
  </si>
  <si>
    <t>06-03-2026</t>
  </si>
  <si>
    <t>Bayar biaya belanja Alat/Bahan umtuk kegiatan kantor - Alat Tulis Kantor  dari Sub Kegiatan Pelaksanaan Monitoring dan Evaluasi  Penyusunan Dokumen Perencanaan Pembangunan Perangkat Daerah Bidang Pembangunan Manusia Tahun Anggaran 2026 Kepada Kios Palaxxi An. J Wanto Sapulete (GU 3)</t>
  </si>
  <si>
    <t>Bayar biaya belanja Alat/Bahan umtuk kegiatan kantor - Kertas dan Cover  dari Sub Kegiatan Pelaksanaan Monitoring dan Evaluasi  Penyusunan Dokumen Perencanaan Pembangunan Perangkat Daerah Bidang Pembangunan Manusia Tahun Anggaran 2026 Kepada Kios Palaxxi An. J Wanto Sapulete (GU 3)</t>
  </si>
  <si>
    <t>Bayar biaya belanja Alat/Bahan umtuk kegiatan kantor - Bahan Cetak  dari Sub Kegiatan Pelaksanaan Monitoring dan Evaluasi  Penyusunan Dokumen Perencanaan Pembangunan Perangkat Daerah Bidang Pembangunan Manusia Tahun Anggaran 2026 Kepada Kios Palaxxi An. J Wanto Sapulete (GU 3)</t>
  </si>
  <si>
    <t>Bayar biaya belanja Alat/Bahan umtuk kegiatan kantor - Bahan Komputer  dari Sub Kegiatan Pelaksanaan Monitoring dan Evaluasi  Penyusunan Dokumen Perencanaan Pembangunan Perangkat Daerah Bidang Pembangunan Manusia Tahun Anggaran 2026 Kepada Kios Palaxxi An. J Wanto Sapulete (GU 3)</t>
  </si>
  <si>
    <t>Bayar Biaya  Perjalanan Luar Daerah  Kepada Alvian Z. T. Kosi,S.Pt dalam rangka mengikuti rapat koordinasi antara Pemerintah Provinsi dengan Pemerintah Kabupaten/Kota dalam rangka memastikan anggaran iuran penyelenggaraan perlindungan jaminan sosial bagi pekerja rentan Tahun Anggaran 2026 di Kupang selama 4 hari (08 s/d 11 Maret 2026) dari Sub Kegiatan Asistensi Penyusunan Dokumen Perencanaan Pembangunan Perangkat Bidang Perekonomian Tahun Anggaran 2026 (GU 3)</t>
  </si>
  <si>
    <t>10-03-2026</t>
  </si>
  <si>
    <t>Bayar Biaya Belanja Alat/Bahan untuk Kegiatan Kantor - Alat Tulis Kantor  dari Sub Kegiatan Analisis Kondisi Daerah, Permasalahan, dan Isu Strategis Pembangunan Daerah Tahun Anggaran 2026 Kepada Relasido (GU 3)</t>
  </si>
  <si>
    <t>Bayar Biaya Belanja Alat/Bahan untuk Kegiatan Kantor - Kertas dan Cover  Kantor  dari Sub Kegiatan Analisis Kondisi Daerah, Permasalahan, dan Isu Strategis Pembangunan Daerah Tahun Anggaran 2026 Kepada Relasido (GU 3)</t>
  </si>
  <si>
    <t>Bayar Biaya Belanja Alat/Bahan untuk Kegiatan Kantor - Bahan Komputer dari Sub Kegiatan Analisis Kondisi Daerah, Permasalahan, dan Isu Strategis Pembangunan Daerah Tahun Anggaran 2026 Kepada Relasido (GU 3)</t>
  </si>
  <si>
    <t>Bayar Biaya Belanja Penambah Daya Tahan Tubuh ( Makan Minum Harian Pegawai )  Bulan Maret 2026 dari sub kegiatan  Penyediaan Jasa Pelayanan Umum Kantor  Tahun Anggaran 2026 kepada Kantin Dassa Elu An. Paulina B. Deki ( GU 3)</t>
  </si>
  <si>
    <t>20-03-2026</t>
  </si>
  <si>
    <t>Bayar Biaya Belanja Bahan-Bahan Bakar dan Pelumas untuk kendaraan Dinas roda empat ED.1056.WB dan ED.8045.WB, dari Sub Kegiatan Penyediaan Jasa Pemeliharaan, Biaya Pemeliharaan dan Pajak Kendaraan Perorangan Dinas atau Kendaraan Dinas Jabatan TA.2026(PAD), An. Maria B. A. Bili (GU 3)</t>
  </si>
  <si>
    <t>Bayar Biaya Belanja Alat/Bahan umtuk kegiatan kantor - Bahan Komputer dari sub kegiatan Koordinasi dan Penyusunan Laporan Capaian Kinerja dan Ikhtisar Realisasi Kinerja SKPD Tahun Anggaran 2026 kepada Fotocopy, ATK AQIL JAYA An. Kasmun Susanto. (GU 2)</t>
  </si>
  <si>
    <t>Bayar Biaya Belanja Alat/Bahan umtuk kegiatan kantor - Bahan Cetak dari sub kegiatan Penyediaan Barang Cetakan dan Penggandaan  Tahun Anggaran 2026 kepada Fotocopy, ATK AQIL JAYA An. Kasmun Susanto. (GU 3)</t>
  </si>
  <si>
    <t>25-03-2026</t>
  </si>
  <si>
    <t>Bayar Biaya Belanja Pemeliharaan Alat Kantor dan Rumah Tangga - Alat Kantor Lainnya, dari Sub Kegiatan Penyediaan Jasa Peralatan dan Perlengkapan Kantor Tahun Anggaran 2026 (PAD), An. Jaya Elelctro Service (GU 3)</t>
  </si>
  <si>
    <t>Bayar Biaya Belanja Alat/Bahan umtuk kegiatan kantor - Alat Tulis Kantor dari sub kegiatan  Penatausahaan Arsip Dinamis pada SKPD  Tahun Anggaran 2026 kepada Fotocopy Aqil Jaya An. Kasmun Susanto  (GU3)</t>
  </si>
  <si>
    <t>Bayar Biaya Belanja Makanan dan Minuman Rapat Dalam Rangka Forum Perangkat Daerah dan Desk Renja Perangkat Daerah Kabupaten Sumba Barat Tanggal 26 - 27 Maret 2026 dari Sub Kegiatan Koordinasi Pelaksanaan Forum Perangkat Daerah/Lintas Perangkat Daerah Tahun Anggaran 2026 kepada Catering GLOTHYZER An. Antarita Gia A. Luther (GU 3)</t>
  </si>
  <si>
    <t>5.01.02.2.01.0004.5.1.02.01.01.0052</t>
  </si>
  <si>
    <t>Bayar Biaya Belanja Alat/Bahan untuk Kegiatan Kantor - Alat Tulis Kantor  dari Sub Kegiatan Koordinasi Pelaksanaan Forum Perangkat Daerah/Lintas Perangkat Daerah Tahun Anggaran 2026 kepada Relasido (GU 3)</t>
  </si>
  <si>
    <t>5.01.02.2.01.0004.5.1.02.01.01.0024</t>
  </si>
  <si>
    <t>5.01.02.2.01.0004.5.1.02.01.01.0025</t>
  </si>
  <si>
    <t>5.01.02.2.01.0004.5.1.02.01.01.0026</t>
  </si>
  <si>
    <t>5.01.02.2.01.0004.5.1.02.01.01.0029</t>
  </si>
  <si>
    <t>Bayar Biaya Belanja Alat/Bahan untuk Kegiatan Kantor - Kertas dan Cover  dari Sub Kegiatan Koordinasi Pelaksanaan Forum Perangkat Daerah/Lintas Perangkat Daerah Tahun Anggaran 2026 kepada Relasido (GU 3)</t>
  </si>
  <si>
    <t>Bayar Biaya Belanja Alat/Bahan untuk Kegiatan Kantor - Bahan Cetak  dari Sub Kegiatan Koordinasi Pelaksanaan Forum Perangkat Daerah/Lintas Perangkat Daerah Tahun Anggaran 2026 kepada Relasido (GU 3)</t>
  </si>
  <si>
    <t>Bayar Biaya Belanja Alat/Bahan untuk Kegiatan Kantor - Bahan Komputer  dari Sub Kegiatan Koordinasi Pelaksanaan Forum Perangkat Daerah/Lintas Perangkat Daerah Tahun Anggaran 2026 kepada Relasido (GU 3)</t>
  </si>
  <si>
    <t>5.01.01.2.08.0002.5.1.02.02.01.0061</t>
  </si>
  <si>
    <t>Bayar Biaya Belanja Listrik dari Sub Kegiatan Penyediaan Jasa Komunikasi, Sumber Daya Air dan Listrik TA.2026(PAD), An. Delmel  (GU 3)</t>
  </si>
  <si>
    <t>Bayar Biaya Belanja Listrik dari Sub Kegiatan Penyediaan Jasa Komunikasi, Sumber Daya Air dan Listrik TA.2026(PAD), An. PLN Suri Radjah  (GU 3)</t>
  </si>
  <si>
    <t>Bayar Biaya Belanja Pemeliharaan Alat Angkutan - Alat Angkutan Darat Bermotor Kendaraan Dinas Bermotor Perorangan Mobil Kaban (ED 8045 WB), dari Sub Kegiatan Penyediaan Jasa Pemeliharaan, Biaya Pemeliharaan dan Pajak Kendaraan Dinas Operasional atau Lapangan TA.2026(PAD), An. Steven Wadoe (GU3)</t>
  </si>
  <si>
    <t>Bayar Biaya Belanja Pemeliharaan Alat Angkutan - Alat Angkutan Darat Bermotor Kendaraan Dinas Bermotor Perorangan Mobil Kaban (ED 1056 WB), dari Sub Kegiatan Penyediaan Jasa Pemeliharaan, Biaya Pemeliharaan dan Pajak Kendaraan Dinas Operasional atau Lapangan TA.2026(PAD), An. Steven Wadoe (GU 3)</t>
  </si>
  <si>
    <t xml:space="preserve"> Waikabubak,  31 Maret 2026</t>
  </si>
  <si>
    <t>Pengguna Anggaran,</t>
  </si>
  <si>
    <t>5.01.02.2.01.0006.5.1.02.02.001.0071</t>
  </si>
  <si>
    <t>5.01.03.2.01.0007.5.1.02.01.001.0024</t>
  </si>
  <si>
    <t>5.01.03.2.01.0007.5.1.02.01.001.0025</t>
  </si>
  <si>
    <t>5.01.03.2.01.0007.5.1.02.01.001.0026</t>
  </si>
  <si>
    <t>5.01.03.2.01.0007.5.1.02.01.001.0029</t>
  </si>
  <si>
    <t>5.01.02.2.01.0001.5.1.02.01.001.0024</t>
  </si>
  <si>
    <t>5.01.02.2.01.0001.5.1.02.01.001.0025</t>
  </si>
  <si>
    <t>5.01.02.2.01.0001.5.1.02.01.001.0029</t>
  </si>
  <si>
    <t>5.01.02.2.01.0001.5.1.02.01.001.0052</t>
  </si>
  <si>
    <t>5.01.01.2.02.0007.5.1.02.02.01.0080</t>
  </si>
  <si>
    <t xml:space="preserve">                NIP. 19900813 202521 2 030</t>
  </si>
  <si>
    <t>Penerimaan SP2D No: 53.12/04.0/000032/GU/5.01.5.05.0.00.25.0000/M/3/2026</t>
  </si>
  <si>
    <t>31-03-2026</t>
  </si>
  <si>
    <t xml:space="preserve"> Waikabubak,  30 April 2026</t>
  </si>
  <si>
    <t>01-04-2026</t>
  </si>
  <si>
    <t>Penerimaan SP2D No: 53.12/04.0/000033/LS/5.01.5.05.0.00.25.0000/M/3/2026</t>
  </si>
  <si>
    <t>Penerimaan SP2D No: 53.12/04.0/000034/LS/5.01.5.05.0.00.25.0000/M/4/2026</t>
  </si>
  <si>
    <t>07-04-2026</t>
  </si>
  <si>
    <t>Penerimaan SP2D No: 53.12/04.0/000035/LS/5.01.5.05.0.00.25.0000/M/4/2026</t>
  </si>
  <si>
    <t>Penerimaan SP2D No: 53.12/04.0/000036/LS/5.01.5.05.0.00.25.0000/M/4/2026</t>
  </si>
  <si>
    <t>Bayar biaya perjalanan dinas dalam daerah dalam rangka kegiatan survey kelayakan hasil perangkingan prioritas  musrenbang bidang Pembangunan Ekonomi Berbasis Pariwisata di lingkup wilayah kecamatan Tahun Anggaran 2026 di Kecamatan Laboya Barat  sesuai Surat Tugas Nomor : BAPPERIDA.011.7/82/53.12/ST/02/2026  Tanggal 18  Februari 2026 dan SPD Nomor : 542-545/SPPD/2026 Tanggal 18 Februari  2026 Kepada Alvian Z. T. Kosi,S.Pt,dkk</t>
  </si>
  <si>
    <t>5.01.03.02.2.02.0003.5.1.02.04.01.0003</t>
  </si>
  <si>
    <t>Bayar biaya perjalanan dinas dalam daerah dalam rangka kegiatan survey kelayakan hasil perangkingan prioritas  musrenbang bidang Pembangunan Ekonomi Berbasis Pariwisata di lingkup wilayah kecamatan Tahun Anggaran 2026 di Kecamatan Loli  sesuai Surat Tugas Nomor : BAPPERIDA.011.7/85/53.12/ST/02/2026  Tanggal 20  Februari 2026 dan SPD Nomor : 559-562/SPPD/2026 Tanggal 20 Februari  2026 Kepada Alvian Z. T. Kosi,S.Pt,dkk</t>
  </si>
  <si>
    <t>Bayar biaya perjalanan dinas dalam daerah dalam rangka kegiatan survey kelayakan hasil perangkingan prioritas  musrenbang bidang Pembangunan Ekonomi Berbasis Pariwisata di lingkup wilayah kecamatan Tahun Anggaran 2026 di Kecamatan Lamboya sesuai Surat Tugas Nomor : BAPPERIDA.011.7/87/53.12/ST/02/2026  Tanggal 24  Februari 2026 dan SPD Nomor : 571-575/SPPD/2026 Tanggal 24 Februari  2026 Kepada Alvian Z. T. Kosi,S.Pt,dkk</t>
  </si>
  <si>
    <t>Bayar biaya perjalanan dinas dalam daerah dalam rangka kegiatan survey kelayakan hasil perangkingan prioritas  musrenbang bidang Pembangunan Ekonomi Berbasis Pariwisata di lingkup wilayah kecamatan Tahun Anggaran 2026 di Kecamatan Tana Righu sesuai Surat Tugas Nomor : BAPPERIDA.011.7/88.a/53.12/ST/02/2026  Tanggal 26  Februari 2026 dan SPD Nomor : 583.b-583.e/SPPD/2026 Tanggal 26 Februari  2026 Kepada Alvian Z. T. Kosi,S.Pt,dkk</t>
  </si>
  <si>
    <t>Bayar biaya perjalanan dinas dalam daerah dalam rangka kegiatan survey kelayakan hasil perangkingan prioritas  musrenbang bidang Pembangunan Ekonomi Berbasis Pariwisata di lingkup wilayah kecamatan Tahun Anggaran 2026 di Kecamatan Wanukaka  sesuai Surat Tugas Nomor : BAPPERIDA.011.7/90/53.12/ST/03/2026  Tanggal  02 Maret 2026 dan SPD Nomor : 591-594/SPPD/2026 Tanggal 02 Maret  2026 Kepada Alvian Z. T. Kosi,S.Pt,dkk</t>
  </si>
  <si>
    <t>Bayar Honorarium Penyuluh atau Pendamping Bulan April  2026 dari sub Kegiatan Monitoring, evaluasi dan Penyusunan Laporan Berkala Pelaksanaan Pembangunan Daerah Tahun Anggaran 2026 Kepada Elvira,dkk</t>
  </si>
  <si>
    <t>Bayar biaya belanja Lembur dalam rangka persiapan dan pelaksanaan penginputan dalam Aplikasi  e-DALEV ( Elektronik Pengendalian Evaluasi) atau si-Dalev untuk memasukan data pelaksanaan kinerja pembangunan daerah secara online, meliputi rancana aksi, realisasi fisik keuangan serta capaian indikator program dan sub kegiatan masing -  masing perangkat daerah TA. 2026  dari sub kegiatan koordinasi pelaksanaan forum perangkat daerah/ lintas perangkat daerah TA. 2026 kepada Charles H. Weru, S.Sos,dkk</t>
  </si>
  <si>
    <t>Bayar Biaya Belanja Penambah Daya Tahan Tubuh ( Makan Minum Harian Pegawai )  Bulan April 2026 dari sub kegiatan  Penyediaan Jasa Pelayanan Umum Kantor  Tahun Anggaran 2026 kepada Kantin Dassa Elu An. Paulina B. Deki ( GU 4)</t>
  </si>
  <si>
    <r>
      <t xml:space="preserve">Bayar Biaya Belanja Kawat/Faksimili/Internet/TV Berlangganan (Internet) untuk Bulan April Tahun 2026 </t>
    </r>
    <r>
      <rPr>
        <b/>
        <sz val="10"/>
        <rFont val="Times New Roman"/>
        <family val="1"/>
      </rPr>
      <t>@</t>
    </r>
    <r>
      <rPr>
        <sz val="10"/>
        <rFont val="Times New Roman"/>
        <family val="1"/>
      </rPr>
      <t>Rp. 615.000 x 5 Bidang, dari Sub Kegiatan Penyediaan Jasa Komunikasi, Sumber Daya Air dan Listrik TA.2026(PAD), An. Telkom Sumba Barat  (GU 4)</t>
    </r>
  </si>
  <si>
    <t>Bayar Biaya Belanja Pemeliharaan Alat Angkutan - Alat Angkutan Darat Bermotor Kendaraan Dinas Bermotor Perorangan Mobil Kaban (ED 8045 WB), dari Sub Kegiatan Penyediaan Jasa Pemeliharaan, Biaya Pemeliharaan dan Pajak Kendaraan Dinas Operasional atau Lapangan TA.2026(PAD), An. Steven Wadoe (GU4)</t>
  </si>
  <si>
    <t>Bayar Biaya Belanja Pemeliharaan Alat Angkutan - Alat Angkutan Darat Bermotor Kendaraan Dinas Bermotor Perorangan Mobil Kaban (ED 8045 WB), dari Sub Kegiatan Penyediaan Jasa Pemeliharaan, Biaya Pemeliharaan dan Pajak Kendaraan Dinas Operasional atau Lapangan TA.2026(PAD), An. Steven Wadoe (GU 4)</t>
  </si>
  <si>
    <t>Bayar biaya belanja Makanan dan Minuman kegiatan Kick Off Meeting Program Sponsorship dengan Pemda Sumba Barat Tahun Anggaran 2026  dari Sub Kegiatan Asistensi  Penyusunan Dokumen Perencanaan Pembangunan Perangkat Daerah Bidang Pemerintahan Tahun Anggaran 2026 Kepada Catering Dapur Selecta An. Hetty Abdurahman (GU 4)</t>
  </si>
  <si>
    <t>Bayar Biaya Belanja Makanan dan Minuman Rapat  Evaluasi Kinerja Perangkat Daerah Triwulan I  dari sub kegiatan  Evaluasi Kinerja Perangkat Daerah Tahun Anggaran 2026 kepada Catering Dapur Selecta An. Hetty Abdurahman  ( GU 4)</t>
  </si>
  <si>
    <t>5.01.03.02.2.02.003.5.1.02.04.01.0003</t>
  </si>
  <si>
    <t>5.01.02.2.01.004.5.1.02.02.01.00071</t>
  </si>
  <si>
    <t>5.01.03.2.01.002.5.1.02.01.001.0004</t>
  </si>
  <si>
    <t>5.01.03.2.01.002.5.1.02.01.001.0052</t>
  </si>
  <si>
    <t>5.01.01.2.09.002.5.1.02.01.01.0035</t>
  </si>
  <si>
    <t>5.01.01.2.08.002.5.1.02.02.01.0063</t>
  </si>
  <si>
    <t>5.01.01.2.08.004.5.1.02.01.01.0054</t>
  </si>
  <si>
    <t>5.01.01.2.01.007.5.1.02.01.01.0052</t>
  </si>
  <si>
    <r>
      <t xml:space="preserve">BAPPERIDA  dan kas di bendahara pengeluaran </t>
    </r>
    <r>
      <rPr>
        <b/>
        <sz val="10"/>
        <rFont val="Times New Roman"/>
        <family val="1"/>
      </rPr>
      <t>Rp. 83.422.200</t>
    </r>
    <r>
      <rPr>
        <sz val="10"/>
        <rFont val="Times New Roman"/>
        <family val="1"/>
      </rPr>
      <t xml:space="preserve"> yang terdiri dari :</t>
    </r>
  </si>
  <si>
    <t>5.01.01.2.01.005.5.1.02.01.01.0052</t>
  </si>
  <si>
    <t>Bayar Biaya Belanja Makanan dan Minuman Rapat kegiatan  Musrenbang Kabupaten dari sub kegiatan Pelaksanaan Musrenbang Kabupaten/Kota  Tahun Anggaran 2026 kepada Catering  Glothyzer An. Antaritagia A. Luther  ( GU 4)</t>
  </si>
  <si>
    <t>Bayar Biaya Belanja Makanan dan Minuman Rapat kegiatan Pra Musrenbang Kabupaten dari sub Kegiatan Pelaksanaan Musrenbang Kabupaten/Kota  Tahun Anggaran 2026 kepada Catering  Glothyzer An. Antaritagia A. Luther  ( GU 4)</t>
  </si>
  <si>
    <t>Bayar Biaya Belanja Alat/Bahan Untuk Kegiatan Kantor - Alat Tulis Kantor  dari sub kegiatan Pelaksanaan Musrenbang Kabupaten/Kota Tahun Anggaran 2026 kepada Relasido An. Iddhyaresta Dedona  ( GU 4)</t>
  </si>
  <si>
    <t>5.01.01.2.01.005.5.1.02.01.01.0024</t>
  </si>
  <si>
    <t>5.01.01.2.01.005.5.1.02.01.01.0025</t>
  </si>
  <si>
    <t>5.01.01.2.01.005.5.1.02.01.01.0026</t>
  </si>
  <si>
    <t>5.01.01.2.01.005.5.1.02.01.01.0029</t>
  </si>
  <si>
    <t>Bayar Biaya Belanja Alat/Bahan Untuk Kegiatan Kantor - Kertas dan Cover  dari sub kegiatan Pelaksanaan Musrenbang Kabupaten/Kota Tahun Anggaran 2026 kepada Relasido An. Iddhyaresta Dedona  ( GU 4)</t>
  </si>
  <si>
    <t>Bayar Biaya Belanja Alat/Bahan Untuk Kegiatan Kantor - Bahan Cetak dari sub kegiatan Pelaksanaan Musrenbang Kabupaten/Kota Tahun Anggaran 2026 kepada Relasido An. Iddhyaresta Dedona  ( GU 4)</t>
  </si>
  <si>
    <t>Bayar Biaya Belanja Alat/Bahan Untuk Kegiatan Kantor - Bahan Cetak berupa Spanduk dari sub kegiatan Pelaksanaan Musrenbang Kabupaten/Kota Tahun Anggaran 2026 kepada Relasido An. Iddhyaresta Dedona  ( GU 4)</t>
  </si>
  <si>
    <t>Bayar Biaya Belanja Alat/Bahan Untuk Kegiatan Kantor - Bahan Komputer dari sub kegiatan Pelaksanaan Musrenbang Kabupaten/Kota Tahun Anggaran 2026 kepada Relasido An. Iddhyaresta Dedona  ( GU 4)</t>
  </si>
  <si>
    <t>5.01.01.2.01.005.5.1.02.05.002.00001</t>
  </si>
  <si>
    <t>5.01.01.2.01.004.5.1.02.05.002.00001</t>
  </si>
  <si>
    <t>5.01.01.2.01.004.5.1.02.04.01.00004</t>
  </si>
  <si>
    <t>No Bukti</t>
  </si>
  <si>
    <t>5.01.01.2.06.0009.5.1.02.01.01.0052</t>
  </si>
  <si>
    <t>14-04-2026</t>
  </si>
  <si>
    <t>Bayar Biaya  Belanja Makanan dan Minuman Rapat Kegiatan Bidang Ekonomi dari Sub Kegiatan Asistensi Penyusunan Dokumen Perencanaan Pembangunan Perangkat Bidang Perekonomian Tahun Anggaran 2026 Kepada Catering Dapur Selecta An. Hetty Abdurahman  (GU 4)</t>
  </si>
  <si>
    <t>13-04-2026</t>
  </si>
  <si>
    <t>Penerimaan SP2D No: 53.12/04.0/000037/LS/5.01.5.05.0.00.25.0000/M/4/2026</t>
  </si>
  <si>
    <t>5.01.03.2.03.5.1.02.02.001.0029</t>
  </si>
  <si>
    <t>Bayar Biaya Belanja Jasa Tenaga Ahli dari Sub Kegiatan Koordinasi Penyusunan Dokumen Perencanaan Pembangunan Daerah Bidang Infrastruktur (RPJP,RPJMD dan RKPD) Kepada Ledi Y. Reli</t>
  </si>
  <si>
    <t>20-04-2026</t>
  </si>
  <si>
    <t>Penerimaan SP2D No: 53.12/04.0/000038/LS/5.01.5.05.0.00.25.0000/M/4/2026</t>
  </si>
  <si>
    <t>Penerimaan SP2D No: 53.12/04.0/000039/LS/5.01.5.05.0.00.25.0000/M/4/2026</t>
  </si>
  <si>
    <t>Penerimaan SP2D No: 53.12/04.0/000040/LS/5.01.5.05.0.00.25.0000/M/4/2026</t>
  </si>
  <si>
    <t>21-04-2026</t>
  </si>
  <si>
    <t>Penerimaan SP2D No: 53.12/04.0/000041/LS/5.01.5.05.0.00.25.0000/M/4/2026</t>
  </si>
  <si>
    <t>Penerimaan SP2D No: 53.12/04.0/000042/GU/5.01.5.05.0.00.25.0000/M/4/2026</t>
  </si>
  <si>
    <t>5.01.02.2.01.004.5.1.02.02.001.0071</t>
  </si>
  <si>
    <t>Bayar Biaya Belanja Lembur dalam rangka pelaksanaan Verifikasi Renja perangkat daerah hasil forum SKPD pada Aplikasi SIPD-RI dari Sub Kegiatan Koordinasi Pelaksanaan Forum Perangkat Daerah/ Lintas Perangkat Daerah TA. 2026 kepada Charles H.Weru,S.Sos,dkk</t>
  </si>
  <si>
    <t>5.01.03.2.02.004.5.1.02.02.001.0071</t>
  </si>
  <si>
    <t>Bayar Biaya Lembur dalam rangka Penyusunan Dokumen Rencana Penanggulangan Kemiskinan Daerah dari Sub Kegiatan Koordinasi Pelaksanaan Sinergitas dan Harmonisasi Perencanaan Pembangunan Daerah Bidang Perekonomian TA. 2026 kepada Alvian Kosi,dkk</t>
  </si>
  <si>
    <t>5.01.03.2.02.002.5.1.02.02.001.0071</t>
  </si>
  <si>
    <t>22-04-2026</t>
  </si>
  <si>
    <t>Penerimaan SP2D No: 53.12/04.0/000043/LS/5.01.5.05.0.00.25.0000/M/4/2026</t>
  </si>
  <si>
    <t>29-04-2026</t>
  </si>
  <si>
    <t>Penerimaan SP2D No: 53.12/04.0/000044/LS/5.01.5.05.0.00.25.0000/M/4/2026</t>
  </si>
  <si>
    <t>Penerimaan SP2D No: 53.12/04.0/000045/LS/5.01.5.05.0.00.25.0000/M/4/2026</t>
  </si>
  <si>
    <t>Bayar Biaya Lembur dalam rangka Pelaksanaan Evaluasi Dokumen Perencanaan Bidang Infrastruktur dan Kewilayahan dari Sub Kegiatan  Asistensi Penyusunan Dokumen Perencanaan Pembangunan Perangkat Daerah Bidang Infrastruktur TA. 2026 kepada Erlan Poro,dkk</t>
  </si>
  <si>
    <t>Bayar Biaya Belanja Lembur dalam rangka pelaksanaan Verifikasi Renja perangkat  dari Sub Kegiatan Asistensi Penyusunan Dokumen Perencanaan Pembangunan Perangkat Daerah Bidang Pemangunan Manusia  TA. 2026 kepada Fika Martiana,SE,dkk</t>
  </si>
  <si>
    <t>5.01.02.2.01.006.5.1.02.02.001.0071</t>
  </si>
  <si>
    <t>5.01.02.2.01.0001.5.1.02.04.01.0001</t>
  </si>
  <si>
    <t>Bayar Biaya Perjalanan Dinas Luar Daerah Kepada Jackson Ubu Lele Dade,S.Ak.,M.Acc dalam rangka mengikuti Audiensi dalam rangka mengsinergikan program Kerja Kementerian Kesehatan dengan Pemerintah Kabupaten Sumba Barat di Jakarta selama 4 hari dari Sub Kegiatan Analis Kondisi Daerah, Permasalahan dan Isu Strategis Pembangunan Daerah TA. 2026 (GU 5)</t>
  </si>
  <si>
    <t>5.01.03.2.01.0002.5.1.02.01.01.0004</t>
  </si>
  <si>
    <t>Bayar Biaya Belanja Perjalanan Dinas Paket Meeting Dalam Kota dalam rangka kegiatan Pertemuan Tim Gugus PAUD  HI Kabupaten Sumba Barat Tahun 2026 dari Sub Kegiatan Penyusunan Dokumen Perencanaan Pembangunan Perangkat Daerah Bidang Pemerintahan TA. 2026 kepada Martha B. Lalo,dkk (GU 5)</t>
  </si>
  <si>
    <t>5.01.03.2.01.0006.5.1.02.01.001.0052</t>
  </si>
  <si>
    <t>Bayar Biaya Belanja Makanan dan Minuman Rapat dalam Penyusunan Draf Tools Monitoring PAUD HI oleh Tim Taman  Pawoda Tahun 2026 dari sub Kegiatan Asistensi Penyusunan Dokumen Perencanaan Pembangunan Perangkat Bidang Pembangunan Manusia TA. 2026 Kepada Catering Dapur Selecta An. Hetty Abdurahman (GU 5)</t>
  </si>
  <si>
    <t>Bayar Biaya Belanja Makanan dan Minuman Rapat dalam rangka Pertemuan Tim Gugus Tugas PAUD HI Kabupaten Tahun 2026 dari sub Kegiatan Asistensi Penyusunan Dokumen Perencanaan Pembangunan Perangkat Bidang Pembangunan Manusia TA. 2026 Kepada Catering Dapur Selecta An. Hetty Abdurahman (GU 5)</t>
  </si>
  <si>
    <t>5.01.03.2.0002.5.1.02.01.01.0054</t>
  </si>
  <si>
    <t>Bayar Biaya Belanja Penambah Daya Tahan Tubuh ( Makan Minum Lembur ) Kegiatan Evaluasi Dokumen Perencanaan Bidang Infrastruktur TA. 2026 dari sub kegiatan Asistensi Penyusunan Dokumen Perencanaan Pembangunan Perangkat Daerah Bidang Infrastruktur TA. 2026 kepada Dapur Budi An. Dian J. Christiana (GU 5)</t>
  </si>
  <si>
    <t>5.01.03.2.01.008.5.1.02.02.001.0004</t>
  </si>
  <si>
    <t>Bayar Biaya Belanja Honorarium Panitia Pelaksana Kegiatan Taman Pawoda Bulan Jan - Maret 2026 dari Sub Kegiatan Koordinasi Pelaksanaan Sinergitas dan Harmonisasi Perencanaan Pembangunan Daerah Bidang Pembangunan Manusia TA. 2026 kepada Martha B. Lalo,dkk</t>
  </si>
  <si>
    <t>5.01.03.2.02.002.5.1.02.001.00071</t>
  </si>
  <si>
    <t>5.01.03.2.02.003.5.1.02.001.00071</t>
  </si>
  <si>
    <t>Bayar Biaya Lembur dalam rangka Penyusunan Dokumen Rencana Penanggulangan Kemiskinan Daerah dari Sub Kegiatan Pelaksanaan Monitoring dan Evaluasi Penyusunan Dokumen Perencanaan Pembangunan Perangkat Daerah  Bidang Perekonomian TA. 2026 kepada Alvian Kosi,dkk</t>
  </si>
  <si>
    <t>Bayar Biaya Lembur dalam rangka Evaluasi Dokumen RENJA Perangkat Daerah Bidang Ekonomi dari Sub Kegiatan Asistensi Penyusunan Dokumen Perencanaan Pembangunan Perangkat Daerah  Bidang Perekonomian TA. 2026 kepada Alvian Kosi,dkk</t>
  </si>
  <si>
    <t>Bayar biaya belanja Perjalanan Dinas paket meeting dalam kota  kegiatan Kick Off Meeting Program Sponsorship dengan Pemda Sumba Barat Tahun Anggaran 2026  dari Sub Kegiatan Asistensi  Penyusunan Dokumen Perencanaan Pembangunan Perangkat Daerah Bidang Pemerintahan Tahun Anggaran 2026 Kepada Martha B. Lalo,dkk (GU 4)</t>
  </si>
  <si>
    <t>Bayar Biaya Belanja Perjalanan Dinas Paket Meeting Dalam Kota ( Transport Delegasi ) dari sub kegiatan Koordinasi  Pelaksanaan Forum Perangkat Daerah/Lintas Perangkat Daerah Tahun Anggaran 2026 kepada Lidia Bani,dkk    ( GU 4)</t>
  </si>
  <si>
    <t>Bayar Biaya Belanja Jasa yang diberikan kepada pihak ketiga/pihak lain ( Dekorasi ) dari sub kegiatan Pelaksanaan Musrenbang Kabupaten/Kota Tahun Anggaran 2026 kepada Imanuel Gesi  ( GU 4)</t>
  </si>
  <si>
    <t>Bayar Biaya Belanja Jasa yang diberikan kepada pihak ketiga/pihak lain ( Dekorasi ) dari sub kegiatan Koordinasi  Pelaksanaan Forum Perangkat Daerah/Lintas Perangkat Daerah Tahun Anggaran 2026 kepada Imanuel Gesi   ( GU 4)</t>
  </si>
  <si>
    <t>890227</t>
  </si>
  <si>
    <t>6485339551</t>
  </si>
  <si>
    <t>Gaji Bulan Mei 2026</t>
  </si>
  <si>
    <t>04-05-2026</t>
  </si>
  <si>
    <t>Penerimaan SP2D No: 53.12/04.0/000046/LS/5.01.5.05.0.00.25.0000/M/5/2026</t>
  </si>
  <si>
    <t>05-05-2026</t>
  </si>
  <si>
    <t>Penerimaan SP2D No: 53.12/04.0/000047/GU/5.01.5.05.0.00.25.0000/M/5/2026</t>
  </si>
  <si>
    <t>Penerimaan SP2D No: 53.12/04.0/000048/LS/5.01.5.05.0.00.25.0000/M/5/2026</t>
  </si>
  <si>
    <t>Bayar Honorarium Penyuluh atau Pendamping Bulan Mei  2026 dari sub Kegiatan Monitoring, evaluasi dan Penyusunan Laporan Berkala Pelaksanaan Pembangunan Daerah Tahun Anggaran 2026 Kepada Elvira,dkk</t>
  </si>
  <si>
    <t>Bayar Kepada Charles Hermana Weru S.Sos, dalam rangka mengikuti Pra- Musrenbang dan Musrenbang RKPD Provinsi NTT di Kupang selama 5 hari (06 s/d 10 Mei 2026) dari sub kegiatan Penyelenggaraan Rapat Koordinasi dan Konsultasi  SKPD Tahun Anggaran 2026 (GU 6)</t>
  </si>
  <si>
    <r>
      <t xml:space="preserve">Bayar Biaya Belanja Kawat/Faksimili/Internet/TV Berlangganan (Internet) untuk Bulan Mei Tahun 2026 </t>
    </r>
    <r>
      <rPr>
        <b/>
        <sz val="10"/>
        <rFont val="Times New Roman"/>
        <family val="1"/>
      </rPr>
      <t>@</t>
    </r>
    <r>
      <rPr>
        <sz val="10"/>
        <rFont val="Times New Roman"/>
        <family val="1"/>
      </rPr>
      <t>Rp. 615.000 x 5 Bidang, dari Sub Kegiatan Penyediaan Jasa Komunikasi, Sumber Daya Air dan Listrik TA.2026(PAD), An. Telkom Sumba Barat  (GU 6)</t>
    </r>
  </si>
  <si>
    <t>Bayar Biaya Belanja Penambah Daya Tahan Tubuh ( Makan Minum Harian Pegawai )  Bulan Mei  2026 dari sub kegiatan  Penyediaan Jasa Pelayanan Umum Kantor  Tahun Anggaran 2026 kepada Kantin Dassa Elu An. Paulina B. Deki ( GU 6)</t>
  </si>
  <si>
    <t>Bayar Kepada Jackson Ubulele Dade,S.Ak.,M.Acc dalam rangka mengikuti Pra- Musrenbang dan Musrenbang RKPD Provinsi NTT di Kupang selama 5 hari (06 s/d 10 Mei 2026) dari sub kegiatan Pelaksanaan Musrenbang Kabupaten/Kota Tahun Anggaran 2026 (GU 6)</t>
  </si>
  <si>
    <t>5.01.02.2.01.0006.5.1.02.04.01.0001</t>
  </si>
  <si>
    <t>Bayar Kepada Helmi Rusdyawati,SE dalam rangka mengikuti Pra- Musrenbang dan Musrenbang RKPD Provinsi NTT di Kupang selama 4 hari (08 s/d 11 Mei 2026) dari sub kegiatan Koordinasi Penyusunan dan Penetapan Dokumen Perencanaan Pembangunan Daerah Kabupaten/Kota Tahun Anggaran 2026 (GU 6)</t>
  </si>
  <si>
    <t>5.01.02.2.01.0007.5.1.02.04.01.0001</t>
  </si>
  <si>
    <t>Bayar biaya belanja Alat/Bahan umtuk kegiatan kantor - Bahan Komputer  dari Sub Kegiatan Asistensi Penyusunan Dokumen Perencanaan Pembangunan Perangkat Daerah Bidang Pemerintahan Tahun Anggaran 2026 Kepada Fotocopi AQIL Jayai An. Kasmun Susanto (GU6)</t>
  </si>
  <si>
    <t>5.01.03.2.01.0006.5.1.02.04.01.0001</t>
  </si>
  <si>
    <t>Bayar Kepada Fika Martiana,SE dalam rangka mengikuti Pra- Musrenbang dan Musrenbang RKPD Provinsi NTT di Kupang selama 5 hari (06 s/d 10 Mei 2026) dari sub kegiatan Asistensi Penyusunan Dokumen Perencanaan Pembangunan Perangkat Daerah Bidang Pembangunan Manusia  Tahun Anggaran 2026 (GU 6)</t>
  </si>
  <si>
    <t>Bayar Kepada Charles Hermana Weru S.Sos, dalam rangka mengikuti Advokasi dan Fasilitasi Percepatan Pembentukan Pokja BSAN di Kupang selama 3 hari (11 s/d 13 Mei 2026) dari sub kegiatan Asistensi Penyusunan Dokumen Perencanaan Pembangunan Perangkat Bidang Pembangunan Manusia Tahun Anggaran 2026 (GU 6)</t>
  </si>
  <si>
    <t>Bayar Kepada Binoni Saubaki,ST dalam rangka mengikuti Pra- Musrenbang dan Musrenbang RKPD Provinsi NTT di Kupang selama 4 hari (08 s/d 11 Mei 2026) dari sub kegiatan Asistensi Penyusunan Dokumen Perencanaan Pembangunan Perangkat Bidang Pembangunan Manusia Tahun Anggaran 2026 (GU 6)</t>
  </si>
  <si>
    <t>5.01.03.2.01.0007.5.1.02.01.01.0024</t>
  </si>
  <si>
    <t>Bayar biaya belanja Alat/Bahan umtuk kegiatan kantor - Kertas dan Cover  dari Sub Kegiatan Pelaksanaan Monitoring dan Evaluasi Penyusunan Dokumen Perencanaan Pembangunan  Perangkat Daerah Bidang Pembangunan Manusia  Tahun Anggaran 2026 Kepada Kios Palaxxi An. J Wanto Sapulete  (GU6)</t>
  </si>
  <si>
    <t>5.01.03.2.01.0007.5.1.02.01.01.0029</t>
  </si>
  <si>
    <t>Bayar biaya belanja Alat/Bahan umtuk kegiatan kantor - Bahan Komputer dari Sub Kegiatan Pelaksanaan Monitoring dan Evaluasi Penyusunan Dokumen Perencanaan Pembangunan  Perangkat Daerah Bidang Pembangunan Manusia  Tahun Anggaran 2026 Kepada Kios Palaxxi An. J Wanto Sapulete  (GU6)</t>
  </si>
  <si>
    <t>5.01.03.2.01.0008.5.1.02.01.01.0024</t>
  </si>
  <si>
    <t>Bayar biaya belanja Alat/Bahan umtuk kegiatan kantor - Alat Tulis Kantor  dari Sub Kegiatan Koordinasi Pelaksanaan Sinergitas dan Harmonisasi Perencanaan Pembangunan Daerah Bidang Pembangunan Manusia   Tahun Anggaran 2026 Kepada Kios Palaxxi An. J Wanto Sapulete  (GU6)</t>
  </si>
  <si>
    <t>5.01.03.2.01.0008.5.1.02.01.01.0025</t>
  </si>
  <si>
    <t>Bayar biaya belanja Alat/Bahan umtuk kegiatan kantor - Kertas dan Cover dari Sub Kegiatan Koordinasi Pelaksanaan Sinergitas dan Harmonisasi Perencanaan Pembangunan Daerah Bidang Pembangunan Manusia   Tahun Anggaran 2026 Kepada Kios Palaxxi An. J Wanto Sapulete  (GU6)</t>
  </si>
  <si>
    <t>5.01.03.2.01.0008.5.1.02.01.01.0029</t>
  </si>
  <si>
    <t>Bayar biaya belanja Alat/Bahan umtuk kegiatan kantor - Bahan Komputer dari Sub Kegiatan Koordinasi Pelaksanaan Sinergitas dan Harmonisasi Perencanaan Pembangunan Daerah Bidang Pembangunan Manusia   Tahun Anggaran 2026 Kepada Kios Palaxxi An. J Wanto Sapulete  (GU6)</t>
  </si>
  <si>
    <t>5.01.03.2.03.0001.5.1.02.01.01.0052</t>
  </si>
  <si>
    <t>Bayar Biaya Belanja Makanan dan Minuman Rapat Kegiatan Kick Off Meeting Penyusunan dan Pemutakhiran Dokumen SSK  dari sub kegiatan Koordinasi Penyusunan Dokumen Perencanaan Pembangunan Daerah Bidang Infrastruktur Tahun Anggaran  2026 kepada Dapur Budi An. Dian J. Christiana (GU 6)</t>
  </si>
  <si>
    <t>5.05.02.2.01.003.5.1.02.2.01.01.0025</t>
  </si>
  <si>
    <t>Bayar biaya belanja Alat/Bahan umtuk kegiatan kantor - Alat Tulis Kantor  dari Sub Kegiatan Fasilitasi, Pelaksanaan dan Evaluasi Penelitian dan Pengembangan Bidang Kelembagaan dan Ketatalaksanaan Tahun Anggaran 2026 kepada Kios Palaxxi An. J Wanto Sapulete (GU 6 )</t>
  </si>
  <si>
    <t>Bayar biaya belanja Alat/Bahan umtuk kegiatan kantor - Kertas dan Cover  dari Sub Kegiatan Fasilitasi, Pelaksanaan dan Evaluasi Penelitian dan Pengembangan Bidang Kelembagaan dan Ketatalaksanaan Tahun Anggaran 2026 kepada Kios Palaxxi An. J Wanto Sapulete (GU 6 )</t>
  </si>
  <si>
    <t>Bayar biaya belanja Alat/Bahan umtuk kegiatan kantor - Bahan Cetak  dari Sub Kegiatan Fasilitasi, Pelaksanaan dan Evaluasi Penelitian dan Pengembangan Bidang Kelembagaan dan Ketatalaksanaan Tahun Anggaran 2026 kepada Kios Palaxxi An. J Wanto Sapulete (GU 6 )</t>
  </si>
  <si>
    <t>Bayar biaya belanja Alat/Bahan umtuk kegiatan kantor - Bahan Komputer  dari Sub Kegiatan Fasilitasi, Pelaksanaan dan Evaluasi Penelitian dan Pengembangan Bidang Kelembagaan dan Ketatalaksanaan Tahun Anggaran 2026 kepada Kios Palaxxi An. J Wanto Sapulete (GU 6 )</t>
  </si>
  <si>
    <t>Bayar biaya belanja Alat/Bahan umtuk kegiatan kantor - Alat Tulis Kantor  dari Sub Kegiatan Fasilitasi, Pelaksanaan dan Evaluasi Penelitian dan Pengembangan Bidang Keuangan dan Aset Daerah, Reformasi Birokrasi  Tahun Anggaran 2026 kepada Kios Palaxxi An. J Wanto Sapulete (GU 6)</t>
  </si>
  <si>
    <t>Bayar biaya belanja Alat/Bahan umtuk kegiatan kantor - Kertas dan Cover  dari Sub Kegiatan Fasilitasi, Pelaksanaan dan Evaluasi Penelitian dan Pengembangan Bidang Keuangan dan Aset Daerah, Reformasi Birokrasi  Tahun Anggaran 2026 kepada Kios Palaxxi An. J Wanto Sapulete (GU 6 )</t>
  </si>
  <si>
    <t>Bayar biaya belanja Alat/Bahan umtuk kegiatan kantor - Bahan Cetak  dari Sub Kegiatan Fasilitasi, Pelaksanaan dan Evaluasi Penelitian dan Pengembangan Bidang Keuangan dan Aset Daerah, Reformasi Birokrasi  Tahun Anggaran 2026 kepada Kios Palaxxi An. J Wanto Sapulete (GU 6 )</t>
  </si>
  <si>
    <t>Bayar biaya belanja Alat/Bahan umtuk kegiatan kantor - Bahan Komputer dari Sub Kegiatan Fasilitasi, Pelaksanaan dan Evaluasi Penelitian dan Pengembangan Bidang Keuangan dan Aset Daerah, Reformasi Birokrasi  Tahun Anggaran 2026 kepada Kios Palaxxi An. J Wanto Sapulete (GU 6)</t>
  </si>
  <si>
    <t>5.05.02.2.01.0003.5.1.02.2.01.01.0024</t>
  </si>
  <si>
    <t>5.05.02.2.01.0003.5.1.02.2.01.01.0029</t>
  </si>
  <si>
    <t>Bayar biaya belanja Alat/Bahan umtuk kegiatan kantor - Alat Tulis Kantor  dari Sub Kegiatan Fasilitasi dan Pembinaan Pelaksanaan Penelitian Pengembangan, Pengkajian dan Penerapan Tahun Anggaran 2026 kepada Kios Palaxxi An. J Wanto Sapulete (GU 6 )</t>
  </si>
  <si>
    <t>Bayar biaya belanja Alat/Bahan umtuk kegiatan kantor - Kertas dan Cover  dari Sub Kegiatan Fasilitasi dan Pembinaan Pelaksanaan Penelitian Pengembangan, Pengkajian dan Penerapan Tahun Anggaran 2026 kepada Kios Palaxxi An. J Wanto Sapulete (GU 6 )</t>
  </si>
  <si>
    <t>Bayar biaya belanja Alat/Bahan umtuk kegiatan kantor - Bahan Komputer dari Sub Kegiatan Fasilitasi dan Pembinaan Pelaksanaan Penelitian Pengembangan, Pengkajian dan Penerapan Tahun Anggaran 2026 kepada Kios Palaxxi An. J Wanto Sapulete (GU 6 )</t>
  </si>
  <si>
    <t>5.05.02.2.02.0003.5.1.02.2.01.01.0025</t>
  </si>
  <si>
    <t>Bayar biaya belanja Alat/Bahan umtuk kegiatan kantor - Kertas dan Cover dari Sub Kegiatan Fasilitasi Pembinaan untuk penyelenggaraan pengembangan Klaster Inovasi Berbasis Produk Unggulan Daerah  Anggaran 2026 kepada Kios Palaxxi An. J Wanto Sapulete (GU 6 )</t>
  </si>
  <si>
    <t>Bayar biaya belanja Alat/Bahan umtuk kegiatan kantor - Alat Tulis Kantor dari Sub Kegiatan Fasilitasi dan Pembinaan Untuk Apresiasi Prestasi Inovasi  Anggaran 2026 kepada Kios Palaxxi An. J Wanto Sapulete (GU 6 )</t>
  </si>
  <si>
    <t>Bayar biaya belanja Alat/Bahan umtuk kegiatan kantor - Bahan Cetak dari Sub Kegiatan Fasilitasi dan Pembinaan Untuk Apresiasi Prestasi Inovasi  Anggaran 2026 kepada Kios Palaxxi An. J Wanto Sapulete (GU 6)</t>
  </si>
  <si>
    <t>Bayar biaya belanja Alat/Bahan umtuk kegiatan kantor - Bahan Cetak dari Sub Kegiatan Fasilitasi dan Pembinaan Untuk Apresiasi Prestasi Inovasi  Anggaran 2026 kepada Kios Palaxxi An. J Wanto Sapulete (GU 6 )</t>
  </si>
  <si>
    <t>Bayar biaya belanja Alat/Bahan umtuk kegiatan kantor - Alat Tulis Kantor dari Sub Kegiatan Fasilitasi Pembinaan untuk Prakarsa Pengembangan Riset dan Inovasi Daerah Berdasarkan Kebutuhan Daerah untuk Promosi Produk Unggulan Daerah dan /atau Mengatasi Permasalahan Daerah Tahun  Anggaran 2026 kepada Kios Palaxxi An. J Wanto Sapulete (GU 6 )</t>
  </si>
  <si>
    <t>Bayar biaya belanja Alat/Bahan umtuk kegiatan kantor - Kertas dan Cover dari Sub Kegiatan Fasilitasi Pembinaan untuk Prakarsa Pengembangan Riset dan Inovasi Daerah Berdasarkan Kebutuhan Daerah untuk Promosi Produk Unggulan Daerah dan /atau Mengatasi Permasalahan Daerah Tahun  Anggaran 2026 kepada Kios Palaxxi An. J Wanto Sapulete (GU 6 )</t>
  </si>
  <si>
    <t>Bayar biaya belanja Alat/Bahan umtuk kegiatan kantor - Bahan Cetak dari Sub Kegiatan Fasilitasi Pembinaan untuk Prakarsa Pengembangan Riset dan Inovasi Daerah Berdasarkan Kebutuhan Daerah untuk Promosi Produk Unggulan Daerah dan /atau Mengatasi Permasalahan Daerah Tahun  Anggaran 2026 kepada Kios Palaxxi An. J Wanto Sapulete (GU 6 )</t>
  </si>
  <si>
    <t>Bayar biaya belanja Alat/Bahan umtuk kegiatan kantor - Bahan Komputer dari Sub Kegiatan Fasilitasi Pembinaan untuk Prakarsa Pengembangan Riset dan Inovasi Daerah Berdasarkan Kebutuhan Daerah untuk Promosi Produk Unggulan Daerah dan /atau Mengatasi Permasalahan Daerah Tahun  Anggaran 2026 kepada Kios Palaxxi An. J Wanto Sapulete (GU 6 )</t>
  </si>
  <si>
    <t>Penerimaan SP2D No: 53.12/04.0/000049/LS/5.01.5.05.0.00.25.0000/M/5/2026</t>
  </si>
  <si>
    <t>Bayar biaya belaja honorarium penggungjawaban pengelola keuangan bulan April - Mei Tahun 2026 kepada Arviani Asia Paulina Kore dari Sub Kegiatan Koordinasi dan Penyusunan Laporan Keuangan Bulanan/Triwulan/Semesteran SKPD Tahun Anggaran 2026.</t>
  </si>
  <si>
    <t>19-05-2026</t>
  </si>
  <si>
    <t>Penerimaan SP2D No: 53.12/04.0/000050/LS/5.01.5.05.0.00.25.0000/M/5/2026</t>
  </si>
  <si>
    <t>20-05-2026</t>
  </si>
  <si>
    <t>Bayar biaya perjalanan dinas dalam daerah dalam rangka pengambilan dan validasi data dokumen Pemutakhiran strategi sanitasi kabupaten (SSK)  Tahun Anggaran 2026 di Kecamatan  Kota Waikabubak selama 1 hari sesuai Surat Tugas Nomor : BAPPERIDA.011.7/102/53.12/ST/04/2026  Tanggal  08 April  2026 dan SPD Nomor : 651-655/SPPD/2026 Tanggal 08 April   2026 Kepada Martha B. Imung,S.AP,dkk</t>
  </si>
  <si>
    <t>Bayar biaya perjalanan dinas dalam daerah dalam rangka pengambilan dan validasi data dokumen Pemutakhiran strategi sanitasi kabupaten (SSK)  Tahun Anggaran 2026 di Kecamatan  Wanukaka selama 2 hari sesuai Surat Tugas Nomor : BAPPERIDA.011.7/105/53.12/ST/04/2026  Tanggal  15 April  2026 dan SPD Nomor : 667-672/SPPD/2026 Tanggal 15-16  April   2026 Kepada Erlan Poro,ST.,M.Sc,dkk</t>
  </si>
  <si>
    <t>Bayar biaya perjalanan dinas dalam daerah dalam rangka pengambilan dan validasi data dokumen Pemutakhiran strategi sanitasi kabupaten (SSK)  Tahun Anggaran 2026 di Kecamatan  Loli  selama 2 hari sesuai Surat Tugas Nomor : BAPPERIDA.011.7/107/53.12/ST/04/2026  Tanggal  20 April  2026 dan SPD Nomor : 678-683/SPPD/2026 Tanggal  20-21 April   2026 Kepada Imanuel Moses Kalegotana,ST.M.Si ,dkk</t>
  </si>
  <si>
    <t>Bayar biaya perjalanan dinas dalam daerah dalam rangka pengambilan dan validasi data dokumen Pemutakhiran strategi sanitasi kabupaten (SSK)  Tahun Anggaran 2026 di Kecamatan  Lamboya selama 2 hari sesuai Surat Tugas Nomor : BAPPERIDA.011.7/109/53.12/ST/04/2026  Tanggal  22 April  2026 dan SPD Nomor : 690-695/SPPD/2026 Tanggal 22-23 April   2026 Kepada Erlan Poro,ST.,M.Sc,dkk</t>
  </si>
  <si>
    <t>Bayar biaya perjalanan dinas dalam daerah dalam rangka pengambilan dan validasi data dokumen Pemutakhiran strategi sanitasi kabupaten (SSK)  Tahun Anggaran 2026 di Kecamatan Tana Righu selama 2 hari sesuai Surat Tugas Nomor : BAPPERIDA.011.7/112/53.12/ST/04/2026  Tanggal  27 April  2026 dan SPD Nomor : 707-712/SPPD/2026 Tanggal  27-28 April   2026 Kepada Imanuel Moses Kalegotana,ST.M.Si ,dkk</t>
  </si>
  <si>
    <t>Bayar biaya perjalanan dinas dalam daerah dalam rangka pengambilan dan validasi data dokumen Pemutakhiran strategi sanitasi kabupaten (SSK)  Tahun Anggaran 2026 di Kecamatan  Laboya Barat  selama 2 hari sesuai Surat Tugas Nomor : BAPPERIDA.011.7/115/53.12/ST/05/2026  Tanggal  04 Mei 2026 dan SPD Nomor : 721-725/SPPD/2026 Tanggal 04 - 05 Mei  2026 Kepada Erlan Poro,ST.,M.Sc,dkk</t>
  </si>
  <si>
    <t>Penerimaan SP2D No: 53.12/04.0/000051/GU/5.01.5.05.0.00.25.0000/M/5/2026</t>
  </si>
  <si>
    <r>
      <t xml:space="preserve">BAPPERIDA  dan kas di bendahara pengeluaran </t>
    </r>
    <r>
      <rPr>
        <b/>
        <sz val="10"/>
        <rFont val="Times New Roman"/>
        <family val="1"/>
      </rPr>
      <t xml:space="preserve">Rp. 22.609.300 </t>
    </r>
    <r>
      <rPr>
        <sz val="10"/>
        <rFont val="Times New Roman"/>
        <family val="1"/>
      </rPr>
      <t xml:space="preserve"> yang terdiri dari :</t>
    </r>
  </si>
  <si>
    <t xml:space="preserve">Pada hari ini Jumat Tanggal Dua Puluh Sembilan  Bulan  Mei Tahun Dua Ribu Dua Puluh Enam telah melaksanakan opname kas pada perangkat Daerah  </t>
  </si>
  <si>
    <t xml:space="preserve"> Waikabubak,  29 Mei 2026</t>
  </si>
  <si>
    <t>5.01.02.2.01.0007.5.1.02.01.01.0024</t>
  </si>
  <si>
    <t>5.01.02.2.01.0007.5.1.02.01.01.0025</t>
  </si>
  <si>
    <t>5.01.02.2.01.0007.5.1.02.01.01.0029</t>
  </si>
  <si>
    <t>25-05-2026</t>
  </si>
  <si>
    <t>21-05-2026</t>
  </si>
  <si>
    <t>5.01.03.2.01.0002.5.1.02.04.01.0001</t>
  </si>
  <si>
    <t>Bayar Biaya Belanja Alat/Bahan untuk Kegiatan Kantor - Alat Tulis Kantor  dari sub kegiatan Koordinasi Penyusunan dan Penetapan Dokumen Perencanaan Pembangunan Daerah Kabupaten/Kota Tahun Anggaran 2026 kepada Relasido  (GU 7)</t>
  </si>
  <si>
    <t>Bayar Biaya Belanja Alat/Bahan untuk Kegiatan Kantor - Kertas dan Cover  dari sub kegiatan Koordinasi Penyusunan dan Penetapan Dokumen Perencanaan Pembangunan Daerah Kabupaten/Kota Tahun Anggaran 2026 kepada Relasido  (GU 7)</t>
  </si>
  <si>
    <t>Bayar Biaya Belanja Alat/Bahan untuk Kegiatan Kantor - Bahan Komputer  dari sub kegiatan Koordinasi Penyusunan dan Penetapan Dokumen Perencanaan Pembangunan Daerah Kabupaten/Kota Tahun Anggaran 2026 kepada Relasido  (GU 7)</t>
  </si>
  <si>
    <t>Bayar Kepada Cornelis Dangga Dokoebani,SE  dalam rangka mengikuti Pra- Musrenbang dan Musrenbang RKPD Provinsi NTT di Kupang selama 4 hari (08 s/d 11 Mei 2026) dari sub kegiatan Asistensi Penyusunan Dokumen Perencanaan Pembangunan Perangkat Bidang Pemerintahan  Tahun Anggaran 2026 (GU 7)</t>
  </si>
  <si>
    <t>5.01.03.2.01.0008.5.1.02.04.01.0001</t>
  </si>
  <si>
    <t>Bayar Kepada Imanuel Moses Kalegotana,ST.M.Si,dkk  dalam rangka Kegiatan Koordinasi Bidang Pendidikan dan Kesehatan se-Daratan Sumba di Sumba Timur selama 2 hari dari sub kegiatan Koordinasi Pelaksanaan Sinergitas dan Harmonisasi Perencanaan Pembangunan Daerah Bidang Pembangunan Manusia  Tahun Anggaran 2026 (GU 7)</t>
  </si>
  <si>
    <t>5.01.03.2.03.0001.5.1.02.04.01.0001</t>
  </si>
  <si>
    <t>Bayar Kepada Erlan Poro,ST.,M.Sc  dalam rangka mengikuti Pra- Musrenbang dan Musrenbang RKPD Provinsi NTT di Kupang selama 4 hari (08 s/d 11 Mei 2026) dari sub kegiatan Koordinasi Penyusunan Dokumen Perencanaan Pembangunan Daerah Bidang Infrastruktur  Tahun Anggaran 2026 (GU 7)</t>
  </si>
  <si>
    <t>Bayar Kepada Caesar Calveru El Rambi,S.Ars dalam rangka mengikuti Pra- Musrenbang dan Musrenbang RKPD Provinsi NTT di Kupang selama 4 hari (08 s/d 11 Mei 2026) dari sub kegiatan Koordinasi Penyusunan Dokumen Perencanaan Pembangunan Daerah Bidang Infrastruktur  Tahun Anggaran 2026 (GU 7)</t>
  </si>
  <si>
    <t>Bayar Kepada Martha B. Imung,S.AP  dalam rangka mengikuti Asistensi dan Bimbingan Teknis Penginputan Instrumen Strategis Sanitasi Kabupaten di Kupang selama 5 hari ( 20 s/d24 Mei 2026) dari sub kegiatan Koordinasi Penyusunan Dokumen Perencanaan Pembangunan Daerah Bidang Infrastruktur  Tahun Anggaran 2026 (GU 7)</t>
  </si>
  <si>
    <t>Bayar Kepada Angela Sujanuarti,S.Ars  dalam rangka mengikuti Asistensi dan Bimbingan Teknis Penginputan Instrumen Strategis Sanitasi Kabupaten di Kupang selama 5 hari ( 20 s/d24 Mei 2026) dari sub kegiatan Koordinasi Penyusunan Dokumen Perencanaan Pembangunan Daerah Bidang Infrastruktur  Tahun Anggaran 2026 (GU 7)</t>
  </si>
  <si>
    <t>5.05.02.2.01.003.5.1.02.2.01.01.0052</t>
  </si>
  <si>
    <t>Bayar biaya belanja Makanan dan Minuman Rapat   dari Sub Kegiatan Fasilitasi, Pelaksanaan dan Evaluasi Penelitian dan Pengembangan Bidang Kelembagaan dan Ketatalaksanaan Tahun Anggaran 2026 kepada Catering Kuda Bintang An. Syahrul A. Kasih (GU 7 )</t>
  </si>
  <si>
    <t>Bayar biaya belanja Makanan dan Minuman Rapat  dari Sub Kegiatan Fasilitasi, Pelaksanaan dan Evaluasi Penelitian dan Pengembangan Bidang Keuangan dan Aset Daerah, Reformasi Birokrasi  Tahun Anggaran 2026 kepada Catering Kuda Bintang An. Syahrul A.Kasih (GU 7)</t>
  </si>
  <si>
    <t>5.05.02.2.01.005.5.1.02.2.01.01.0052</t>
  </si>
  <si>
    <t>5.05.02.2.02.0012.5.1.02.2.01.01.0052</t>
  </si>
  <si>
    <t>Bayar biaya belanja Makanan dan Minuman Rapat Kegiatan Persiapan Tim Inovasi Daerah dari Sub Kegiatan Fasilitasi dan Pembinaan Untuk Apresiasi Prestasi Inovasi  Anggaran 2026 kepada Catering Kuda Bintang An. Syahrul A. Kasih (GU 7)</t>
  </si>
  <si>
    <t>Bayar biaya belanja Makanan dan Minuman Rapat Kegiatan Lomba  Inovasi Daerah dari Sub Kegiatan Fasilitasi dan Pembinaan Untuk Apresiasi Prestasi Inovasi  Anggaran 2026 kepada Catering Kuda Bintang An. Syahrul A. Kasih (GU 7)</t>
  </si>
  <si>
    <t>Bayar biaya belanja Makanan dan Minuman Rapat Kegiatan Finalisasi  Tim Inovasi Daerah dari Sub Kegiatan Fasilitasi dan Pembinaan Untuk Apresiasi Prestasi Inovasi  Anggaran 2026 kepada Catering Kuda Bintang An. Syahrul A. Kasih (GU 7)</t>
  </si>
  <si>
    <t>26-05-2026</t>
  </si>
  <si>
    <t>Penerimaan SP2D No: 53.12/04.0/000052/LS/5.01.5.05.0.00.25.0000/M/5/2026</t>
  </si>
  <si>
    <t>Bayar Biaya Belanja Jasa Tenaga Ahli Bulan Mei 2026 dari Sub Kegiatan Koordinasi Penyusunan Dokumen Perencanaan Pembangunan Daerah Bidang Infrastruktur (RPJP,RPJMD dan RKPD) Kepada Ledi Y. Reli</t>
  </si>
  <si>
    <t>Penerimaan SP2D No: 53.12/04.0/000053/LS/5.01.5.05.0.00.25.0000/M/5/2026</t>
  </si>
  <si>
    <t>5.01.03.2.03.01.5.1.02.02.01.0004</t>
  </si>
  <si>
    <t xml:space="preserve">Bayar biaya belanja Honorarium Tim Pelaksana Kegiatan Pemutakhiran Dokumen Strategi Sanitasi Kabupaten (SSK) Tahun 2026 dari Sub Kegiatan Koordinasi Penyusunan Dokumen Perencanaan Pembangunan Daerah Bidang Infrastruktur (RPJPD,RPJMD dan RKPD) Tahun Anggaran 2026  kepada Yohanes Dade,SH,dkk </t>
  </si>
  <si>
    <t>5.01.01.2.06.009.5.1.02.04.01.0001</t>
  </si>
  <si>
    <t xml:space="preserve">Pada hari ini Jumat Tanggal Dua Puluh Tujuh  Bulan  April  Tahun Dua Ribu Dua Puluh Enam telah melaksanakan opname kas pada perangkat Daerah  </t>
  </si>
  <si>
    <r>
      <t xml:space="preserve">BAPPERIDA  dan kas di bendahara pengeluaran </t>
    </r>
    <r>
      <rPr>
        <b/>
        <sz val="10"/>
        <rFont val="Times New Roman"/>
        <family val="1"/>
      </rPr>
      <t xml:space="preserve">Rp. 59.999.600, </t>
    </r>
    <r>
      <rPr>
        <sz val="10"/>
        <rFont val="Times New Roman"/>
        <family val="1"/>
      </rPr>
      <t>yang terdiri dari :</t>
    </r>
  </si>
  <si>
    <t>02-06-2026</t>
  </si>
  <si>
    <t>Penerimaan SP2D No: 53.12/04.0/000054/LS/5.01.5.05.0.00.25.0000/M/6/2026</t>
  </si>
  <si>
    <t>Penerimaan SP2D No: 53.12/04.0/000055/LS/5.01.5.05.0.00.25.0000/M/6/2026</t>
  </si>
  <si>
    <t>Gaji Bulan Juni  2026</t>
  </si>
  <si>
    <t>04-06-2026</t>
  </si>
  <si>
    <t>08-06-2026</t>
  </si>
  <si>
    <t>Penerimaan SP2D No: 53.12/04.0/000057/GU/5.01.5.05.0.00.25.0000/M/6/2026</t>
  </si>
  <si>
    <t>Bayar biaya belanja alat/bahan untuk kegiatan kantor - benda pos berupa materai 10.000 sebanyak 50 lembar dari sub kegiatan Koordinasi Penyusunan Laporan Keuangan Bulanan/Triwulan/Semesteran SKPD Tahun Anggaran 2026 (GU 8)</t>
  </si>
  <si>
    <t>5.01.01.2.01.0007.5.1.02.01.01.0027</t>
  </si>
  <si>
    <r>
      <t xml:space="preserve">Bayar Biaya Belanja Kawat/Faksimili/Internet/TV Berlangganan (Internet) untuk Bulan Juni Tahun 2026 </t>
    </r>
    <r>
      <rPr>
        <b/>
        <sz val="10"/>
        <rFont val="Times New Roman"/>
        <family val="1"/>
      </rPr>
      <t>@</t>
    </r>
    <r>
      <rPr>
        <sz val="10"/>
        <rFont val="Times New Roman"/>
        <family val="1"/>
      </rPr>
      <t>Rp. 615.000 x 5 Bidang, dari Sub Kegiatan Penyediaan Jasa Komunikasi, Sumber Daya Air dan Listrik TA.2026(PAD), An. Telkom Sumba Barat  (GU 8)</t>
    </r>
  </si>
  <si>
    <t>03-06-2026</t>
  </si>
  <si>
    <t>Bayar Biaya Belanja Penambah Daya Tahan Tubuh ( Makan Minum Harian Pegawai )  Bulan Juni   2026 dari sub kegiatan  Penyediaan Jasa Pelayanan Umum Kantor  Tahun Anggaran 2026 kepada Kantin Dassa Elu An. Paulina B. Deki ( GU 8)</t>
  </si>
  <si>
    <t>09-06-2026</t>
  </si>
  <si>
    <t>5.01.02.2.03.0003.5.1.02.02.001.0052</t>
  </si>
  <si>
    <t>Bayar  biaya  belanja makan minum rapat kegiatan Evaluasi RKPD dari Sub Kegiatan Monitoring,Evaluasi dan Penyusunan Laporan Berkala Pelaksanaan Pembangunan Daerah Tahun Anggaran 2026 kepada Catering Kenyang Dulu An. Claradisha Dade (GU 8)</t>
  </si>
  <si>
    <t>5.01.03.2.01.0007.5.1.02.01.001.0052</t>
  </si>
  <si>
    <t>Bayar biaya belanja makan minum rapat Fasilitasi Penginputan Data Aksi Konvergensi Stunting Lintas Perangkat Daerah Tahun 2026 dari Sub Kegiatan Pelaksanaan Monitoring dan Evaluasi Penyusunan Dokumen Perencanaan Pembangunan Perangkat Daerah Bidang Pembangunan Manusia Tahun Anggaran 2026 kepada Catering Kuda Bintang An. Syahrul A Kasih (GU 8)</t>
  </si>
  <si>
    <t>5.01.03.2.0004.5.1.02.01.001.0052</t>
  </si>
  <si>
    <t>Bayar biaya belanja makan minum rapat kegiatan Koordinasi Penanggulangan Kemiskinan dari Sub Kegiatan Koordinasi Pelaksanaan Sinergitas dan Harmonisasi Perencanaan Pembangunan Daerah Bidang Perekonomian Tahun Anggaran 2026 kepada Catering Dapur Selecta An. Hetty Abdurahman ( GU 8 )</t>
  </si>
  <si>
    <t>5.01.03.2.03.0001.5.1.02.04.01.001</t>
  </si>
  <si>
    <t>Bayar Biaya Perjalanan Dinas Luar Daerah Kepada Ledyana Y Reli dalam rangka mengikuti Asistensi dan Bimbingan Teknis Penginputan Instrumen Strategi Sanitasi Kabupaten di Kupang selama 5 hari dari Sub Kegiatan Koordinasi Penyusunan Dokumen Perencanaan Pembangunan Daerah Bidang Infrastruktur Tahun Anggaran 2026 (GU 8)</t>
  </si>
  <si>
    <t>11-06-2026</t>
  </si>
  <si>
    <t>5.01.03.2.03.0001.5.1.02.01.01.0026</t>
  </si>
  <si>
    <t>Bayar Biaya Belanja Alat/Bahan untuk kegiatan Kantor - Bahan Cetak  dari Sub Kegiatan Koordinasi Penyusunan Dokumen Perencanaan Pembangunan Daerah Bidang Infrastruktur Tahun Anggaran 2026 kepada CV. Primatech An. Umbu Nay (GU 8)</t>
  </si>
  <si>
    <t>5.01.03.2.03.0003.5.1.02.01.01.0026</t>
  </si>
  <si>
    <t>Bayar Biaya Belanja Alat/Bahan untuk kegiatan Kantor - Bahan Cetak  dari Sub Kegiatan Monitoring dan Evaluasi Penyusunan Dokumen Perencanaan Pembangunan Daerah Bidang Infrastruktur Tahun Anggaran 2026 kepada CV. Primatech An. Umbu Nay (GU 8)</t>
  </si>
  <si>
    <t>Bayar Biaya Belanja Listrik dari Sub Kegiatan Penyediaan Jasa Komunikasi, Sumber Daya Air dan Listrik TA.2026(PAD), An. Merrylina Lija   (GU 8)</t>
  </si>
  <si>
    <t>18-06-2026</t>
  </si>
  <si>
    <t>5.05.02.2.01.0003.5.1.02.2.01.01.0052</t>
  </si>
  <si>
    <t>5.05.02.2.02.0004.5.1.02.2.01.01.0052</t>
  </si>
  <si>
    <t>Bayar biaya belanja Makan Minum Rapat   dari Sub Kegiatan Fasilitasi, Pelaksanaan dan Evaluasi Penelitian dan Pengembangan Bidang Kelembagaan dan Ketatalaksanaan Tahun Anggaran 2026 kepada Catering Kuda Bintang An. Syahrul A. Kasih (GU 8)</t>
  </si>
  <si>
    <t>Bayar biaya belanja Makan Minum Rapat  dari Sub Kegiatan Fasilitasi dan Pembinaan Pelaksanaan Penelitian Pengembangan, Pengkajian dan Penerapan Tahun Anggaran 2026 kepada Catering Kuda Bintang An. Syahrul A. Kasih ( GU 8)</t>
  </si>
  <si>
    <t>Bayar biaya belanja Makan Minum Rapat   dari Sub Kegiatan Fasilitasi, Pelaksanaan dan Evaluasi Penelitian dan Pengembangan Bidang Keuangan dan Aset Daerah, Reformasi Birokrasi  Tahun Anggaran 2026 kepada Catering Kuda Bintang An. Syahrul A. Kasih ( GU 8)</t>
  </si>
  <si>
    <t>Bayar biaya belanja Makanan dan Minuman Rapat dari Sub Kegiatan Fasilitasi Pembinaan untuk penyelenggaraan pengembangan Klaster Inovasi Berbasis Produk Unggulan Daerah  Anggaran 2026 kepada Catering Kuda Bintang An. Syahrul A. Kasih  (GU 8 )</t>
  </si>
  <si>
    <t>Bayar biaya belanja Makanan dan Minuman Rapat dari Sub Kegiatan Fasilitasi dan Pembinaan Untuk Apresiasi Prestasi Inovasi  Anggaran 2026 kepada Catering Kuda Bintang An. Syahrul A. Kasih  (GU 8 )</t>
  </si>
  <si>
    <t>Bayar biaya belanja Makanan dan Minuman Rapat  dari Sub Kegiatan Fasilitasi Pembinaan untuk Prakarsa Pengembangan Riset dan Inovasi Daerah Berdasarkan Kebutuhan Daerah untuk Promosi Produk Unggulan Daerah dan /atau Mengatasi Permasalahan Daerah Tahun  Anggaran 2026 kepada Catering Kuda Bintang An. Syahrul A.Kasih ( GU 8)</t>
  </si>
  <si>
    <t>Bayar Honorarium Penyuluh atau Pendamping Bulan Juni  2026 dari sub Kegiatan Monitoring, evaluasi dan Penyusunan Laporan Berkala Pelaksanaan Pembangunan Daerah Tahun Anggaran 2026 Kepada Elvira,dkk</t>
  </si>
  <si>
    <t>Penerimaan SP2D No: 53.12/04.0/000056/LS/5.01.5.05.0.00.25.0000/M/6/2026</t>
  </si>
  <si>
    <t>Penerimaan SP2D No: 53.12/04.0/000058/LS/5.01.5.05.0.00.25.0000/M/6/2026</t>
  </si>
  <si>
    <t>5.01.03.2.02.001.5.1.02.02.001.0071</t>
  </si>
  <si>
    <t>Bayar Biaya Lembur dalam rangka Koordinasi Penyusunan  Dokumen Perencanaan Bidang Infrastruktur dan Kewilayahan dari Sub Kegiatan  Koordinasi  Penyusunan Dokumen Perencanaan Pembangunan  Daerah Bidang Infrastruktur TA. 2026 kepada Erlan Poro,dkk</t>
  </si>
  <si>
    <t>17-06-2026</t>
  </si>
  <si>
    <t>Penerimaan SP2D No: 53.12/04.0/000059/LS/5.01.5.05.0.00.25.0000/M/6/2026</t>
  </si>
  <si>
    <t>5.01.02.2.03.0003.5.1.02.02.001.0071</t>
  </si>
  <si>
    <t>Bayar  biaya  belanja lembur  dari Sub Kegiatan Monitoring,Evaluasi dan Penyusunan Laporan Berkala Pelaksanaan Pembangunan Daerah Tahun Anggaran 2026 kepada Jakcson Dade,dkk</t>
  </si>
  <si>
    <t>Penerimaan SP2D No: 53.12/04.0/000060/LS/5.01.5.05.0.00.25.0000/M/6/2026</t>
  </si>
  <si>
    <t>Bayar Biaya Belanja Jasa Tenaga Ahli Bulan Juni 2026 dari Sub Kegiatan Koordinasi Penyusunan Dokumen Perencanaan Pembangunan Daerah Bidang Infrastruktur (RPJP,RPJMD dan RKPD) Kepada Ledi Y. Reli</t>
  </si>
  <si>
    <t>23-06-2026</t>
  </si>
  <si>
    <t>5.01.03.2.03.03.5.1.02.04.01.0003</t>
  </si>
  <si>
    <t>Bayar Biaya Belanja Perjalanan Dinas Dalam Daerah Dalam Rangka Monitoring dan Evaluasi Immediate Outcome ( IO) Dana Alokasi Khusus Tahun 2025 bidang Infrastruktur dan Kewilayahan di Desa Tebara Kecamatan Kota Waikabubak selama 1 hari sesuai Surat Tugas Nomor :BAPPERIDA.011.7/120/53.12/ST/06/2026 dan SPPD Nomor : 740-745/SPPD/2026 Tanggal 02 Juni 2026 kepada Erlan Poro,dkk</t>
  </si>
  <si>
    <t>Bayar Biaya Belanja Perjalanan Dinas Dalam Daerah Dalam Rangka Monitoring dan Evaluasi Immediate Outcome ( IO) Dana Alokasi Khusus Tahun 2025 bidang Infrastruktur dan Kewilayahan di Desa Puumawo Kecamatan Kota Waikabubak selama 1 hari sesuai Surat Tugas Nomor :BAPPERIDA.011.7/122/53.12/ST/06/2026 dan SPPD Nomor : 751-756/SPPD/2026 Tanggal 03 Juni 2026 kepada Imanuel Moses Kalegotana,dkk</t>
  </si>
  <si>
    <t>Bayar Biaya Belanja Perjalanan Dinas Dalam Daerah Dalam Rangka Monitoring dan Evaluasi Immediate Outcome ( IO) Dana Alokasi Khusus Tahun 2025 bidang Infrastruktur dan Kewilayahan di Kelurahan Loda Pare Kecamatan Loli  selama 1 hari sesuai Surat Tugas Nomor :BAPPERIDA.011.7/124/53.12/ST/06/2026 dan SPPD Nomor : 761-766/SPPD/2026 Tanggal 04 Juni 2026 kepada Erlan Poro,dkk</t>
  </si>
  <si>
    <t>Bayar Biaya Belanja Perjalanan Dinas Dalam Daerah Dalam Rangka Monitoring dan Evaluasi Immediate Outcome ( IO) Dana Alokasi Khusus Tahun 2025 bidang Infrastruktur dan Kewilayahan di Desa Laboya Dete Kecamatan Laboya Barat  selama 1 hari sesuai Surat Tugas Nomor :BAPPERIDA.011.7/126/53.12/ST/06/2026 dan SPPD Nomor : 772-778/SPPD/2026 Tanggal 08 Juni 2026 kepada Imanuel Moses Kalegotana,dkk</t>
  </si>
  <si>
    <t>Bayar Biaya Belanja Perjalanan Dinas Dalam Daerah Dalam Rangka Monitoring dan Evaluasi Immediate Outcome ( IO) Dana Alokasi Khusus Tahun 2025 bidang Infrastruktur dan Kewilayahan di Desa Manukuku Kecamatan Tana Righu  selama 1 hari sesuai Surat Tugas Nomor :BAPPERIDA.011.7/128/53.12/ST/06/2026 dan SPPD Nomor : 784-790/SPPD/2026 Tanggal 09 Juni 2026 kepada Imanuel Moses Kalegotana,dkk</t>
  </si>
  <si>
    <t>Bayar Biaya Belanja Perjalanan Dinas Dalam Daerah Dalam Rangka Monitoring dan Evaluasi Immediate Outcome ( IO) Dana Alokasi Khusus Tahun 2025 bidang Infrastruktur dan Kewilayahan di Desa Manukuku Weihura Kecamatan Wanukaka  selama 1 hari sesuai Surat Tugas Nomor :BAPPERIDA.011.7/130/53.12/ST/06/2026 dan SPPD Nomor : 796-801/SPPD/2026 Tanggal 10 Juni 2026 kepada Imanuel Moses Kalegotana,dkk</t>
  </si>
  <si>
    <t>Bayar Biaya Belanja Perjalanan Dinas Dalam Daerah Dalam Rangka Monitoring dan Evaluasi Immediate Outcome ( IO) Dana Alokasi Khusus Tahun 2025 bidang Infrastruktur dan Kewilayahan di Desa Bodohula dan Desa Sodana  Kecamatan Lamboya  selama 1 hari sesuai Surat Tugas Nomor :BAPPERIDA.011.7/132/53.12/ST/06/2026 dan SPPD Nomor : 807-812/SPPD/2026 Tanggal 11 Juni 2026 kepada Erlan Poro,dkk</t>
  </si>
  <si>
    <t>Bayar Biaya Belanja Perjalanan Dinas Dalam Daerah Dalam Rangka Monitoring dan Evaluasi Immediate Outcome ( IO) Dana Alokasi Khusus Tahun 2025 bidang Infrastruktur dan Kewilayahan di Desa Weepatola dan Desa Lolo Wano Kecamatan Tana Righu  selama 1 hari sesuai Surat Tugas Nomor :BAPPERIDA.011.7/134/53.12/ST/06/2026 dan SPPD Nomor : 818-823/SPPD/2026 Tanggal 17 Juni 2026 kepada Imanuel Moses Kalegotana,dkk</t>
  </si>
  <si>
    <t>Bayar biaya belanja Jasa Pengelolaan BMD yang tidak Menghasilkan Pendapatan bulan April - Juni 2026 kepada Agustinus Mada Leko dari Sub Kegiatan Koordinasi dan Penyusunan Laporan Keuangan Bulanan/Triwulan/Semesteran SKPD Tahun Anggaran 2026.</t>
  </si>
  <si>
    <t>24-06-2026</t>
  </si>
  <si>
    <t>Penerimaan SP2D No: 53.12/04.0/000061/LS/5.01.5.05.0.00.25.0000/M/6/2026</t>
  </si>
  <si>
    <t>Penerimaan SP2D No: 53.12/04.0/000062/LS/5.01.5.05.0.00.25.0000/M/6/2026</t>
  </si>
  <si>
    <t>Penerimaan SP2D No: 53.12/04.0/000063/GU/5.01.5.05.0.00.25.0000/M/6/2026</t>
  </si>
  <si>
    <t xml:space="preserve"> Waikabubak, 30 Juni 2026</t>
  </si>
  <si>
    <t>26-06-2026</t>
  </si>
  <si>
    <t>Bayar Biaya Belanja Alat/Bahan umtuk kegiatan kantor - Bahan Cetak dari sub kegiatan Penyediaan Barang Cetakan dan Penggandaan  Tahun Anggaran 2026 kepada Kios Palaxxi An. J Wanto Sapulete (GU 10)</t>
  </si>
  <si>
    <t>5.01.03.2.01.0008.5.1.02.04.01..0001</t>
  </si>
  <si>
    <t>5.01.03.2.01.0008.5.1.02.04.01..0004</t>
  </si>
  <si>
    <r>
      <t xml:space="preserve">BAPPERIDA  dan kas di bendahara pengeluaran </t>
    </r>
    <r>
      <rPr>
        <b/>
        <sz val="10"/>
        <rFont val="Times New Roman"/>
        <family val="1"/>
      </rPr>
      <t xml:space="preserve">Rp. 25.477.000, </t>
    </r>
    <r>
      <rPr>
        <sz val="10"/>
        <rFont val="Times New Roman"/>
        <family val="1"/>
      </rPr>
      <t xml:space="preserve"> yang terdiri dari :</t>
    </r>
  </si>
  <si>
    <t>Bayar Biaya Belanja Alat/Bahan umtuk kegiatan kantor - Bahan Cetak dari sub kegiatan Penyediaan Barang Cetakan dan Penggandaan  Tahun Anggaran 2026 kepada Fotocopy, ATK AQIL JAYA An. Kasmun Susanto. (GU 09)</t>
  </si>
  <si>
    <t>Bayar Biaya Belanja Alat/Bahan umtuk kegiatan kantor - Bahan Cetak dari sub kegiatan Penyediaan Barang Cetakan dan Penggandaan  Tahun Anggaran 2026 kepada Kios Palaxxi An. J Wanto Sapulete (GU 09)</t>
  </si>
  <si>
    <t>Bayar biaya belanja alat/bahan untuk kegiatan kantor - benda pos berupa materai 10.000 sebanyak 50 lembar dari sub kegiatan Koordinasi Penyusunan Laporan Keuangan Bulanan/Triwulan/Semesteran SKPD Tahun Anggaran 2026 (GU 09)</t>
  </si>
  <si>
    <t>Bayar Biaya Perjalanan Dinas Luar Daerah Kepada Charles Hermana Weru,S.Sos dalam rangka Menghadiri Pertemuan Koordinasi dan Sosialisasi Percepatan Hutan Adat di Provinsi NTT di Kupang selama 3 Hari ( 24 Jun s/d 26 Juni 2026) dari Sub Kegiatan Penyelennggaraan Rapat Koordinasi dan Konsultasi SKPD Tahun Anggaran 2026.( GU 09)</t>
  </si>
  <si>
    <t>Bayar Biaya Belanja Alat/Bahan umtuk kegiatan kantor -Alat Tulis Kantor dari sub kegiatan  Penatausahaan Arsip Dinamis pada SKPD  Tahun Anggaran 2026 kepada Toko Sumber Baru An. Sunarto Limoa  ( GU 09)</t>
  </si>
  <si>
    <t>Bayar Biaya Belanja Alat/Bahan umtuk kegiatan kantor - Kertas dan Cover dari sub kegiatan  Penatausahaan Arsip Dinamis pada SKPD  Tahun Anggaran 2026 kepada Toko Sumber Baru An. Sunarto Limoa  (GU 09)</t>
  </si>
  <si>
    <t>Bayar biaya belanja Alat/Bahan umtuk kegiatan kantor - Alat Listrik dari Sub Kegiatan Penyediaan Komponen Instalasi Listrik/Penerangan Bangunan Kantor Tahun Anggaran 2026 Kepada Toko Sumber Baru An. Sunarto Limoa ( GU 09 )</t>
  </si>
  <si>
    <t>Bayar Biaya Belanja Alat/Bahan untuk kegiatan kantor - Perabot Kantor dari sub kegiatan  Penyediaan Jasa Pelayanan Umum Kantor  Tahun Anggaran 2026 kepada Toko Sumber Baru An. Sunarto Limoa  (GU 09)</t>
  </si>
  <si>
    <t>Bayar Biaya Belanja Bahan-Bahan Bakar dan Pelumas untuk kendaraan Dinas roda empat ED.1056.WB dan ED.8045.WB, dari Sub Kegiatan Penyediaan Jasa Pemeliharaan, Biaya Pemeliharaan dan Pajak Kendaraan Perorangan Dinas atau Kendaraan Dinas Jabatan TA.2026(PAD), An. Maria B. A. Bili (GU 09)</t>
  </si>
  <si>
    <t>Bayar Biaya Belanja Pemeliharaan Alat Angkutan - Alat Angkutan Darat Bermotor Kendaraan Dinas Bermotor Perorangan Mobil Kaban (ED 1056 WB), dari Sub Kegiatan Penyediaan Jasa Pemeliharaan, Biaya Pemeliharaan dan Pajak Kendaraan Dinas Operasional atau Lapangan TA.2026(PAD), An. Steven Wadoe (GU 09)</t>
  </si>
  <si>
    <t>Bayar Biaya Belanja Pemeliharaan Alat Angkutan - Alat Angkutan Darat Bermotor Kendaraan Dinas Bermotor Perorangan Mobil Kaban (ED 8045 WB), dari Sub Kegiatan Penyediaan Jasa Pemeliharaan, Biaya Pemeliharaan dan Pajak Kendaraan Dinas Operasional atau Lapangan TA.2026(PAD), An. Steven Wadoe (GU 09)</t>
  </si>
  <si>
    <t>Bayar Biaya Belanja Pemeliharaan Alat Angkutan - Alat Angkutan Darat Bermotor - Kendaraan Bermotor Beroda Dua, dari Sub Kegiatan Penyediaan Jasa Pemeliharaan, Biaya Pemeliharaan dan Pajak Kendaraan Perorangan Dinas atau Kendaraan Dinas Jabatan TA.2026 kepada  Elvan Motor An. Martha  (GU 09)</t>
  </si>
  <si>
    <r>
      <t xml:space="preserve">Bayar Biaya Belanja Makanan dan Minuman Rapat dalam rangka Fasilitasi RKPD Murni Tingkat Provinsi Tahun 2027 di </t>
    </r>
    <r>
      <rPr>
        <b/>
        <sz val="10"/>
        <rFont val="Times New Roman"/>
        <family val="1"/>
      </rPr>
      <t xml:space="preserve">Kupang </t>
    </r>
    <r>
      <rPr>
        <sz val="10"/>
        <rFont val="Times New Roman"/>
        <family val="1"/>
      </rPr>
      <t>dari Sub Kegiatan Analisis Kondisi Daerah, Permasalahan, dan Isu Strategis Pembangunan Daerah Tahun Anggaran 2026 Kepada Adeleine Café An. Yosephina (GU 09)</t>
    </r>
  </si>
  <si>
    <t>Bayar Biaya Belanja Perjalanan dinas luar daerah  kegiatan Koordinasi Bidang Pendidikan dan Kesehatan se-Daratan Sumba dalam rangka koordinasi terkait penguatan perencanaan, pengendalian dan evaluasi pembangunan Daerah Bidang Pemerintahan dan Pembangunan Manusia sesuai Surat Tugas Nomor :BP4D.011.7/15/ST/06/2026 Tanggal 09 s/d 10 Juni 2026 kepada Fika Martiana,SE,dkk dari Sub Kegiatan Koordinasi Pelaksanaan Sinergitas dan Harmonisasi Perencanaan Pembangunan Daerah Bidang Pembangunan Manusia Tahun Anggaran 2026 (GU 09)</t>
  </si>
  <si>
    <t>Bayar Biaya Belanja Perjalanan Dinas Paket Meeting Dalam Kota dalam rangka Fasilitasi dan Penginputan Data Aksi Konvergensi Stunting Lintas Perangkat Daerah Tahun 2026  dari Sub Kegiatan Koordinasi Pelaksanaan Sinergitas dan Harmonisasi Perencanaan Pembangunan Daerah Bidang Pembangunan Manusia Tahun Anggaran 2026 kepada Yentri Kamuri,dkk (GU 09)</t>
  </si>
  <si>
    <t>Gaji ke -13  Tahun  2026</t>
  </si>
  <si>
    <t>Gaji Bulan Juli  2026</t>
  </si>
  <si>
    <t>06 Juli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</si>
</sst>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0" x14ac:knownFonts="1">
    <font>
      <sz val="11"/>
      <color theme="1"/>
      <name val="Calibri"/>
      <family val="2"/>
      <scheme val="minor"/>
    </font>
    <font>
      <sz val="11"/>
      <color theme="1"/>
      <name val="Calibri"/>
      <family val="2"/>
      <scheme val="minor"/>
    </font>
    <font>
      <b/>
      <sz val="10"/>
      <color theme="1"/>
      <name val="Times New Roman"/>
      <family val="1"/>
    </font>
    <font>
      <sz val="10"/>
      <color theme="1"/>
      <name val="Times New Roman"/>
      <family val="1"/>
    </font>
    <font>
      <sz val="72"/>
      <color theme="1"/>
      <name val="Century Gothic"/>
      <family val="2"/>
    </font>
    <font>
      <b/>
      <sz val="10"/>
      <name val="Times New Roman"/>
      <family val="1"/>
    </font>
    <font>
      <sz val="10"/>
      <name val="Times New Roman"/>
      <family val="1"/>
    </font>
    <font>
      <b/>
      <sz val="11"/>
      <color theme="1"/>
      <name val="Times New Roman"/>
      <family val="1"/>
    </font>
    <font>
      <sz val="11"/>
      <color theme="1"/>
      <name val="Times New Roman"/>
      <family val="1"/>
    </font>
    <font>
      <sz val="11"/>
      <color rgb="FFFF0000"/>
      <name val="Times New Roman"/>
      <family val="1"/>
    </font>
    <font>
      <b/>
      <u/>
      <sz val="10"/>
      <color theme="1"/>
      <name val="Times New Roman"/>
      <family val="1"/>
    </font>
    <font>
      <sz val="10"/>
      <name val="Arial"/>
      <family val="2"/>
    </font>
    <font>
      <b/>
      <sz val="10"/>
      <color rgb="FF000000"/>
      <name val="Times New Roman"/>
      <family val="1"/>
    </font>
    <font>
      <sz val="10"/>
      <color rgb="FF000000"/>
      <name val="Times New Roman"/>
      <family val="1"/>
    </font>
    <font>
      <sz val="9"/>
      <color rgb="FF000000"/>
      <name val="Arial"/>
      <family val="2"/>
    </font>
    <font>
      <b/>
      <sz val="9"/>
      <color theme="1"/>
      <name val="Times New Roman"/>
      <family val="1"/>
    </font>
    <font>
      <sz val="10"/>
      <color theme="1"/>
      <name val="Arial Narrow"/>
      <family val="2"/>
    </font>
    <font>
      <b/>
      <sz val="8"/>
      <color theme="1"/>
      <name val="Times New Roman"/>
      <family val="1"/>
    </font>
    <font>
      <sz val="8"/>
      <name val="Arial"/>
      <family val="2"/>
    </font>
    <font>
      <sz val="9"/>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thin">
        <color indexed="64"/>
      </right>
      <top/>
      <bottom style="hair">
        <color indexed="64"/>
      </bottom>
      <diagonal/>
    </border>
    <border>
      <left style="thin">
        <color rgb="FF000000"/>
      </left>
      <right/>
      <top/>
      <bottom/>
      <diagonal/>
    </border>
    <border>
      <left style="thin">
        <color indexed="64"/>
      </left>
      <right/>
      <top style="hair">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3">
    <xf numFmtId="0" fontId="0" fillId="0" borderId="0"/>
    <xf numFmtId="164" fontId="1" fillId="0" borderId="0" applyFont="0" applyFill="0" applyBorder="0" applyAlignment="0" applyProtection="0"/>
    <xf numFmtId="0" fontId="11" fillId="0" borderId="0"/>
  </cellStyleXfs>
  <cellXfs count="276">
    <xf numFmtId="0" fontId="0" fillId="0" borderId="0" xfId="0"/>
    <xf numFmtId="165" fontId="0" fillId="0" borderId="0" xfId="0" applyNumberFormat="1"/>
    <xf numFmtId="165" fontId="0" fillId="0" borderId="0" xfId="1" applyNumberFormat="1" applyFont="1"/>
    <xf numFmtId="0" fontId="7" fillId="0" borderId="0" xfId="0" applyFont="1"/>
    <xf numFmtId="0" fontId="8" fillId="0" borderId="0" xfId="0" applyFont="1"/>
    <xf numFmtId="165" fontId="8" fillId="0" borderId="0" xfId="0" applyNumberFormat="1" applyFont="1"/>
    <xf numFmtId="165" fontId="7" fillId="0" borderId="0" xfId="0" applyNumberFormat="1" applyFont="1"/>
    <xf numFmtId="3" fontId="8" fillId="0" borderId="0" xfId="0" applyNumberFormat="1" applyFont="1"/>
    <xf numFmtId="165" fontId="8" fillId="0" borderId="0" xfId="1" applyNumberFormat="1" applyFont="1" applyFill="1"/>
    <xf numFmtId="0" fontId="9" fillId="0" borderId="0" xfId="0" applyFont="1"/>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165" fontId="8" fillId="0" borderId="0" xfId="1" applyNumberFormat="1" applyFont="1" applyFill="1" applyAlignment="1">
      <alignment vertical="center"/>
    </xf>
    <xf numFmtId="0" fontId="6" fillId="0" borderId="0" xfId="0" applyFont="1" applyAlignment="1">
      <alignment vertical="center"/>
    </xf>
    <xf numFmtId="14" fontId="6" fillId="0" borderId="7" xfId="0" quotePrefix="1" applyNumberFormat="1" applyFont="1" applyBorder="1" applyAlignment="1">
      <alignment vertical="center"/>
    </xf>
    <xf numFmtId="0" fontId="6" fillId="0" borderId="7" xfId="0" applyFont="1" applyBorder="1" applyAlignment="1">
      <alignment vertical="center" wrapText="1"/>
    </xf>
    <xf numFmtId="165" fontId="6" fillId="0" borderId="7" xfId="1" quotePrefix="1" applyNumberFormat="1" applyFont="1" applyBorder="1" applyAlignment="1">
      <alignment vertical="center"/>
    </xf>
    <xf numFmtId="14" fontId="6" fillId="0" borderId="0" xfId="0" quotePrefix="1" applyNumberFormat="1" applyFont="1" applyAlignment="1">
      <alignment vertical="center"/>
    </xf>
    <xf numFmtId="0" fontId="6" fillId="0" borderId="0" xfId="0" applyFont="1" applyAlignment="1">
      <alignment vertical="center" wrapText="1"/>
    </xf>
    <xf numFmtId="165" fontId="6" fillId="0" borderId="0" xfId="1" applyNumberFormat="1" applyFont="1" applyBorder="1" applyAlignment="1">
      <alignment vertical="center"/>
    </xf>
    <xf numFmtId="0" fontId="2" fillId="0" borderId="6" xfId="0" applyFont="1" applyBorder="1" applyAlignment="1">
      <alignment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165" fontId="2" fillId="0" borderId="0" xfId="1" applyNumberFormat="1" applyFont="1" applyFill="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165" fontId="3" fillId="0" borderId="0" xfId="1" applyNumberFormat="1" applyFont="1" applyFill="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165" fontId="2" fillId="0" borderId="2" xfId="1" applyNumberFormat="1" applyFont="1" applyFill="1" applyBorder="1" applyAlignment="1">
      <alignment horizontal="center" vertical="center"/>
    </xf>
    <xf numFmtId="0" fontId="3" fillId="0" borderId="4" xfId="0" applyFont="1" applyBorder="1" applyAlignment="1">
      <alignment horizontal="center" vertical="center" wrapText="1"/>
    </xf>
    <xf numFmtId="0" fontId="3" fillId="0" borderId="8" xfId="0" applyFont="1" applyBorder="1" applyAlignment="1">
      <alignment horizontal="center" vertical="center"/>
    </xf>
    <xf numFmtId="0" fontId="3" fillId="0" borderId="8" xfId="0" applyFont="1" applyBorder="1" applyAlignment="1">
      <alignment vertical="center"/>
    </xf>
    <xf numFmtId="0" fontId="3" fillId="0" borderId="6" xfId="0" applyFont="1" applyBorder="1" applyAlignment="1">
      <alignment vertical="center" wrapText="1"/>
    </xf>
    <xf numFmtId="165" fontId="3" fillId="0" borderId="6" xfId="1" applyNumberFormat="1" applyFont="1" applyFill="1" applyBorder="1" applyAlignment="1">
      <alignment vertical="center"/>
    </xf>
    <xf numFmtId="165" fontId="2" fillId="0" borderId="6" xfId="1" applyNumberFormat="1" applyFont="1" applyFill="1" applyBorder="1" applyAlignment="1">
      <alignment vertical="center"/>
    </xf>
    <xf numFmtId="0" fontId="2" fillId="0" borderId="5"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vertical="center"/>
    </xf>
    <xf numFmtId="14" fontId="3" fillId="0" borderId="5" xfId="0" quotePrefix="1" applyNumberFormat="1" applyFont="1" applyBorder="1" applyAlignment="1">
      <alignment vertical="center"/>
    </xf>
    <xf numFmtId="0" fontId="5" fillId="0" borderId="3" xfId="0" applyFont="1" applyBorder="1" applyAlignment="1">
      <alignment vertical="center" wrapText="1"/>
    </xf>
    <xf numFmtId="165" fontId="5" fillId="0" borderId="3" xfId="1" applyNumberFormat="1" applyFont="1" applyBorder="1" applyAlignment="1">
      <alignment vertical="center"/>
    </xf>
    <xf numFmtId="3" fontId="5" fillId="0" borderId="3" xfId="0" applyNumberFormat="1" applyFont="1" applyBorder="1" applyAlignment="1">
      <alignment vertical="center"/>
    </xf>
    <xf numFmtId="3" fontId="5" fillId="2" borderId="3" xfId="0" applyNumberFormat="1" applyFont="1" applyFill="1" applyBorder="1" applyAlignment="1">
      <alignment vertical="center"/>
    </xf>
    <xf numFmtId="14" fontId="6" fillId="0" borderId="1" xfId="0" quotePrefix="1" applyNumberFormat="1" applyFont="1" applyBorder="1" applyAlignment="1">
      <alignment vertical="center"/>
    </xf>
    <xf numFmtId="3" fontId="5" fillId="0" borderId="1" xfId="0" applyNumberFormat="1" applyFont="1" applyBorder="1" applyAlignment="1">
      <alignment vertical="center"/>
    </xf>
    <xf numFmtId="0" fontId="5" fillId="0" borderId="1" xfId="0" applyFont="1" applyBorder="1" applyAlignment="1">
      <alignment vertical="center" wrapText="1"/>
    </xf>
    <xf numFmtId="165" fontId="5" fillId="0" borderId="1" xfId="1" applyNumberFormat="1" applyFont="1" applyBorder="1" applyAlignment="1">
      <alignment vertical="center"/>
    </xf>
    <xf numFmtId="165" fontId="5" fillId="2" borderId="1" xfId="1" applyNumberFormat="1" applyFont="1" applyFill="1" applyBorder="1" applyAlignment="1">
      <alignment vertical="center"/>
    </xf>
    <xf numFmtId="165" fontId="6" fillId="0" borderId="7" xfId="1" applyNumberFormat="1" applyFont="1" applyBorder="1" applyAlignment="1">
      <alignment vertical="center"/>
    </xf>
    <xf numFmtId="14" fontId="3" fillId="0" borderId="0" xfId="0" quotePrefix="1" applyNumberFormat="1" applyFont="1" applyAlignment="1">
      <alignment vertical="center"/>
    </xf>
    <xf numFmtId="165" fontId="3" fillId="0" borderId="0" xfId="1" applyNumberFormat="1" applyFont="1" applyBorder="1" applyAlignment="1">
      <alignment vertical="center"/>
    </xf>
    <xf numFmtId="0" fontId="3" fillId="0" borderId="0" xfId="0" applyFont="1" applyAlignment="1">
      <alignment horizontal="right" vertical="center" wrapText="1"/>
    </xf>
    <xf numFmtId="165" fontId="3" fillId="0" borderId="0" xfId="1" applyNumberFormat="1" applyFont="1" applyAlignment="1">
      <alignment vertical="center"/>
    </xf>
    <xf numFmtId="165" fontId="2" fillId="0" borderId="0" xfId="1" applyNumberFormat="1" applyFont="1" applyAlignment="1">
      <alignment vertical="center"/>
    </xf>
    <xf numFmtId="0" fontId="10" fillId="0" borderId="0" xfId="0" applyFont="1" applyAlignment="1">
      <alignment vertical="center"/>
    </xf>
    <xf numFmtId="165" fontId="10" fillId="0" borderId="0" xfId="1" applyNumberFormat="1" applyFont="1" applyAlignment="1">
      <alignment vertical="center"/>
    </xf>
    <xf numFmtId="0" fontId="3" fillId="0" borderId="3" xfId="0" applyFont="1" applyBorder="1" applyAlignment="1">
      <alignment horizontal="center" vertical="center" wrapText="1"/>
    </xf>
    <xf numFmtId="165" fontId="2" fillId="0" borderId="5" xfId="1" applyNumberFormat="1" applyFont="1" applyFill="1" applyBorder="1" applyAlignment="1">
      <alignment vertical="center"/>
    </xf>
    <xf numFmtId="0" fontId="6" fillId="0" borderId="5" xfId="0" applyFont="1" applyBorder="1" applyAlignment="1">
      <alignment vertical="top" wrapText="1"/>
    </xf>
    <xf numFmtId="165" fontId="3" fillId="0" borderId="5" xfId="1" applyNumberFormat="1" applyFont="1" applyFill="1" applyBorder="1" applyAlignment="1">
      <alignment vertical="center"/>
    </xf>
    <xf numFmtId="14" fontId="3" fillId="0" borderId="5" xfId="0" quotePrefix="1" applyNumberFormat="1" applyFont="1" applyBorder="1" applyAlignment="1">
      <alignment vertical="top"/>
    </xf>
    <xf numFmtId="0" fontId="3" fillId="0" borderId="5" xfId="0" applyFont="1" applyBorder="1" applyAlignment="1">
      <alignment vertical="top"/>
    </xf>
    <xf numFmtId="0" fontId="3" fillId="0" borderId="5" xfId="0" applyFont="1" applyBorder="1" applyAlignment="1">
      <alignment horizontal="center" vertical="top"/>
    </xf>
    <xf numFmtId="0" fontId="3" fillId="0" borderId="9" xfId="0" applyFont="1" applyBorder="1" applyAlignment="1">
      <alignment vertical="top"/>
    </xf>
    <xf numFmtId="0" fontId="6" fillId="0" borderId="9" xfId="0" applyFont="1" applyBorder="1" applyAlignment="1">
      <alignment horizontal="left" vertical="top" wrapText="1"/>
    </xf>
    <xf numFmtId="14" fontId="6" fillId="0" borderId="5" xfId="0" quotePrefix="1" applyNumberFormat="1" applyFont="1" applyBorder="1" applyAlignment="1">
      <alignment vertical="top"/>
    </xf>
    <xf numFmtId="0" fontId="6" fillId="0" borderId="5" xfId="0" applyFont="1" applyBorder="1" applyAlignment="1">
      <alignment vertical="top"/>
    </xf>
    <xf numFmtId="165" fontId="3" fillId="0" borderId="10" xfId="1" applyNumberFormat="1" applyFont="1" applyFill="1" applyBorder="1" applyAlignment="1">
      <alignment vertical="center"/>
    </xf>
    <xf numFmtId="165" fontId="6" fillId="0" borderId="6" xfId="1" applyNumberFormat="1" applyFont="1" applyFill="1" applyBorder="1" applyAlignment="1">
      <alignment vertical="center"/>
    </xf>
    <xf numFmtId="0" fontId="3" fillId="0" borderId="1" xfId="0" applyFont="1" applyBorder="1" applyAlignment="1">
      <alignment horizontal="center" vertical="center"/>
    </xf>
    <xf numFmtId="0" fontId="3" fillId="0" borderId="3" xfId="0" applyFont="1" applyBorder="1" applyAlignment="1">
      <alignment horizontal="center" vertical="top"/>
    </xf>
    <xf numFmtId="14" fontId="3" fillId="0" borderId="3" xfId="0" quotePrefix="1" applyNumberFormat="1" applyFont="1" applyBorder="1" applyAlignment="1">
      <alignment vertical="top"/>
    </xf>
    <xf numFmtId="0" fontId="3" fillId="0" borderId="3" xfId="0" applyFont="1" applyBorder="1" applyAlignment="1">
      <alignment vertical="top"/>
    </xf>
    <xf numFmtId="165" fontId="2" fillId="0" borderId="4" xfId="1" applyNumberFormat="1" applyFont="1" applyFill="1" applyBorder="1" applyAlignment="1">
      <alignment vertical="center"/>
    </xf>
    <xf numFmtId="165" fontId="3" fillId="0" borderId="4" xfId="1" applyNumberFormat="1" applyFont="1" applyFill="1" applyBorder="1" applyAlignment="1">
      <alignment vertical="center"/>
    </xf>
    <xf numFmtId="0" fontId="3" fillId="0" borderId="0" xfId="0" applyFont="1" applyAlignment="1">
      <alignment horizontal="center" vertical="top"/>
    </xf>
    <xf numFmtId="14" fontId="3" fillId="0" borderId="0" xfId="0" quotePrefix="1" applyNumberFormat="1" applyFont="1" applyAlignment="1">
      <alignment vertical="top"/>
    </xf>
    <xf numFmtId="0" fontId="3" fillId="0" borderId="0" xfId="0" applyFont="1" applyAlignment="1">
      <alignment vertical="top"/>
    </xf>
    <xf numFmtId="165" fontId="2" fillId="0" borderId="0" xfId="1" applyNumberFormat="1" applyFont="1" applyFill="1" applyBorder="1" applyAlignment="1">
      <alignment vertical="center"/>
    </xf>
    <xf numFmtId="165" fontId="3" fillId="0" borderId="0" xfId="1" applyNumberFormat="1" applyFont="1" applyFill="1" applyBorder="1" applyAlignment="1">
      <alignment vertical="center"/>
    </xf>
    <xf numFmtId="0" fontId="3" fillId="0" borderId="6" xfId="0" applyFont="1" applyBorder="1" applyAlignment="1">
      <alignment vertical="top" wrapText="1"/>
    </xf>
    <xf numFmtId="0" fontId="6" fillId="0" borderId="6" xfId="0" applyFont="1" applyBorder="1" applyAlignment="1">
      <alignment vertical="top" wrapText="1"/>
    </xf>
    <xf numFmtId="165" fontId="6" fillId="0" borderId="5" xfId="1" quotePrefix="1" applyNumberFormat="1" applyFont="1" applyFill="1" applyBorder="1" applyAlignment="1">
      <alignment vertical="top" wrapText="1"/>
    </xf>
    <xf numFmtId="0" fontId="6" fillId="0" borderId="3" xfId="0" applyFont="1" applyBorder="1" applyAlignment="1">
      <alignment vertical="top" wrapText="1"/>
    </xf>
    <xf numFmtId="165" fontId="6" fillId="0" borderId="3" xfId="1" quotePrefix="1" applyNumberFormat="1" applyFont="1" applyFill="1" applyBorder="1" applyAlignment="1">
      <alignment vertical="top" wrapText="1"/>
    </xf>
    <xf numFmtId="0" fontId="2" fillId="0" borderId="6" xfId="0" applyFont="1" applyBorder="1" applyAlignment="1">
      <alignment vertical="top" wrapText="1"/>
    </xf>
    <xf numFmtId="165" fontId="3" fillId="0" borderId="6" xfId="1" applyNumberFormat="1" applyFont="1" applyFill="1" applyBorder="1" applyAlignment="1">
      <alignment vertical="top"/>
    </xf>
    <xf numFmtId="0" fontId="3" fillId="0" borderId="4" xfId="0" applyFont="1" applyBorder="1" applyAlignment="1">
      <alignment vertical="top" wrapText="1"/>
    </xf>
    <xf numFmtId="0" fontId="12" fillId="0" borderId="3" xfId="0" applyFont="1" applyBorder="1"/>
    <xf numFmtId="0" fontId="2" fillId="0" borderId="0" xfId="0" applyFont="1" applyAlignment="1">
      <alignment horizontal="left" vertical="center"/>
    </xf>
    <xf numFmtId="165" fontId="5" fillId="0" borderId="5" xfId="1" applyNumberFormat="1" applyFont="1" applyBorder="1" applyAlignment="1">
      <alignment vertical="center"/>
    </xf>
    <xf numFmtId="3" fontId="5" fillId="0" borderId="5" xfId="0" applyNumberFormat="1" applyFont="1" applyBorder="1" applyAlignment="1">
      <alignment vertical="center"/>
    </xf>
    <xf numFmtId="3" fontId="5" fillId="0" borderId="6" xfId="0" applyNumberFormat="1" applyFont="1" applyBorder="1" applyAlignment="1">
      <alignment vertical="center"/>
    </xf>
    <xf numFmtId="14" fontId="6" fillId="0" borderId="5" xfId="0" quotePrefix="1" applyNumberFormat="1" applyFont="1" applyBorder="1" applyAlignment="1">
      <alignment vertical="center"/>
    </xf>
    <xf numFmtId="0" fontId="12" fillId="0" borderId="5" xfId="0" applyFont="1" applyBorder="1" applyAlignment="1">
      <alignment vertical="center"/>
    </xf>
    <xf numFmtId="0" fontId="12" fillId="0" borderId="0" xfId="0" applyFont="1" applyAlignment="1">
      <alignment vertical="center"/>
    </xf>
    <xf numFmtId="0" fontId="13" fillId="0" borderId="0" xfId="0" applyFont="1" applyAlignment="1">
      <alignment vertical="center" wrapText="1"/>
    </xf>
    <xf numFmtId="165" fontId="6" fillId="0" borderId="5" xfId="1" applyNumberFormat="1" applyFont="1" applyBorder="1" applyAlignment="1">
      <alignment vertical="center"/>
    </xf>
    <xf numFmtId="0" fontId="13" fillId="0" borderId="0" xfId="0" applyFont="1" applyAlignment="1">
      <alignment vertical="top" wrapText="1"/>
    </xf>
    <xf numFmtId="3" fontId="5" fillId="0" borderId="6" xfId="0" applyNumberFormat="1" applyFont="1" applyBorder="1" applyAlignment="1">
      <alignment horizontal="left" vertical="center"/>
    </xf>
    <xf numFmtId="165" fontId="3" fillId="0" borderId="6" xfId="1" applyNumberFormat="1" applyFont="1" applyFill="1" applyBorder="1" applyAlignment="1">
      <alignment horizontal="left" vertical="center"/>
    </xf>
    <xf numFmtId="165" fontId="6" fillId="0" borderId="5" xfId="1" applyNumberFormat="1" applyFont="1" applyBorder="1" applyAlignment="1">
      <alignment horizontal="left" vertical="center"/>
    </xf>
    <xf numFmtId="165" fontId="3" fillId="0" borderId="5" xfId="1" applyNumberFormat="1" applyFont="1" applyFill="1" applyBorder="1" applyAlignment="1">
      <alignment horizontal="left" vertical="center"/>
    </xf>
    <xf numFmtId="0" fontId="4" fillId="0" borderId="0" xfId="0" applyFont="1" applyAlignment="1">
      <alignment horizontal="center"/>
    </xf>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vertical="top" wrapText="1"/>
    </xf>
    <xf numFmtId="165" fontId="2" fillId="0" borderId="0" xfId="1" applyNumberFormat="1" applyFont="1" applyFill="1" applyAlignment="1">
      <alignment vertical="top"/>
    </xf>
    <xf numFmtId="0" fontId="2" fillId="0" borderId="0" xfId="0" applyFont="1" applyAlignment="1">
      <alignment horizontal="left" vertical="top"/>
    </xf>
    <xf numFmtId="0" fontId="3" fillId="0" borderId="0" xfId="0" applyFont="1" applyAlignment="1">
      <alignment vertical="top" wrapText="1"/>
    </xf>
    <xf numFmtId="165" fontId="3" fillId="0" borderId="0" xfId="1" applyNumberFormat="1" applyFont="1" applyFill="1" applyAlignment="1">
      <alignment vertical="top"/>
    </xf>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horizontal="center" vertical="top" wrapText="1"/>
    </xf>
    <xf numFmtId="165" fontId="2" fillId="0" borderId="2" xfId="1" applyNumberFormat="1" applyFont="1" applyFill="1" applyBorder="1" applyAlignment="1">
      <alignment horizontal="center" vertical="top"/>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8" xfId="0" applyFont="1" applyBorder="1" applyAlignment="1">
      <alignment horizontal="center" vertical="top"/>
    </xf>
    <xf numFmtId="0" fontId="3" fillId="0" borderId="8" xfId="0" applyFont="1" applyBorder="1" applyAlignment="1">
      <alignment vertical="top"/>
    </xf>
    <xf numFmtId="165" fontId="2" fillId="0" borderId="6" xfId="1" applyNumberFormat="1" applyFont="1" applyFill="1" applyBorder="1" applyAlignment="1">
      <alignment vertical="top"/>
    </xf>
    <xf numFmtId="165" fontId="3" fillId="0" borderId="5" xfId="1" applyNumberFormat="1" applyFont="1" applyFill="1" applyBorder="1" applyAlignment="1">
      <alignment horizontal="left" vertical="top"/>
    </xf>
    <xf numFmtId="165" fontId="3" fillId="0" borderId="6" xfId="1" applyNumberFormat="1" applyFont="1" applyFill="1" applyBorder="1" applyAlignment="1">
      <alignment horizontal="left" vertical="top"/>
    </xf>
    <xf numFmtId="0" fontId="12" fillId="0" borderId="3" xfId="0" applyFont="1" applyBorder="1" applyAlignment="1">
      <alignment vertical="top"/>
    </xf>
    <xf numFmtId="165" fontId="5" fillId="0" borderId="3" xfId="1" applyNumberFormat="1" applyFont="1" applyBorder="1" applyAlignment="1">
      <alignment vertical="top"/>
    </xf>
    <xf numFmtId="3" fontId="5" fillId="0" borderId="3" xfId="0" applyNumberFormat="1" applyFont="1" applyBorder="1" applyAlignment="1">
      <alignment vertical="top"/>
    </xf>
    <xf numFmtId="3" fontId="5" fillId="2" borderId="3" xfId="0" applyNumberFormat="1" applyFont="1" applyFill="1" applyBorder="1" applyAlignment="1">
      <alignment vertical="top"/>
    </xf>
    <xf numFmtId="0" fontId="3" fillId="0" borderId="1" xfId="0" applyFont="1" applyBorder="1" applyAlignment="1">
      <alignment horizontal="center" vertical="top"/>
    </xf>
    <xf numFmtId="14" fontId="6" fillId="0" borderId="1" xfId="0" quotePrefix="1" applyNumberFormat="1" applyFont="1" applyBorder="1" applyAlignment="1">
      <alignment vertical="top"/>
    </xf>
    <xf numFmtId="0" fontId="5" fillId="0" borderId="3" xfId="0" applyFont="1" applyBorder="1" applyAlignment="1">
      <alignment vertical="top" wrapText="1"/>
    </xf>
    <xf numFmtId="3" fontId="5" fillId="0" borderId="1" xfId="0" applyNumberFormat="1" applyFont="1" applyBorder="1" applyAlignment="1">
      <alignment vertical="top"/>
    </xf>
    <xf numFmtId="0" fontId="5" fillId="0" borderId="1" xfId="0" applyFont="1" applyBorder="1" applyAlignment="1">
      <alignment vertical="top" wrapText="1"/>
    </xf>
    <xf numFmtId="165" fontId="5" fillId="0" borderId="1" xfId="1" applyNumberFormat="1" applyFont="1" applyBorder="1" applyAlignment="1">
      <alignment vertical="top"/>
    </xf>
    <xf numFmtId="165" fontId="5" fillId="2" borderId="1" xfId="1" applyNumberFormat="1" applyFont="1" applyFill="1" applyBorder="1" applyAlignment="1">
      <alignment vertical="top"/>
    </xf>
    <xf numFmtId="0" fontId="6" fillId="0" borderId="0" xfId="0" applyFont="1" applyAlignment="1">
      <alignment vertical="top"/>
    </xf>
    <xf numFmtId="14" fontId="6" fillId="0" borderId="7" xfId="0" quotePrefix="1" applyNumberFormat="1" applyFont="1" applyBorder="1" applyAlignment="1">
      <alignment vertical="top"/>
    </xf>
    <xf numFmtId="0" fontId="6" fillId="0" borderId="7" xfId="0" applyFont="1" applyBorder="1" applyAlignment="1">
      <alignment vertical="top" wrapText="1"/>
    </xf>
    <xf numFmtId="165" fontId="6" fillId="0" borderId="7" xfId="1" quotePrefix="1" applyNumberFormat="1" applyFont="1" applyBorder="1" applyAlignment="1">
      <alignment vertical="top"/>
    </xf>
    <xf numFmtId="165" fontId="6" fillId="0" borderId="7" xfId="1" applyNumberFormat="1" applyFont="1" applyBorder="1" applyAlignment="1">
      <alignment vertical="top"/>
    </xf>
    <xf numFmtId="14" fontId="6" fillId="0" borderId="0" xfId="0" quotePrefix="1" applyNumberFormat="1" applyFont="1" applyAlignment="1">
      <alignment vertical="top"/>
    </xf>
    <xf numFmtId="0" fontId="6" fillId="0" borderId="0" xfId="0" applyFont="1" applyAlignment="1">
      <alignment vertical="top" wrapText="1"/>
    </xf>
    <xf numFmtId="165" fontId="6" fillId="0" borderId="0" xfId="1" applyNumberFormat="1" applyFont="1" applyBorder="1" applyAlignment="1">
      <alignment vertical="top"/>
    </xf>
    <xf numFmtId="165" fontId="3" fillId="0" borderId="0" xfId="1" applyNumberFormat="1" applyFont="1" applyBorder="1" applyAlignment="1">
      <alignment vertical="top"/>
    </xf>
    <xf numFmtId="0" fontId="3" fillId="0" borderId="0" xfId="0" applyFont="1" applyAlignment="1">
      <alignment horizontal="right" vertical="top" wrapText="1"/>
    </xf>
    <xf numFmtId="165" fontId="3" fillId="0" borderId="0" xfId="1" applyNumberFormat="1" applyFont="1" applyAlignment="1">
      <alignment vertical="top"/>
    </xf>
    <xf numFmtId="165" fontId="2" fillId="0" borderId="0" xfId="1" applyNumberFormat="1" applyFont="1" applyAlignment="1">
      <alignment vertical="top"/>
    </xf>
    <xf numFmtId="0" fontId="10" fillId="0" borderId="0" xfId="0" applyFont="1" applyAlignment="1">
      <alignment vertical="top"/>
    </xf>
    <xf numFmtId="165" fontId="10" fillId="0" borderId="0" xfId="1" applyNumberFormat="1" applyFont="1" applyAlignment="1">
      <alignment vertical="top"/>
    </xf>
    <xf numFmtId="14" fontId="3" fillId="0" borderId="5" xfId="0" quotePrefix="1" applyNumberFormat="1" applyFont="1" applyBorder="1" applyAlignment="1">
      <alignment horizontal="left" vertical="top"/>
    </xf>
    <xf numFmtId="165" fontId="2" fillId="0" borderId="6" xfId="1" applyNumberFormat="1" applyFont="1" applyFill="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wrapText="1"/>
    </xf>
    <xf numFmtId="165" fontId="6" fillId="0" borderId="6" xfId="1" applyNumberFormat="1" applyFont="1" applyFill="1" applyBorder="1" applyAlignment="1">
      <alignment horizontal="left" vertical="top"/>
    </xf>
    <xf numFmtId="0" fontId="3" fillId="0" borderId="9" xfId="0" applyFont="1" applyBorder="1" applyAlignment="1">
      <alignment horizontal="left" vertical="top"/>
    </xf>
    <xf numFmtId="165" fontId="2" fillId="0" borderId="5" xfId="1" applyNumberFormat="1" applyFont="1" applyFill="1" applyBorder="1" applyAlignment="1">
      <alignment horizontal="left" vertical="top"/>
    </xf>
    <xf numFmtId="0" fontId="2" fillId="0" borderId="5" xfId="0" applyFont="1" applyBorder="1" applyAlignment="1">
      <alignment horizontal="left" vertical="top" wrapText="1"/>
    </xf>
    <xf numFmtId="14" fontId="3" fillId="0" borderId="5" xfId="0" quotePrefix="1" applyNumberFormat="1" applyFont="1" applyBorder="1" applyAlignment="1">
      <alignment horizontal="left" vertical="top" wrapText="1"/>
    </xf>
    <xf numFmtId="165" fontId="2" fillId="0" borderId="6" xfId="1" applyNumberFormat="1" applyFont="1" applyFill="1" applyBorder="1" applyAlignment="1">
      <alignment horizontal="left" vertical="top" wrapText="1"/>
    </xf>
    <xf numFmtId="0" fontId="3" fillId="0" borderId="5" xfId="0" applyFont="1" applyBorder="1" applyAlignment="1">
      <alignment horizontal="left" vertical="top" wrapText="1"/>
    </xf>
    <xf numFmtId="165" fontId="3" fillId="0" borderId="6" xfId="1" applyNumberFormat="1" applyFont="1" applyFill="1" applyBorder="1" applyAlignment="1">
      <alignment horizontal="left" vertical="top" wrapText="1"/>
    </xf>
    <xf numFmtId="0" fontId="0" fillId="0" borderId="0" xfId="0" applyAlignment="1">
      <alignment vertical="top"/>
    </xf>
    <xf numFmtId="0" fontId="4" fillId="0" borderId="0" xfId="0" applyFont="1" applyAlignment="1">
      <alignment horizontal="center" vertical="top" wrapText="1"/>
    </xf>
    <xf numFmtId="165" fontId="2" fillId="0" borderId="8" xfId="1" applyNumberFormat="1" applyFont="1" applyFill="1" applyBorder="1" applyAlignment="1">
      <alignment vertical="top"/>
    </xf>
    <xf numFmtId="165" fontId="2" fillId="0" borderId="5" xfId="1" applyNumberFormat="1" applyFont="1" applyFill="1" applyBorder="1" applyAlignment="1">
      <alignment horizontal="left" vertical="top" wrapText="1"/>
    </xf>
    <xf numFmtId="165" fontId="3" fillId="0" borderId="5" xfId="1" applyNumberFormat="1" applyFont="1" applyFill="1" applyBorder="1" applyAlignment="1">
      <alignment horizontal="left" vertical="top" wrapText="1"/>
    </xf>
    <xf numFmtId="0" fontId="3" fillId="0" borderId="11" xfId="0" applyFont="1" applyBorder="1" applyAlignment="1">
      <alignment vertical="top" wrapText="1"/>
    </xf>
    <xf numFmtId="0" fontId="3" fillId="0" borderId="10" xfId="0" applyFont="1" applyBorder="1" applyAlignment="1">
      <alignment horizontal="left" vertical="top" wrapText="1"/>
    </xf>
    <xf numFmtId="165" fontId="3" fillId="0" borderId="12" xfId="1" applyNumberFormat="1" applyFont="1" applyFill="1" applyBorder="1" applyAlignment="1">
      <alignment horizontal="left" vertical="top"/>
    </xf>
    <xf numFmtId="0" fontId="15" fillId="0" borderId="6" xfId="0" applyFont="1" applyBorder="1" applyAlignment="1">
      <alignment horizontal="left" vertical="top" wrapText="1"/>
    </xf>
    <xf numFmtId="0" fontId="15" fillId="0" borderId="6" xfId="0" applyFont="1" applyBorder="1" applyAlignment="1">
      <alignment vertical="top" wrapText="1"/>
    </xf>
    <xf numFmtId="0" fontId="16" fillId="0" borderId="5" xfId="0" applyFont="1" applyBorder="1" applyAlignment="1">
      <alignment vertical="top"/>
    </xf>
    <xf numFmtId="0" fontId="6" fillId="0" borderId="5" xfId="0" applyFont="1" applyBorder="1" applyAlignment="1">
      <alignment vertical="center" wrapText="1"/>
    </xf>
    <xf numFmtId="0" fontId="14" fillId="3" borderId="13" xfId="0" applyFont="1" applyFill="1" applyBorder="1" applyAlignment="1">
      <alignment horizontal="center" vertical="top" wrapText="1"/>
    </xf>
    <xf numFmtId="165" fontId="3" fillId="0" borderId="14" xfId="1" applyNumberFormat="1" applyFont="1" applyFill="1" applyBorder="1" applyAlignment="1">
      <alignment vertical="top"/>
    </xf>
    <xf numFmtId="165" fontId="6" fillId="0" borderId="9" xfId="1" quotePrefix="1" applyNumberFormat="1" applyFont="1" applyFill="1" applyBorder="1" applyAlignment="1">
      <alignment vertical="center" wrapText="1"/>
    </xf>
    <xf numFmtId="0" fontId="6" fillId="0" borderId="9" xfId="0" applyFont="1" applyBorder="1" applyAlignment="1">
      <alignment horizontal="left" vertical="top"/>
    </xf>
    <xf numFmtId="165" fontId="5" fillId="0" borderId="5" xfId="1" applyNumberFormat="1" applyFont="1" applyFill="1" applyBorder="1" applyAlignment="1">
      <alignment horizontal="left" vertical="top"/>
    </xf>
    <xf numFmtId="0" fontId="17" fillId="0" borderId="6" xfId="0" applyFont="1" applyBorder="1" applyAlignment="1">
      <alignment vertical="top" wrapText="1"/>
    </xf>
    <xf numFmtId="0" fontId="3" fillId="0" borderId="3" xfId="0" applyFont="1" applyBorder="1" applyAlignment="1">
      <alignment horizontal="left" vertical="top"/>
    </xf>
    <xf numFmtId="14" fontId="3" fillId="0" borderId="3" xfId="0" quotePrefix="1" applyNumberFormat="1" applyFont="1" applyBorder="1" applyAlignment="1">
      <alignment horizontal="left" vertical="top"/>
    </xf>
    <xf numFmtId="165" fontId="3" fillId="0" borderId="4" xfId="1" applyNumberFormat="1" applyFont="1" applyFill="1" applyBorder="1" applyAlignment="1">
      <alignment horizontal="left" vertical="top"/>
    </xf>
    <xf numFmtId="0" fontId="3" fillId="0" borderId="8" xfId="0" applyFont="1" applyBorder="1" applyAlignment="1">
      <alignment horizontal="left" vertical="top"/>
    </xf>
    <xf numFmtId="14" fontId="3" fillId="0" borderId="8" xfId="0" quotePrefix="1" applyNumberFormat="1" applyFont="1" applyBorder="1" applyAlignment="1">
      <alignment horizontal="left" vertical="top"/>
    </xf>
    <xf numFmtId="0" fontId="6" fillId="0" borderId="8" xfId="0" applyFont="1" applyBorder="1" applyAlignment="1">
      <alignment vertical="top" wrapText="1"/>
    </xf>
    <xf numFmtId="165" fontId="6" fillId="0" borderId="8" xfId="1" quotePrefix="1" applyNumberFormat="1" applyFont="1" applyFill="1" applyBorder="1" applyAlignment="1">
      <alignment vertical="top" wrapText="1"/>
    </xf>
    <xf numFmtId="165" fontId="3" fillId="0" borderId="15" xfId="1" applyNumberFormat="1" applyFont="1" applyFill="1" applyBorder="1" applyAlignment="1">
      <alignment horizontal="left" vertical="top"/>
    </xf>
    <xf numFmtId="0" fontId="3" fillId="0" borderId="16" xfId="0" applyFont="1" applyBorder="1" applyAlignment="1">
      <alignment vertical="top"/>
    </xf>
    <xf numFmtId="165" fontId="3" fillId="0" borderId="3" xfId="1" applyNumberFormat="1" applyFont="1" applyFill="1" applyBorder="1" applyAlignment="1">
      <alignment horizontal="left" vertical="top"/>
    </xf>
    <xf numFmtId="0" fontId="3" fillId="0" borderId="15" xfId="0" applyFont="1" applyBorder="1" applyAlignment="1">
      <alignment vertical="top" wrapText="1"/>
    </xf>
    <xf numFmtId="0" fontId="3" fillId="0" borderId="7" xfId="0" applyFont="1" applyBorder="1" applyAlignment="1">
      <alignment vertical="top"/>
    </xf>
    <xf numFmtId="165" fontId="3" fillId="0" borderId="8" xfId="1" applyNumberFormat="1" applyFont="1" applyFill="1" applyBorder="1" applyAlignment="1">
      <alignment horizontal="left" vertical="top"/>
    </xf>
    <xf numFmtId="0" fontId="13" fillId="0" borderId="16" xfId="0" applyFont="1" applyBorder="1" applyAlignment="1">
      <alignment vertical="top" wrapText="1"/>
    </xf>
    <xf numFmtId="165" fontId="2" fillId="0" borderId="4" xfId="1" applyNumberFormat="1" applyFont="1" applyFill="1" applyBorder="1" applyAlignment="1">
      <alignment horizontal="left" vertical="top"/>
    </xf>
    <xf numFmtId="0" fontId="13" fillId="0" borderId="7" xfId="0" applyFont="1" applyBorder="1" applyAlignment="1">
      <alignment vertical="top" wrapText="1"/>
    </xf>
    <xf numFmtId="165" fontId="2" fillId="0" borderId="15" xfId="1" applyNumberFormat="1" applyFont="1" applyFill="1" applyBorder="1" applyAlignment="1">
      <alignment horizontal="left" vertical="top"/>
    </xf>
    <xf numFmtId="0" fontId="3" fillId="0" borderId="17" xfId="0" applyFont="1" applyBorder="1" applyAlignment="1">
      <alignment horizontal="left" vertical="top"/>
    </xf>
    <xf numFmtId="0" fontId="3" fillId="0" borderId="18" xfId="0" applyFont="1" applyBorder="1" applyAlignment="1">
      <alignment horizontal="left" vertical="top"/>
    </xf>
    <xf numFmtId="165" fontId="3" fillId="0" borderId="16" xfId="1" applyNumberFormat="1" applyFont="1" applyFill="1" applyBorder="1" applyAlignment="1">
      <alignment horizontal="left" vertical="top"/>
    </xf>
    <xf numFmtId="165" fontId="2" fillId="0" borderId="5" xfId="1" applyNumberFormat="1" applyFont="1" applyFill="1" applyBorder="1" applyAlignment="1">
      <alignment vertical="top"/>
    </xf>
    <xf numFmtId="165" fontId="0" fillId="0" borderId="0" xfId="1" applyNumberFormat="1" applyFont="1" applyAlignment="1">
      <alignment vertical="top"/>
    </xf>
    <xf numFmtId="165" fontId="2" fillId="0" borderId="0" xfId="1" applyNumberFormat="1" applyFont="1" applyFill="1" applyBorder="1" applyAlignment="1">
      <alignment horizontal="left" vertical="top" wrapText="1"/>
    </xf>
    <xf numFmtId="0" fontId="18" fillId="0" borderId="0" xfId="2" applyFont="1" applyAlignment="1">
      <alignment horizontal="left" vertical="top" wrapText="1"/>
    </xf>
    <xf numFmtId="0" fontId="6" fillId="0" borderId="0" xfId="2" applyFont="1" applyAlignment="1">
      <alignment horizontal="left" vertical="top" wrapText="1"/>
    </xf>
    <xf numFmtId="0" fontId="6" fillId="0" borderId="5" xfId="2" applyFont="1" applyBorder="1" applyAlignment="1">
      <alignment horizontal="left" vertical="top" wrapText="1"/>
    </xf>
    <xf numFmtId="165" fontId="18" fillId="0" borderId="5" xfId="1" applyNumberFormat="1" applyFont="1" applyBorder="1" applyAlignment="1">
      <alignment horizontal="left" vertical="top" wrapText="1"/>
    </xf>
    <xf numFmtId="165" fontId="6" fillId="0" borderId="5" xfId="1" applyNumberFormat="1" applyFont="1" applyBorder="1" applyAlignment="1">
      <alignment horizontal="left" vertical="top" wrapText="1"/>
    </xf>
    <xf numFmtId="165" fontId="3" fillId="0" borderId="0" xfId="1" applyNumberFormat="1" applyFont="1" applyAlignment="1">
      <alignment horizontal="center" vertical="top"/>
    </xf>
    <xf numFmtId="14" fontId="3" fillId="0" borderId="3" xfId="0" quotePrefix="1" applyNumberFormat="1" applyFont="1" applyBorder="1" applyAlignment="1">
      <alignment horizontal="left" vertical="top" wrapText="1"/>
    </xf>
    <xf numFmtId="0" fontId="3" fillId="0" borderId="0" xfId="0" applyFont="1" applyAlignment="1">
      <alignment horizontal="left" vertical="top"/>
    </xf>
    <xf numFmtId="14" fontId="3" fillId="0" borderId="0" xfId="0" quotePrefix="1" applyNumberFormat="1" applyFont="1" applyAlignment="1">
      <alignment horizontal="left" vertical="top" wrapText="1"/>
    </xf>
    <xf numFmtId="165" fontId="3" fillId="0" borderId="0" xfId="1" applyNumberFormat="1" applyFont="1" applyFill="1" applyBorder="1" applyAlignment="1">
      <alignment horizontal="left" vertical="top"/>
    </xf>
    <xf numFmtId="14" fontId="3" fillId="0" borderId="8" xfId="0" quotePrefix="1" applyNumberFormat="1" applyFont="1" applyBorder="1" applyAlignment="1">
      <alignment horizontal="left" vertical="top" wrapText="1"/>
    </xf>
    <xf numFmtId="0" fontId="15" fillId="0" borderId="15" xfId="0" applyFont="1" applyBorder="1" applyAlignment="1">
      <alignment horizontal="left" vertical="top" wrapText="1"/>
    </xf>
    <xf numFmtId="165" fontId="6" fillId="0" borderId="0" xfId="1" quotePrefix="1" applyNumberFormat="1" applyFont="1" applyFill="1" applyBorder="1" applyAlignment="1">
      <alignment vertical="top" wrapText="1"/>
    </xf>
    <xf numFmtId="165" fontId="2" fillId="0" borderId="15" xfId="1" applyNumberFormat="1" applyFont="1" applyFill="1" applyBorder="1" applyAlignment="1">
      <alignment vertical="top"/>
    </xf>
    <xf numFmtId="165" fontId="3" fillId="0" borderId="15" xfId="1" applyNumberFormat="1" applyFont="1" applyFill="1" applyBorder="1" applyAlignment="1">
      <alignment vertical="top"/>
    </xf>
    <xf numFmtId="0" fontId="6" fillId="0" borderId="15" xfId="0" applyFont="1" applyBorder="1" applyAlignment="1">
      <alignment vertical="top" wrapText="1"/>
    </xf>
    <xf numFmtId="165" fontId="2" fillId="0" borderId="8" xfId="1" applyNumberFormat="1" applyFont="1" applyFill="1" applyBorder="1" applyAlignment="1">
      <alignment horizontal="left" vertical="top"/>
    </xf>
    <xf numFmtId="0" fontId="6" fillId="0" borderId="4" xfId="0" applyFont="1" applyBorder="1" applyAlignment="1">
      <alignment vertical="top" wrapText="1"/>
    </xf>
    <xf numFmtId="165" fontId="18" fillId="0" borderId="3" xfId="1" applyNumberFormat="1" applyFont="1" applyBorder="1" applyAlignment="1">
      <alignment horizontal="left" vertical="top" wrapText="1"/>
    </xf>
    <xf numFmtId="165" fontId="6" fillId="0" borderId="9" xfId="1" quotePrefix="1" applyNumberFormat="1" applyFont="1" applyFill="1" applyBorder="1" applyAlignment="1">
      <alignment vertical="top" wrapText="1"/>
    </xf>
    <xf numFmtId="0" fontId="13" fillId="0" borderId="5" xfId="0" applyFont="1" applyBorder="1" applyAlignment="1">
      <alignment vertical="top" wrapText="1"/>
    </xf>
    <xf numFmtId="0" fontId="15" fillId="0" borderId="5" xfId="0" applyFont="1" applyBorder="1" applyAlignment="1">
      <alignment horizontal="left" vertical="top" wrapText="1"/>
    </xf>
    <xf numFmtId="0" fontId="6" fillId="0" borderId="11" xfId="0" applyFont="1" applyBorder="1" applyAlignment="1">
      <alignment vertical="top" wrapText="1"/>
    </xf>
    <xf numFmtId="0" fontId="3" fillId="0" borderId="5" xfId="0" applyFont="1" applyBorder="1" applyAlignment="1">
      <alignment vertical="top" wrapText="1"/>
    </xf>
    <xf numFmtId="0" fontId="19" fillId="0" borderId="5" xfId="0" applyFont="1" applyBorder="1" applyAlignment="1">
      <alignment horizontal="left" vertical="top" wrapText="1"/>
    </xf>
    <xf numFmtId="165" fontId="6" fillId="0" borderId="1" xfId="1" applyNumberFormat="1" applyFont="1" applyBorder="1" applyAlignment="1">
      <alignment vertical="top"/>
    </xf>
    <xf numFmtId="165" fontId="3" fillId="0" borderId="6" xfId="1" applyNumberFormat="1" applyFont="1" applyFill="1" applyBorder="1" applyAlignment="1">
      <alignment horizontal="center" vertical="center" wrapText="1"/>
    </xf>
    <xf numFmtId="165" fontId="3" fillId="0" borderId="6" xfId="1" applyNumberFormat="1" applyFont="1" applyFill="1" applyBorder="1" applyAlignment="1">
      <alignment horizontal="center" vertical="center"/>
    </xf>
    <xf numFmtId="165" fontId="3" fillId="0" borderId="6" xfId="1" applyNumberFormat="1" applyFont="1" applyFill="1" applyBorder="1" applyAlignment="1">
      <alignment horizontal="center" vertical="top"/>
    </xf>
    <xf numFmtId="165" fontId="3" fillId="0" borderId="12" xfId="1" applyNumberFormat="1" applyFont="1" applyFill="1" applyBorder="1" applyAlignment="1">
      <alignment horizontal="center" vertical="top"/>
    </xf>
    <xf numFmtId="165" fontId="6" fillId="0" borderId="5" xfId="1" quotePrefix="1" applyNumberFormat="1" applyFont="1" applyFill="1" applyBorder="1" applyAlignment="1">
      <alignment horizontal="center" vertical="top" wrapText="1"/>
    </xf>
    <xf numFmtId="0" fontId="3" fillId="0" borderId="6" xfId="0" applyFont="1" applyBorder="1" applyAlignment="1">
      <alignment horizontal="right" vertical="top"/>
    </xf>
    <xf numFmtId="0" fontId="3" fillId="0" borderId="0" xfId="0" applyFont="1" applyAlignment="1">
      <alignment horizontal="right" vertical="top"/>
    </xf>
    <xf numFmtId="165" fontId="6" fillId="0" borderId="6" xfId="1" quotePrefix="1" applyNumberFormat="1" applyFont="1" applyFill="1" applyBorder="1" applyAlignment="1">
      <alignment horizontal="center" vertical="top" wrapText="1"/>
    </xf>
    <xf numFmtId="165" fontId="3" fillId="0" borderId="9" xfId="1" applyNumberFormat="1" applyFont="1" applyFill="1" applyBorder="1" applyAlignment="1">
      <alignment vertical="top"/>
    </xf>
    <xf numFmtId="165" fontId="3" fillId="0" borderId="0" xfId="1" applyNumberFormat="1" applyFont="1" applyFill="1" applyBorder="1" applyAlignment="1">
      <alignment horizontal="right" vertical="top"/>
    </xf>
    <xf numFmtId="165" fontId="3" fillId="0" borderId="6" xfId="1" applyNumberFormat="1" applyFont="1" applyFill="1" applyBorder="1" applyAlignment="1">
      <alignment horizontal="right" vertical="top"/>
    </xf>
    <xf numFmtId="0" fontId="0" fillId="0" borderId="0" xfId="0" quotePrefix="1"/>
    <xf numFmtId="0" fontId="7" fillId="0" borderId="0" xfId="0" applyFont="1" applyAlignment="1">
      <alignment horizontal="center" vertical="center"/>
    </xf>
    <xf numFmtId="165" fontId="3" fillId="0" borderId="0" xfId="1" applyNumberFormat="1" applyFont="1" applyAlignment="1">
      <alignment horizontal="center" vertical="center"/>
    </xf>
    <xf numFmtId="0" fontId="7" fillId="0" borderId="0" xfId="0" applyFont="1" applyAlignment="1">
      <alignment horizontal="left" vertical="center"/>
    </xf>
    <xf numFmtId="165" fontId="2" fillId="0" borderId="8" xfId="1" applyNumberFormat="1" applyFont="1" applyFill="1" applyBorder="1" applyAlignment="1">
      <alignment vertical="center"/>
    </xf>
    <xf numFmtId="0" fontId="2" fillId="0" borderId="5" xfId="0" applyFont="1" applyBorder="1" applyAlignment="1">
      <alignment horizontal="left" vertical="center" wrapText="1"/>
    </xf>
    <xf numFmtId="14" fontId="3" fillId="0" borderId="5" xfId="0" quotePrefix="1" applyNumberFormat="1" applyFont="1" applyBorder="1" applyAlignment="1">
      <alignment horizontal="left" vertical="center" wrapText="1"/>
    </xf>
    <xf numFmtId="165" fontId="2" fillId="0" borderId="6" xfId="1" applyNumberFormat="1" applyFont="1" applyFill="1" applyBorder="1" applyAlignment="1">
      <alignment horizontal="left" vertical="center" wrapText="1"/>
    </xf>
    <xf numFmtId="0" fontId="15" fillId="0" borderId="6" xfId="0" applyFont="1" applyBorder="1" applyAlignment="1">
      <alignment horizontal="left" vertical="center" wrapText="1"/>
    </xf>
    <xf numFmtId="165" fontId="2" fillId="0" borderId="5" xfId="1" applyNumberFormat="1" applyFont="1" applyFill="1" applyBorder="1" applyAlignment="1">
      <alignment horizontal="left" vertical="center" wrapText="1"/>
    </xf>
    <xf numFmtId="0" fontId="3" fillId="0" borderId="5" xfId="0" applyFont="1" applyBorder="1" applyAlignment="1">
      <alignment horizontal="left" vertical="center" wrapText="1"/>
    </xf>
    <xf numFmtId="165" fontId="3" fillId="0" borderId="6" xfId="1" applyNumberFormat="1" applyFont="1" applyFill="1" applyBorder="1" applyAlignment="1">
      <alignment horizontal="left" vertical="center" wrapText="1"/>
    </xf>
    <xf numFmtId="0" fontId="3" fillId="0" borderId="6" xfId="0" applyFont="1" applyBorder="1" applyAlignment="1">
      <alignment horizontal="left" vertical="center" wrapText="1"/>
    </xf>
    <xf numFmtId="165" fontId="3" fillId="0" borderId="5" xfId="1" applyNumberFormat="1" applyFont="1" applyFill="1" applyBorder="1" applyAlignment="1">
      <alignment horizontal="left" vertical="center" wrapText="1"/>
    </xf>
    <xf numFmtId="0" fontId="3" fillId="0" borderId="5" xfId="0" applyFont="1" applyBorder="1" applyAlignment="1">
      <alignment horizontal="left" vertical="center"/>
    </xf>
    <xf numFmtId="165" fontId="3" fillId="0" borderId="12" xfId="1" applyNumberFormat="1" applyFont="1" applyFill="1" applyBorder="1" applyAlignment="1">
      <alignment horizontal="center" vertical="center"/>
    </xf>
    <xf numFmtId="165" fontId="3" fillId="0" borderId="12" xfId="1" applyNumberFormat="1" applyFont="1" applyFill="1" applyBorder="1" applyAlignment="1">
      <alignment horizontal="left" vertical="center"/>
    </xf>
    <xf numFmtId="0" fontId="3" fillId="0" borderId="10" xfId="0" applyFont="1" applyBorder="1" applyAlignment="1">
      <alignment horizontal="left" vertical="center" wrapText="1"/>
    </xf>
    <xf numFmtId="165" fontId="2" fillId="0" borderId="6" xfId="1" applyNumberFormat="1" applyFont="1" applyFill="1" applyBorder="1" applyAlignment="1">
      <alignment horizontal="left" vertical="center"/>
    </xf>
    <xf numFmtId="0" fontId="3" fillId="0" borderId="9" xfId="0" applyFont="1" applyBorder="1" applyAlignment="1">
      <alignment vertical="center"/>
    </xf>
    <xf numFmtId="165" fontId="6" fillId="0" borderId="1" xfId="1" applyNumberFormat="1" applyFont="1" applyBorder="1" applyAlignment="1">
      <alignment vertical="center"/>
    </xf>
    <xf numFmtId="0" fontId="3" fillId="0" borderId="6" xfId="0" applyFont="1" applyBorder="1" applyAlignment="1">
      <alignment horizontal="center" vertical="top"/>
    </xf>
    <xf numFmtId="165" fontId="6" fillId="0" borderId="5" xfId="1" quotePrefix="1" applyNumberFormat="1" applyFont="1" applyFill="1" applyBorder="1" applyAlignment="1">
      <alignment horizontal="center" vertical="top"/>
    </xf>
    <xf numFmtId="165" fontId="6" fillId="0" borderId="6" xfId="1" quotePrefix="1" applyNumberFormat="1" applyFont="1" applyFill="1" applyBorder="1" applyAlignment="1">
      <alignment horizontal="center" vertical="top"/>
    </xf>
    <xf numFmtId="165" fontId="2" fillId="0" borderId="2" xfId="1" applyNumberFormat="1" applyFont="1" applyFill="1" applyBorder="1" applyAlignment="1">
      <alignment horizontal="center" vertical="center" wrapText="1"/>
    </xf>
    <xf numFmtId="0" fontId="7" fillId="0" borderId="0" xfId="0" applyFont="1" applyAlignment="1">
      <alignment horizontal="center" vertical="top"/>
    </xf>
    <xf numFmtId="0" fontId="7" fillId="0" borderId="0" xfId="0" applyFont="1" applyAlignment="1">
      <alignment horizontal="left" vertical="top"/>
    </xf>
    <xf numFmtId="165" fontId="2" fillId="0" borderId="2" xfId="1" applyNumberFormat="1" applyFont="1" applyFill="1" applyBorder="1" applyAlignment="1">
      <alignment horizontal="center" vertical="top" wrapText="1"/>
    </xf>
    <xf numFmtId="165" fontId="3" fillId="0" borderId="6" xfId="1" applyNumberFormat="1" applyFont="1" applyFill="1" applyBorder="1" applyAlignment="1">
      <alignment horizontal="left" wrapText="1"/>
    </xf>
    <xf numFmtId="0" fontId="3" fillId="0" borderId="6" xfId="0" applyFont="1" applyBorder="1" applyAlignment="1">
      <alignment horizontal="left" wrapText="1"/>
    </xf>
    <xf numFmtId="0" fontId="7" fillId="0" borderId="0" xfId="0" applyFont="1" applyAlignment="1">
      <alignment horizontal="center" vertical="center"/>
    </xf>
    <xf numFmtId="165" fontId="3" fillId="0" borderId="0" xfId="1" applyNumberFormat="1" applyFont="1" applyAlignment="1">
      <alignment horizontal="center" vertical="center"/>
    </xf>
    <xf numFmtId="165" fontId="3" fillId="0" borderId="0" xfId="1" applyNumberFormat="1" applyFont="1" applyAlignment="1">
      <alignment horizontal="center" vertical="top"/>
    </xf>
    <xf numFmtId="0" fontId="7" fillId="0" borderId="0" xfId="0" applyFont="1" applyAlignment="1">
      <alignment horizontal="center" vertical="top"/>
    </xf>
  </cellXfs>
  <cellStyles count="3">
    <cellStyle name="Comma" xfId="1" builtinId="3"/>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K135"/>
  <sheetViews>
    <sheetView view="pageBreakPreview" topLeftCell="A61" zoomScale="112" zoomScaleNormal="100" zoomScaleSheetLayoutView="112" workbookViewId="0">
      <selection activeCell="C66" sqref="C66"/>
    </sheetView>
  </sheetViews>
  <sheetFormatPr defaultColWidth="9" defaultRowHeight="15" x14ac:dyDescent="0.25"/>
  <cols>
    <col min="1" max="1" width="4.42578125" style="10" customWidth="1"/>
    <col min="2" max="2" width="10.42578125" style="11" customWidth="1"/>
    <col min="3" max="3" width="67.7109375" style="12" customWidth="1"/>
    <col min="4" max="4" width="37" style="13" customWidth="1"/>
    <col min="5" max="5" width="12.85546875" style="13" customWidth="1"/>
    <col min="6" max="6" width="13.42578125" style="13" customWidth="1"/>
    <col min="7" max="7" width="13.85546875" style="13" customWidth="1"/>
    <col min="8" max="8" width="14.7109375" style="4" customWidth="1"/>
    <col min="9" max="9" width="14.7109375" style="4" bestFit="1" customWidth="1"/>
    <col min="10" max="10" width="12.42578125" style="4" bestFit="1" customWidth="1"/>
    <col min="11" max="11" width="12.5703125" style="4" bestFit="1" customWidth="1"/>
    <col min="12" max="16384" width="9" style="4"/>
  </cols>
  <sheetData>
    <row r="1" spans="1:11" x14ac:dyDescent="0.25">
      <c r="A1" s="272" t="s">
        <v>0</v>
      </c>
      <c r="B1" s="272"/>
      <c r="C1" s="272"/>
      <c r="D1" s="272"/>
      <c r="E1" s="272"/>
      <c r="F1" s="272"/>
      <c r="G1" s="272"/>
    </row>
    <row r="2" spans="1:11" x14ac:dyDescent="0.25">
      <c r="A2" s="272" t="s">
        <v>1</v>
      </c>
      <c r="B2" s="272"/>
      <c r="C2" s="272"/>
      <c r="D2" s="272"/>
      <c r="E2" s="272"/>
      <c r="F2" s="272"/>
      <c r="G2" s="272"/>
    </row>
    <row r="3" spans="1:11" x14ac:dyDescent="0.25">
      <c r="A3" s="22"/>
      <c r="B3" s="23"/>
      <c r="C3" s="24"/>
      <c r="D3" s="25"/>
      <c r="E3" s="25"/>
      <c r="F3" s="25"/>
      <c r="G3" s="25"/>
    </row>
    <row r="4" spans="1:11" x14ac:dyDescent="0.25">
      <c r="A4" s="94" t="s">
        <v>2</v>
      </c>
      <c r="B4" s="94"/>
      <c r="C4" s="24" t="s">
        <v>164</v>
      </c>
      <c r="D4" s="25"/>
      <c r="E4" s="25"/>
      <c r="F4" s="25"/>
      <c r="G4" s="25"/>
    </row>
    <row r="5" spans="1:11" x14ac:dyDescent="0.25">
      <c r="A5" s="26"/>
      <c r="B5" s="27"/>
      <c r="C5" s="28"/>
      <c r="D5" s="29"/>
      <c r="E5" s="29"/>
      <c r="F5" s="29"/>
      <c r="G5" s="29"/>
    </row>
    <row r="6" spans="1:11" ht="20.25" customHeight="1" x14ac:dyDescent="0.25">
      <c r="A6" s="30" t="s">
        <v>3</v>
      </c>
      <c r="B6" s="31" t="s">
        <v>4</v>
      </c>
      <c r="C6" s="32" t="s">
        <v>5</v>
      </c>
      <c r="D6" s="33" t="s">
        <v>6</v>
      </c>
      <c r="E6" s="33" t="s">
        <v>7</v>
      </c>
      <c r="F6" s="33" t="s">
        <v>8</v>
      </c>
      <c r="G6" s="33" t="s">
        <v>9</v>
      </c>
      <c r="K6" s="8"/>
    </row>
    <row r="7" spans="1:11" x14ac:dyDescent="0.25">
      <c r="A7" s="61">
        <v>1</v>
      </c>
      <c r="B7" s="34">
        <v>2</v>
      </c>
      <c r="C7" s="34">
        <v>3</v>
      </c>
      <c r="D7" s="34">
        <v>4</v>
      </c>
      <c r="E7" s="34">
        <v>5</v>
      </c>
      <c r="F7" s="34">
        <v>6</v>
      </c>
      <c r="G7" s="34">
        <v>7</v>
      </c>
      <c r="K7" s="8"/>
    </row>
    <row r="8" spans="1:11" x14ac:dyDescent="0.25">
      <c r="A8" s="35"/>
      <c r="B8" s="36"/>
      <c r="C8" s="37" t="s">
        <v>10</v>
      </c>
      <c r="D8" s="38"/>
      <c r="E8" s="39">
        <v>0</v>
      </c>
      <c r="F8" s="39"/>
      <c r="G8" s="39">
        <f>E8</f>
        <v>0</v>
      </c>
      <c r="I8" s="5"/>
    </row>
    <row r="9" spans="1:11" s="3" customFormat="1" ht="14.25" x14ac:dyDescent="0.2">
      <c r="A9" s="40">
        <v>1</v>
      </c>
      <c r="B9" s="43" t="s">
        <v>66</v>
      </c>
      <c r="C9" s="21" t="s">
        <v>68</v>
      </c>
      <c r="D9" s="39"/>
      <c r="E9" s="39"/>
      <c r="F9" s="39"/>
      <c r="G9" s="39"/>
      <c r="I9" s="6"/>
      <c r="K9" s="6"/>
    </row>
    <row r="10" spans="1:11" x14ac:dyDescent="0.25">
      <c r="A10" s="41"/>
      <c r="B10" s="42"/>
      <c r="C10" s="37" t="s">
        <v>67</v>
      </c>
      <c r="D10" s="38"/>
      <c r="E10" s="39"/>
      <c r="F10" s="38"/>
      <c r="G10" s="38"/>
    </row>
    <row r="11" spans="1:11" x14ac:dyDescent="0.25">
      <c r="A11" s="41"/>
      <c r="B11" s="42"/>
      <c r="C11" s="37" t="s">
        <v>11</v>
      </c>
      <c r="D11" s="38" t="s">
        <v>50</v>
      </c>
      <c r="E11" s="38">
        <v>87749600</v>
      </c>
      <c r="F11" s="38"/>
      <c r="G11" s="38">
        <f>G8+E11</f>
        <v>87749600</v>
      </c>
      <c r="I11" s="7"/>
    </row>
    <row r="12" spans="1:11" x14ac:dyDescent="0.25">
      <c r="A12" s="41"/>
      <c r="B12" s="42"/>
      <c r="C12" s="37" t="s">
        <v>12</v>
      </c>
      <c r="D12" s="38" t="s">
        <v>51</v>
      </c>
      <c r="E12" s="38">
        <v>4448634</v>
      </c>
      <c r="F12" s="38"/>
      <c r="G12" s="38">
        <f t="shared" ref="G12:G25" si="0">G11+E12</f>
        <v>92198234</v>
      </c>
    </row>
    <row r="13" spans="1:11" x14ac:dyDescent="0.25">
      <c r="A13" s="41"/>
      <c r="B13" s="42"/>
      <c r="C13" s="37" t="s">
        <v>13</v>
      </c>
      <c r="D13" s="38"/>
      <c r="E13" s="38">
        <v>0</v>
      </c>
      <c r="F13" s="38"/>
      <c r="G13" s="38">
        <f t="shared" si="0"/>
        <v>92198234</v>
      </c>
    </row>
    <row r="14" spans="1:11" x14ac:dyDescent="0.25">
      <c r="A14" s="41"/>
      <c r="B14" s="42"/>
      <c r="C14" s="37" t="s">
        <v>14</v>
      </c>
      <c r="D14" s="38" t="s">
        <v>52</v>
      </c>
      <c r="E14" s="38">
        <v>8725000</v>
      </c>
      <c r="F14" s="38"/>
      <c r="G14" s="38">
        <f t="shared" si="0"/>
        <v>100923234</v>
      </c>
      <c r="I14" s="5"/>
    </row>
    <row r="15" spans="1:11" x14ac:dyDescent="0.25">
      <c r="A15" s="41"/>
      <c r="B15" s="42"/>
      <c r="C15" s="37" t="s">
        <v>15</v>
      </c>
      <c r="D15" s="38" t="s">
        <v>53</v>
      </c>
      <c r="E15" s="38">
        <v>3240000</v>
      </c>
      <c r="F15" s="38"/>
      <c r="G15" s="38">
        <f t="shared" si="0"/>
        <v>104163234</v>
      </c>
    </row>
    <row r="16" spans="1:11" x14ac:dyDescent="0.25">
      <c r="A16" s="41"/>
      <c r="B16" s="42"/>
      <c r="C16" s="37" t="s">
        <v>16</v>
      </c>
      <c r="D16" s="38" t="s">
        <v>54</v>
      </c>
      <c r="E16" s="38">
        <v>1465000</v>
      </c>
      <c r="F16" s="38"/>
      <c r="G16" s="38">
        <f t="shared" si="0"/>
        <v>105628234</v>
      </c>
      <c r="I16" s="5"/>
    </row>
    <row r="17" spans="1:10" x14ac:dyDescent="0.25">
      <c r="A17" s="41"/>
      <c r="B17" s="42"/>
      <c r="C17" s="37" t="s">
        <v>17</v>
      </c>
      <c r="D17" s="38" t="s">
        <v>55</v>
      </c>
      <c r="E17" s="38">
        <v>4225130</v>
      </c>
      <c r="F17" s="38"/>
      <c r="G17" s="38">
        <f t="shared" si="0"/>
        <v>109853364</v>
      </c>
    </row>
    <row r="18" spans="1:10" x14ac:dyDescent="0.25">
      <c r="A18" s="41"/>
      <c r="B18" s="42"/>
      <c r="C18" s="37" t="s">
        <v>18</v>
      </c>
      <c r="D18" s="38" t="s">
        <v>56</v>
      </c>
      <c r="E18" s="38">
        <v>3331320</v>
      </c>
      <c r="F18" s="38"/>
      <c r="G18" s="38">
        <f t="shared" si="0"/>
        <v>113184684</v>
      </c>
    </row>
    <row r="19" spans="1:10" x14ac:dyDescent="0.25">
      <c r="A19" s="41"/>
      <c r="B19" s="42"/>
      <c r="C19" s="37" t="s">
        <v>19</v>
      </c>
      <c r="D19" s="38"/>
      <c r="E19" s="38"/>
      <c r="F19" s="38"/>
      <c r="G19" s="38">
        <f t="shared" si="0"/>
        <v>113184684</v>
      </c>
    </row>
    <row r="20" spans="1:10" x14ac:dyDescent="0.25">
      <c r="A20" s="41"/>
      <c r="B20" s="42"/>
      <c r="C20" s="37" t="s">
        <v>20</v>
      </c>
      <c r="D20" s="38"/>
      <c r="E20" s="38"/>
      <c r="F20" s="38"/>
      <c r="G20" s="38">
        <f t="shared" si="0"/>
        <v>113184684</v>
      </c>
    </row>
    <row r="21" spans="1:10" x14ac:dyDescent="0.25">
      <c r="A21" s="41"/>
      <c r="B21" s="42"/>
      <c r="C21" s="37" t="s">
        <v>21</v>
      </c>
      <c r="D21" s="38" t="s">
        <v>57</v>
      </c>
      <c r="E21" s="38">
        <v>182921</v>
      </c>
      <c r="F21" s="38"/>
      <c r="G21" s="38">
        <f t="shared" si="0"/>
        <v>113367605</v>
      </c>
    </row>
    <row r="22" spans="1:10" x14ac:dyDescent="0.25">
      <c r="A22" s="41"/>
      <c r="B22" s="42"/>
      <c r="C22" s="37" t="s">
        <v>22</v>
      </c>
      <c r="D22" s="38"/>
      <c r="E22" s="38"/>
      <c r="F22" s="38"/>
      <c r="G22" s="38">
        <f t="shared" si="0"/>
        <v>113367605</v>
      </c>
      <c r="I22" s="5"/>
      <c r="J22" s="5"/>
    </row>
    <row r="23" spans="1:10" x14ac:dyDescent="0.25">
      <c r="A23" s="41"/>
      <c r="B23" s="42"/>
      <c r="C23" s="37" t="s">
        <v>23</v>
      </c>
      <c r="D23" s="38" t="s">
        <v>59</v>
      </c>
      <c r="E23" s="38">
        <v>210594</v>
      </c>
      <c r="F23" s="38"/>
      <c r="G23" s="38">
        <f t="shared" si="0"/>
        <v>113578199</v>
      </c>
    </row>
    <row r="24" spans="1:10" x14ac:dyDescent="0.25">
      <c r="A24" s="41"/>
      <c r="B24" s="42"/>
      <c r="C24" s="37" t="s">
        <v>24</v>
      </c>
      <c r="D24" s="38" t="s">
        <v>58</v>
      </c>
      <c r="E24" s="38">
        <v>631795</v>
      </c>
      <c r="F24" s="38"/>
      <c r="G24" s="38">
        <f t="shared" si="0"/>
        <v>114209994</v>
      </c>
    </row>
    <row r="25" spans="1:10" x14ac:dyDescent="0.25">
      <c r="A25" s="41"/>
      <c r="B25" s="42"/>
      <c r="C25" s="37" t="s">
        <v>25</v>
      </c>
      <c r="D25" s="38" t="s">
        <v>60</v>
      </c>
      <c r="E25" s="38">
        <v>1187</v>
      </c>
      <c r="F25" s="38"/>
      <c r="G25" s="38">
        <f t="shared" si="0"/>
        <v>114211181</v>
      </c>
    </row>
    <row r="26" spans="1:10" x14ac:dyDescent="0.25">
      <c r="A26" s="41"/>
      <c r="B26" s="42"/>
      <c r="C26" s="37" t="s">
        <v>26</v>
      </c>
      <c r="D26" s="38" t="s">
        <v>27</v>
      </c>
      <c r="E26" s="38"/>
      <c r="F26" s="38"/>
      <c r="G26" s="38"/>
    </row>
    <row r="27" spans="1:10" x14ac:dyDescent="0.25">
      <c r="A27" s="41"/>
      <c r="B27" s="42"/>
      <c r="C27" s="37" t="s">
        <v>48</v>
      </c>
      <c r="D27" s="38"/>
      <c r="E27" s="38"/>
      <c r="F27" s="38">
        <v>7375858</v>
      </c>
      <c r="G27" s="38">
        <f>G25-F27</f>
        <v>106835323</v>
      </c>
      <c r="I27" s="5"/>
    </row>
    <row r="28" spans="1:10" x14ac:dyDescent="0.25">
      <c r="A28" s="41"/>
      <c r="B28" s="42"/>
      <c r="C28" s="37" t="s">
        <v>28</v>
      </c>
      <c r="D28" s="38"/>
      <c r="E28" s="38"/>
      <c r="F28" s="38">
        <f>E21</f>
        <v>182921</v>
      </c>
      <c r="G28" s="38">
        <f t="shared" ref="G28:G41" si="1">G27-F28</f>
        <v>106652402</v>
      </c>
      <c r="I28" s="8"/>
    </row>
    <row r="29" spans="1:10" x14ac:dyDescent="0.25">
      <c r="A29" s="41"/>
      <c r="B29" s="42"/>
      <c r="C29" s="37" t="s">
        <v>29</v>
      </c>
      <c r="D29" s="38"/>
      <c r="E29" s="38"/>
      <c r="F29" s="38">
        <v>0</v>
      </c>
      <c r="G29" s="38">
        <f t="shared" si="1"/>
        <v>106652402</v>
      </c>
      <c r="I29" s="8"/>
    </row>
    <row r="30" spans="1:10" x14ac:dyDescent="0.25">
      <c r="A30" s="41"/>
      <c r="B30" s="42"/>
      <c r="C30" s="37" t="s">
        <v>30</v>
      </c>
      <c r="D30" s="38"/>
      <c r="E30" s="38"/>
      <c r="F30" s="38">
        <v>0</v>
      </c>
      <c r="G30" s="38">
        <f t="shared" si="1"/>
        <v>106652402</v>
      </c>
      <c r="I30" s="8"/>
    </row>
    <row r="31" spans="1:10" x14ac:dyDescent="0.25">
      <c r="A31" s="41"/>
      <c r="B31" s="42"/>
      <c r="C31" s="37" t="s">
        <v>31</v>
      </c>
      <c r="D31" s="38"/>
      <c r="E31" s="38"/>
      <c r="F31" s="38">
        <v>0</v>
      </c>
      <c r="G31" s="38">
        <f t="shared" si="1"/>
        <v>106652402</v>
      </c>
      <c r="I31" s="8"/>
    </row>
    <row r="32" spans="1:10" x14ac:dyDescent="0.25">
      <c r="A32" s="41"/>
      <c r="B32" s="42"/>
      <c r="C32" s="37" t="s">
        <v>17</v>
      </c>
      <c r="D32" s="38"/>
      <c r="E32" s="38"/>
      <c r="F32" s="38">
        <f>E17</f>
        <v>4225130</v>
      </c>
      <c r="G32" s="38">
        <f t="shared" si="1"/>
        <v>102427272</v>
      </c>
      <c r="I32" s="8"/>
    </row>
    <row r="33" spans="1:10" x14ac:dyDescent="0.25">
      <c r="A33" s="41"/>
      <c r="B33" s="42"/>
      <c r="C33" s="37" t="s">
        <v>63</v>
      </c>
      <c r="D33" s="38"/>
      <c r="E33" s="38"/>
      <c r="F33" s="38">
        <v>0</v>
      </c>
      <c r="G33" s="38">
        <f t="shared" si="1"/>
        <v>102427272</v>
      </c>
      <c r="I33" s="8"/>
    </row>
    <row r="34" spans="1:10" x14ac:dyDescent="0.25">
      <c r="A34" s="41"/>
      <c r="B34" s="42"/>
      <c r="C34" s="37" t="s">
        <v>32</v>
      </c>
      <c r="D34" s="38"/>
      <c r="E34" s="38"/>
      <c r="F34" s="38">
        <v>0</v>
      </c>
      <c r="G34" s="38">
        <f t="shared" si="1"/>
        <v>102427272</v>
      </c>
    </row>
    <row r="35" spans="1:10" x14ac:dyDescent="0.25">
      <c r="A35" s="41"/>
      <c r="B35" s="42"/>
      <c r="C35" s="37" t="s">
        <v>33</v>
      </c>
      <c r="D35" s="38"/>
      <c r="E35" s="38"/>
      <c r="F35" s="38">
        <f>E23</f>
        <v>210594</v>
      </c>
      <c r="G35" s="38">
        <f t="shared" si="1"/>
        <v>102216678</v>
      </c>
      <c r="J35" s="6"/>
    </row>
    <row r="36" spans="1:10" x14ac:dyDescent="0.25">
      <c r="A36" s="41"/>
      <c r="B36" s="42"/>
      <c r="C36" s="37" t="s">
        <v>34</v>
      </c>
      <c r="D36" s="38"/>
      <c r="E36" s="38"/>
      <c r="F36" s="38">
        <f>E24</f>
        <v>631795</v>
      </c>
      <c r="G36" s="38">
        <f t="shared" si="1"/>
        <v>101584883</v>
      </c>
    </row>
    <row r="37" spans="1:10" x14ac:dyDescent="0.25">
      <c r="A37" s="41"/>
      <c r="B37" s="42"/>
      <c r="C37" s="37" t="s">
        <v>49</v>
      </c>
      <c r="D37" s="38"/>
      <c r="E37" s="38"/>
      <c r="F37" s="38">
        <v>1056283</v>
      </c>
      <c r="G37" s="38">
        <f t="shared" si="1"/>
        <v>100528600</v>
      </c>
    </row>
    <row r="38" spans="1:10" x14ac:dyDescent="0.25">
      <c r="A38" s="41"/>
      <c r="B38" s="42"/>
      <c r="C38" s="37" t="s">
        <v>35</v>
      </c>
      <c r="D38" s="38"/>
      <c r="E38" s="38"/>
      <c r="F38" s="38">
        <v>0</v>
      </c>
      <c r="G38" s="38">
        <f t="shared" si="1"/>
        <v>100528600</v>
      </c>
    </row>
    <row r="39" spans="1:10" x14ac:dyDescent="0.25">
      <c r="A39" s="41"/>
      <c r="B39" s="42"/>
      <c r="C39" s="37" t="s">
        <v>36</v>
      </c>
      <c r="D39" s="38"/>
      <c r="E39" s="38"/>
      <c r="F39" s="38">
        <v>0</v>
      </c>
      <c r="G39" s="38">
        <f t="shared" si="1"/>
        <v>100528600</v>
      </c>
    </row>
    <row r="40" spans="1:10" x14ac:dyDescent="0.25">
      <c r="A40" s="41"/>
      <c r="B40" s="42"/>
      <c r="C40" s="37" t="s">
        <v>37</v>
      </c>
      <c r="D40" s="38"/>
      <c r="E40" s="38"/>
      <c r="F40" s="38">
        <v>0</v>
      </c>
      <c r="G40" s="38">
        <f t="shared" si="1"/>
        <v>100528600</v>
      </c>
    </row>
    <row r="41" spans="1:10" x14ac:dyDescent="0.25">
      <c r="A41" s="41">
        <v>2</v>
      </c>
      <c r="B41" s="43" t="s">
        <v>66</v>
      </c>
      <c r="C41" s="37" t="s">
        <v>37</v>
      </c>
      <c r="D41" s="38"/>
      <c r="E41" s="38"/>
      <c r="F41" s="38">
        <v>0</v>
      </c>
      <c r="G41" s="38">
        <f t="shared" si="1"/>
        <v>100528600</v>
      </c>
    </row>
    <row r="42" spans="1:10" x14ac:dyDescent="0.25">
      <c r="A42" s="41">
        <v>3</v>
      </c>
      <c r="B42" s="43" t="s">
        <v>66</v>
      </c>
      <c r="C42" s="37" t="s">
        <v>39</v>
      </c>
      <c r="D42" s="38"/>
      <c r="E42" s="38" t="s">
        <v>38</v>
      </c>
      <c r="F42" s="38" t="s">
        <v>38</v>
      </c>
      <c r="G42" s="38"/>
      <c r="I42" s="5"/>
    </row>
    <row r="43" spans="1:10" x14ac:dyDescent="0.25">
      <c r="A43" s="41">
        <v>4</v>
      </c>
      <c r="B43" s="43" t="s">
        <v>66</v>
      </c>
      <c r="C43" s="37" t="s">
        <v>72</v>
      </c>
      <c r="D43" s="38"/>
      <c r="E43" s="38"/>
      <c r="F43" s="39">
        <v>100528600</v>
      </c>
      <c r="G43" s="39">
        <f>G41-F43</f>
        <v>0</v>
      </c>
    </row>
    <row r="44" spans="1:10" s="9" customFormat="1" ht="21.75" customHeight="1" x14ac:dyDescent="0.25">
      <c r="A44" s="41">
        <v>5</v>
      </c>
      <c r="B44" s="43" t="s">
        <v>74</v>
      </c>
      <c r="C44" s="21" t="s">
        <v>73</v>
      </c>
      <c r="D44" s="39"/>
      <c r="E44" s="39">
        <v>83422200</v>
      </c>
      <c r="F44" s="39"/>
      <c r="G44" s="39">
        <f>G43+E44</f>
        <v>83422200</v>
      </c>
    </row>
    <row r="45" spans="1:10" ht="51" x14ac:dyDescent="0.25">
      <c r="A45" s="67">
        <v>6</v>
      </c>
      <c r="B45" s="65" t="s">
        <v>94</v>
      </c>
      <c r="C45" s="85" t="s">
        <v>108</v>
      </c>
      <c r="D45" s="66" t="s">
        <v>95</v>
      </c>
      <c r="E45" s="39"/>
      <c r="F45" s="38">
        <v>126000</v>
      </c>
      <c r="G45" s="38">
        <f>G44-F45</f>
        <v>83296200</v>
      </c>
    </row>
    <row r="46" spans="1:10" ht="51" x14ac:dyDescent="0.25">
      <c r="A46" s="67">
        <v>7</v>
      </c>
      <c r="B46" s="65" t="s">
        <v>94</v>
      </c>
      <c r="C46" s="85" t="s">
        <v>107</v>
      </c>
      <c r="D46" s="66" t="s">
        <v>96</v>
      </c>
      <c r="E46" s="38"/>
      <c r="F46" s="38">
        <v>824000</v>
      </c>
      <c r="G46" s="38">
        <f>G45-F46</f>
        <v>82472200</v>
      </c>
    </row>
    <row r="47" spans="1:10" ht="51" x14ac:dyDescent="0.25">
      <c r="A47" s="67">
        <v>8</v>
      </c>
      <c r="B47" s="65" t="s">
        <v>94</v>
      </c>
      <c r="C47" s="85" t="s">
        <v>109</v>
      </c>
      <c r="D47" s="66" t="s">
        <v>97</v>
      </c>
      <c r="E47" s="38"/>
      <c r="F47" s="38">
        <v>1022000</v>
      </c>
      <c r="G47" s="38">
        <f t="shared" ref="G47:G83" si="2">G46-F47</f>
        <v>81450200</v>
      </c>
      <c r="I47" s="5"/>
      <c r="J47" s="5"/>
    </row>
    <row r="48" spans="1:10" ht="51" x14ac:dyDescent="0.25">
      <c r="A48" s="67">
        <v>9</v>
      </c>
      <c r="B48" s="65" t="s">
        <v>94</v>
      </c>
      <c r="C48" s="85" t="s">
        <v>110</v>
      </c>
      <c r="D48" s="66" t="s">
        <v>98</v>
      </c>
      <c r="E48" s="38"/>
      <c r="F48" s="38">
        <v>343500</v>
      </c>
      <c r="G48" s="38">
        <f t="shared" si="2"/>
        <v>81106700</v>
      </c>
    </row>
    <row r="49" spans="1:7" ht="41.25" customHeight="1" x14ac:dyDescent="0.25">
      <c r="A49" s="67">
        <v>10</v>
      </c>
      <c r="B49" s="65" t="s">
        <v>94</v>
      </c>
      <c r="C49" s="85" t="s">
        <v>111</v>
      </c>
      <c r="D49" s="66" t="s">
        <v>101</v>
      </c>
      <c r="E49" s="38"/>
      <c r="F49" s="38">
        <v>750000</v>
      </c>
      <c r="G49" s="38">
        <f t="shared" si="2"/>
        <v>80356700</v>
      </c>
    </row>
    <row r="50" spans="1:7" ht="42.75" customHeight="1" x14ac:dyDescent="0.25">
      <c r="A50" s="67">
        <v>11</v>
      </c>
      <c r="B50" s="70" t="s">
        <v>94</v>
      </c>
      <c r="C50" s="86" t="s">
        <v>111</v>
      </c>
      <c r="D50" s="71" t="s">
        <v>101</v>
      </c>
      <c r="E50" s="73"/>
      <c r="F50" s="73">
        <v>424000</v>
      </c>
      <c r="G50" s="38">
        <f t="shared" si="2"/>
        <v>79932700</v>
      </c>
    </row>
    <row r="51" spans="1:7" ht="40.5" customHeight="1" x14ac:dyDescent="0.25">
      <c r="A51" s="67">
        <v>12</v>
      </c>
      <c r="B51" s="65" t="s">
        <v>94</v>
      </c>
      <c r="C51" s="85" t="s">
        <v>112</v>
      </c>
      <c r="D51" s="66" t="s">
        <v>101</v>
      </c>
      <c r="E51" s="38"/>
      <c r="F51" s="38">
        <v>1713000</v>
      </c>
      <c r="G51" s="38">
        <f t="shared" si="2"/>
        <v>78219700</v>
      </c>
    </row>
    <row r="52" spans="1:7" ht="41.25" customHeight="1" x14ac:dyDescent="0.25">
      <c r="A52" s="67">
        <v>13</v>
      </c>
      <c r="B52" s="65" t="s">
        <v>94</v>
      </c>
      <c r="C52" s="85" t="s">
        <v>112</v>
      </c>
      <c r="D52" s="66" t="s">
        <v>101</v>
      </c>
      <c r="E52" s="38"/>
      <c r="F52" s="38">
        <v>1288500</v>
      </c>
      <c r="G52" s="38">
        <f t="shared" si="2"/>
        <v>76931200</v>
      </c>
    </row>
    <row r="53" spans="1:7" ht="76.5" x14ac:dyDescent="0.25">
      <c r="A53" s="67">
        <v>14</v>
      </c>
      <c r="B53" s="65" t="s">
        <v>94</v>
      </c>
      <c r="C53" s="85" t="s">
        <v>113</v>
      </c>
      <c r="D53" s="66" t="s">
        <v>102</v>
      </c>
      <c r="E53" s="38"/>
      <c r="F53" s="38">
        <v>9813700</v>
      </c>
      <c r="G53" s="38">
        <f t="shared" si="2"/>
        <v>67117500</v>
      </c>
    </row>
    <row r="54" spans="1:7" ht="39.75" customHeight="1" x14ac:dyDescent="0.25">
      <c r="A54" s="67">
        <v>15</v>
      </c>
      <c r="B54" s="65" t="s">
        <v>94</v>
      </c>
      <c r="C54" s="85" t="s">
        <v>114</v>
      </c>
      <c r="D54" s="66" t="s">
        <v>103</v>
      </c>
      <c r="E54" s="38"/>
      <c r="F54" s="38">
        <v>845400</v>
      </c>
      <c r="G54" s="38">
        <f t="shared" si="2"/>
        <v>66272100</v>
      </c>
    </row>
    <row r="55" spans="1:7" ht="41.25" customHeight="1" x14ac:dyDescent="0.25">
      <c r="A55" s="67">
        <v>16</v>
      </c>
      <c r="B55" s="65" t="s">
        <v>94</v>
      </c>
      <c r="C55" s="85" t="s">
        <v>115</v>
      </c>
      <c r="D55" s="66" t="s">
        <v>104</v>
      </c>
      <c r="E55" s="38"/>
      <c r="F55" s="38">
        <v>1928700</v>
      </c>
      <c r="G55" s="38">
        <f t="shared" si="2"/>
        <v>64343400</v>
      </c>
    </row>
    <row r="56" spans="1:7" ht="42.75" customHeight="1" x14ac:dyDescent="0.25">
      <c r="A56" s="67">
        <v>17</v>
      </c>
      <c r="B56" s="65" t="s">
        <v>94</v>
      </c>
      <c r="C56" s="85" t="s">
        <v>116</v>
      </c>
      <c r="D56" s="66" t="s">
        <v>105</v>
      </c>
      <c r="E56" s="38"/>
      <c r="F56" s="38">
        <v>1374000</v>
      </c>
      <c r="G56" s="38">
        <f t="shared" si="2"/>
        <v>62969400</v>
      </c>
    </row>
    <row r="57" spans="1:7" ht="51" x14ac:dyDescent="0.25">
      <c r="A57" s="67">
        <v>18</v>
      </c>
      <c r="B57" s="65" t="s">
        <v>94</v>
      </c>
      <c r="C57" s="63" t="s">
        <v>117</v>
      </c>
      <c r="D57" s="87" t="s">
        <v>106</v>
      </c>
      <c r="E57" s="38"/>
      <c r="F57" s="38">
        <v>3075000</v>
      </c>
      <c r="G57" s="38">
        <f t="shared" si="2"/>
        <v>59894400</v>
      </c>
    </row>
    <row r="58" spans="1:7" ht="41.25" customHeight="1" x14ac:dyDescent="0.25">
      <c r="A58" s="67">
        <v>19</v>
      </c>
      <c r="B58" s="65" t="s">
        <v>94</v>
      </c>
      <c r="C58" s="85" t="s">
        <v>118</v>
      </c>
      <c r="D58" s="68" t="s">
        <v>119</v>
      </c>
      <c r="E58" s="64"/>
      <c r="F58" s="38">
        <v>1495600</v>
      </c>
      <c r="G58" s="38">
        <f t="shared" si="2"/>
        <v>58398800</v>
      </c>
    </row>
    <row r="59" spans="1:7" ht="56.25" customHeight="1" x14ac:dyDescent="0.25">
      <c r="A59" s="75">
        <v>20</v>
      </c>
      <c r="B59" s="76" t="s">
        <v>94</v>
      </c>
      <c r="C59" s="88" t="s">
        <v>123</v>
      </c>
      <c r="D59" s="89" t="s">
        <v>122</v>
      </c>
      <c r="E59" s="79"/>
      <c r="F59" s="79">
        <v>1554000</v>
      </c>
      <c r="G59" s="79">
        <f t="shared" si="2"/>
        <v>56844800</v>
      </c>
    </row>
    <row r="60" spans="1:7" ht="55.5" customHeight="1" x14ac:dyDescent="0.25">
      <c r="A60" s="67">
        <v>21</v>
      </c>
      <c r="B60" s="65" t="s">
        <v>94</v>
      </c>
      <c r="C60" s="63" t="s">
        <v>124</v>
      </c>
      <c r="D60" s="87" t="s">
        <v>122</v>
      </c>
      <c r="E60" s="38"/>
      <c r="F60" s="38">
        <v>841800</v>
      </c>
      <c r="G60" s="38">
        <f t="shared" si="2"/>
        <v>56003000</v>
      </c>
    </row>
    <row r="61" spans="1:7" ht="52.5" customHeight="1" x14ac:dyDescent="0.25">
      <c r="A61" s="67">
        <v>22</v>
      </c>
      <c r="B61" s="65" t="s">
        <v>94</v>
      </c>
      <c r="C61" s="63" t="s">
        <v>129</v>
      </c>
      <c r="D61" s="87" t="s">
        <v>125</v>
      </c>
      <c r="E61" s="38"/>
      <c r="F61" s="38">
        <v>1105000</v>
      </c>
      <c r="G61" s="38">
        <f t="shared" si="2"/>
        <v>54898000</v>
      </c>
    </row>
    <row r="62" spans="1:7" ht="40.5" customHeight="1" x14ac:dyDescent="0.25">
      <c r="A62" s="67">
        <v>23</v>
      </c>
      <c r="B62" s="65" t="s">
        <v>94</v>
      </c>
      <c r="C62" s="85" t="s">
        <v>131</v>
      </c>
      <c r="D62" s="66" t="s">
        <v>130</v>
      </c>
      <c r="E62" s="38"/>
      <c r="F62" s="38">
        <v>330200</v>
      </c>
      <c r="G62" s="38">
        <f t="shared" si="2"/>
        <v>54567800</v>
      </c>
    </row>
    <row r="63" spans="1:7" ht="45.75" customHeight="1" x14ac:dyDescent="0.25">
      <c r="A63" s="67">
        <v>24</v>
      </c>
      <c r="B63" s="65" t="s">
        <v>94</v>
      </c>
      <c r="C63" s="85" t="s">
        <v>135</v>
      </c>
      <c r="D63" s="66" t="s">
        <v>132</v>
      </c>
      <c r="E63" s="38"/>
      <c r="F63" s="38">
        <v>972000</v>
      </c>
      <c r="G63" s="38">
        <f t="shared" si="2"/>
        <v>53595800</v>
      </c>
    </row>
    <row r="64" spans="1:7" ht="40.5" customHeight="1" x14ac:dyDescent="0.25">
      <c r="A64" s="67">
        <v>25</v>
      </c>
      <c r="B64" s="65" t="s">
        <v>94</v>
      </c>
      <c r="C64" s="85" t="s">
        <v>136</v>
      </c>
      <c r="D64" s="66" t="s">
        <v>133</v>
      </c>
      <c r="E64" s="38"/>
      <c r="F64" s="38">
        <v>1913900</v>
      </c>
      <c r="G64" s="38">
        <f t="shared" si="2"/>
        <v>51681900</v>
      </c>
    </row>
    <row r="65" spans="1:7" ht="40.5" customHeight="1" x14ac:dyDescent="0.25">
      <c r="A65" s="67">
        <v>26</v>
      </c>
      <c r="B65" s="65" t="s">
        <v>94</v>
      </c>
      <c r="C65" s="85" t="s">
        <v>137</v>
      </c>
      <c r="D65" s="66" t="s">
        <v>134</v>
      </c>
      <c r="E65" s="38"/>
      <c r="F65" s="38">
        <v>229000</v>
      </c>
      <c r="G65" s="38">
        <f t="shared" si="2"/>
        <v>51452900</v>
      </c>
    </row>
    <row r="66" spans="1:7" ht="51" x14ac:dyDescent="0.25">
      <c r="A66" s="67">
        <v>27</v>
      </c>
      <c r="B66" s="65" t="s">
        <v>94</v>
      </c>
      <c r="C66" s="85" t="s">
        <v>139</v>
      </c>
      <c r="D66" s="66" t="s">
        <v>138</v>
      </c>
      <c r="E66" s="38"/>
      <c r="F66" s="38">
        <v>2750000</v>
      </c>
      <c r="G66" s="38">
        <f t="shared" si="2"/>
        <v>48702900</v>
      </c>
    </row>
    <row r="67" spans="1:7" ht="53.25" customHeight="1" x14ac:dyDescent="0.25">
      <c r="A67" s="67">
        <v>28</v>
      </c>
      <c r="B67" s="65" t="s">
        <v>128</v>
      </c>
      <c r="C67" s="63" t="s">
        <v>127</v>
      </c>
      <c r="D67" s="87" t="s">
        <v>125</v>
      </c>
      <c r="E67" s="38"/>
      <c r="F67" s="38">
        <v>500000</v>
      </c>
      <c r="G67" s="38">
        <f t="shared" si="2"/>
        <v>48202900</v>
      </c>
    </row>
    <row r="68" spans="1:7" ht="51" x14ac:dyDescent="0.25">
      <c r="A68" s="67">
        <v>29</v>
      </c>
      <c r="B68" s="65" t="s">
        <v>99</v>
      </c>
      <c r="C68" s="85" t="s">
        <v>140</v>
      </c>
      <c r="D68" s="66" t="s">
        <v>141</v>
      </c>
      <c r="E68" s="38"/>
      <c r="F68" s="38">
        <v>499200</v>
      </c>
      <c r="G68" s="38">
        <f t="shared" si="2"/>
        <v>47703700</v>
      </c>
    </row>
    <row r="69" spans="1:7" ht="51" x14ac:dyDescent="0.25">
      <c r="A69" s="67">
        <v>30</v>
      </c>
      <c r="B69" s="65" t="s">
        <v>99</v>
      </c>
      <c r="C69" s="85" t="s">
        <v>143</v>
      </c>
      <c r="D69" s="66" t="s">
        <v>142</v>
      </c>
      <c r="E69" s="38"/>
      <c r="F69" s="38">
        <v>450100</v>
      </c>
      <c r="G69" s="38">
        <f t="shared" si="2"/>
        <v>47253600</v>
      </c>
    </row>
    <row r="70" spans="1:7" ht="51" x14ac:dyDescent="0.25">
      <c r="A70" s="67">
        <v>31</v>
      </c>
      <c r="B70" s="65" t="s">
        <v>99</v>
      </c>
      <c r="C70" s="85" t="s">
        <v>144</v>
      </c>
      <c r="D70" s="66" t="s">
        <v>145</v>
      </c>
      <c r="E70" s="38"/>
      <c r="F70" s="38">
        <v>625000</v>
      </c>
      <c r="G70" s="38">
        <f t="shared" si="2"/>
        <v>46628600</v>
      </c>
    </row>
    <row r="71" spans="1:7" ht="51" x14ac:dyDescent="0.25">
      <c r="A71" s="67">
        <v>32</v>
      </c>
      <c r="B71" s="65" t="s">
        <v>99</v>
      </c>
      <c r="C71" s="85" t="s">
        <v>147</v>
      </c>
      <c r="D71" s="66" t="s">
        <v>146</v>
      </c>
      <c r="E71" s="38"/>
      <c r="F71" s="38">
        <v>572500</v>
      </c>
      <c r="G71" s="38">
        <f t="shared" si="2"/>
        <v>46056100</v>
      </c>
    </row>
    <row r="72" spans="1:7" ht="51" x14ac:dyDescent="0.25">
      <c r="A72" s="67">
        <v>33</v>
      </c>
      <c r="B72" s="65" t="s">
        <v>99</v>
      </c>
      <c r="C72" s="85" t="s">
        <v>148</v>
      </c>
      <c r="D72" s="66" t="s">
        <v>149</v>
      </c>
      <c r="E72" s="38"/>
      <c r="F72" s="38">
        <v>384000</v>
      </c>
      <c r="G72" s="38">
        <f t="shared" si="2"/>
        <v>45672100</v>
      </c>
    </row>
    <row r="73" spans="1:7" ht="51" x14ac:dyDescent="0.25">
      <c r="A73" s="67">
        <v>34</v>
      </c>
      <c r="B73" s="65" t="s">
        <v>99</v>
      </c>
      <c r="C73" s="85" t="s">
        <v>150</v>
      </c>
      <c r="D73" s="66" t="s">
        <v>151</v>
      </c>
      <c r="E73" s="38"/>
      <c r="F73" s="38">
        <v>488200</v>
      </c>
      <c r="G73" s="38">
        <f t="shared" si="2"/>
        <v>45183900</v>
      </c>
    </row>
    <row r="74" spans="1:7" ht="51" x14ac:dyDescent="0.25">
      <c r="A74" s="67">
        <v>35</v>
      </c>
      <c r="B74" s="65" t="s">
        <v>99</v>
      </c>
      <c r="C74" s="85" t="s">
        <v>152</v>
      </c>
      <c r="D74" s="66" t="s">
        <v>153</v>
      </c>
      <c r="E74" s="38"/>
      <c r="F74" s="38">
        <v>750000</v>
      </c>
      <c r="G74" s="38">
        <f t="shared" si="2"/>
        <v>44433900</v>
      </c>
    </row>
    <row r="75" spans="1:7" ht="51" x14ac:dyDescent="0.25">
      <c r="A75" s="67">
        <v>36</v>
      </c>
      <c r="B75" s="65" t="s">
        <v>99</v>
      </c>
      <c r="C75" s="85" t="s">
        <v>155</v>
      </c>
      <c r="D75" s="66" t="s">
        <v>154</v>
      </c>
      <c r="E75" s="38"/>
      <c r="F75" s="38">
        <v>924600</v>
      </c>
      <c r="G75" s="38">
        <f t="shared" si="2"/>
        <v>43509300</v>
      </c>
    </row>
    <row r="76" spans="1:7" ht="63.75" x14ac:dyDescent="0.25">
      <c r="A76" s="67">
        <v>37</v>
      </c>
      <c r="B76" s="65" t="s">
        <v>99</v>
      </c>
      <c r="C76" s="85" t="s">
        <v>157</v>
      </c>
      <c r="D76" s="66" t="s">
        <v>156</v>
      </c>
      <c r="E76" s="38"/>
      <c r="F76" s="38">
        <v>3600000</v>
      </c>
      <c r="G76" s="38">
        <f t="shared" si="2"/>
        <v>39909300</v>
      </c>
    </row>
    <row r="77" spans="1:7" ht="54" customHeight="1" x14ac:dyDescent="0.25">
      <c r="A77" s="67">
        <v>38</v>
      </c>
      <c r="B77" s="65" t="s">
        <v>99</v>
      </c>
      <c r="C77" s="85" t="s">
        <v>168</v>
      </c>
      <c r="D77" s="66" t="s">
        <v>100</v>
      </c>
      <c r="E77" s="38"/>
      <c r="F77" s="38">
        <v>4000000</v>
      </c>
      <c r="G77" s="38">
        <f t="shared" si="2"/>
        <v>35909300</v>
      </c>
    </row>
    <row r="78" spans="1:7" ht="45" customHeight="1" x14ac:dyDescent="0.25">
      <c r="A78" s="67">
        <v>39</v>
      </c>
      <c r="B78" s="65" t="s">
        <v>99</v>
      </c>
      <c r="C78" s="85" t="s">
        <v>120</v>
      </c>
      <c r="D78" s="66" t="s">
        <v>121</v>
      </c>
      <c r="E78" s="38"/>
      <c r="F78" s="38">
        <v>2000000</v>
      </c>
      <c r="G78" s="38">
        <f t="shared" si="2"/>
        <v>33909300</v>
      </c>
    </row>
    <row r="79" spans="1:7" ht="54" customHeight="1" x14ac:dyDescent="0.25">
      <c r="A79" s="67">
        <v>40</v>
      </c>
      <c r="B79" s="65" t="s">
        <v>75</v>
      </c>
      <c r="C79" s="63" t="s">
        <v>123</v>
      </c>
      <c r="D79" s="87" t="s">
        <v>122</v>
      </c>
      <c r="E79" s="38"/>
      <c r="F79" s="38">
        <v>2144800</v>
      </c>
      <c r="G79" s="38">
        <f t="shared" si="2"/>
        <v>31764500</v>
      </c>
    </row>
    <row r="80" spans="1:7" ht="53.25" customHeight="1" x14ac:dyDescent="0.25">
      <c r="A80" s="67">
        <v>41</v>
      </c>
      <c r="B80" s="65" t="s">
        <v>75</v>
      </c>
      <c r="C80" s="63" t="s">
        <v>159</v>
      </c>
      <c r="D80" s="87" t="s">
        <v>158</v>
      </c>
      <c r="E80" s="73"/>
      <c r="F80" s="73">
        <v>1790000</v>
      </c>
      <c r="G80" s="38">
        <f t="shared" si="2"/>
        <v>29974500</v>
      </c>
    </row>
    <row r="81" spans="1:7" ht="53.25" customHeight="1" x14ac:dyDescent="0.25">
      <c r="A81" s="67">
        <v>42</v>
      </c>
      <c r="B81" s="65" t="s">
        <v>75</v>
      </c>
      <c r="C81" s="63" t="s">
        <v>159</v>
      </c>
      <c r="D81" s="87" t="s">
        <v>158</v>
      </c>
      <c r="E81" s="73"/>
      <c r="F81" s="73">
        <v>72000</v>
      </c>
      <c r="G81" s="38">
        <f t="shared" si="2"/>
        <v>29902500</v>
      </c>
    </row>
    <row r="82" spans="1:7" ht="53.25" customHeight="1" x14ac:dyDescent="0.25">
      <c r="A82" s="67">
        <v>43</v>
      </c>
      <c r="B82" s="65" t="s">
        <v>75</v>
      </c>
      <c r="C82" s="63" t="s">
        <v>126</v>
      </c>
      <c r="D82" s="87" t="s">
        <v>125</v>
      </c>
      <c r="E82" s="38"/>
      <c r="F82" s="38">
        <v>60000</v>
      </c>
      <c r="G82" s="38">
        <f t="shared" si="2"/>
        <v>29842500</v>
      </c>
    </row>
    <row r="83" spans="1:7" ht="53.25" customHeight="1" x14ac:dyDescent="0.25">
      <c r="A83" s="67">
        <v>44</v>
      </c>
      <c r="B83" s="65" t="s">
        <v>75</v>
      </c>
      <c r="C83" s="63" t="s">
        <v>127</v>
      </c>
      <c r="D83" s="87" t="s">
        <v>125</v>
      </c>
      <c r="E83" s="38"/>
      <c r="F83" s="38">
        <v>109200</v>
      </c>
      <c r="G83" s="38">
        <f t="shared" si="2"/>
        <v>29733300</v>
      </c>
    </row>
    <row r="84" spans="1:7" x14ac:dyDescent="0.25">
      <c r="A84" s="67">
        <v>45</v>
      </c>
      <c r="B84" s="65" t="s">
        <v>75</v>
      </c>
      <c r="C84" s="90" t="s">
        <v>76</v>
      </c>
      <c r="D84" s="91"/>
      <c r="E84" s="39">
        <v>5160000</v>
      </c>
      <c r="F84" s="38"/>
      <c r="G84" s="38">
        <f>G83+E84</f>
        <v>34893300</v>
      </c>
    </row>
    <row r="85" spans="1:7" ht="39.75" customHeight="1" x14ac:dyDescent="0.25">
      <c r="A85" s="67">
        <v>46</v>
      </c>
      <c r="B85" s="65" t="s">
        <v>75</v>
      </c>
      <c r="C85" s="85" t="s">
        <v>82</v>
      </c>
      <c r="D85" s="69" t="s">
        <v>83</v>
      </c>
      <c r="E85" s="62"/>
      <c r="F85" s="38">
        <v>5160000</v>
      </c>
      <c r="G85" s="38">
        <f>G84-F85</f>
        <v>29733300</v>
      </c>
    </row>
    <row r="86" spans="1:7" x14ac:dyDescent="0.25">
      <c r="A86" s="67">
        <v>47</v>
      </c>
      <c r="B86" s="65" t="s">
        <v>75</v>
      </c>
      <c r="C86" s="90" t="s">
        <v>77</v>
      </c>
      <c r="D86" s="91"/>
      <c r="E86" s="39">
        <v>5000000</v>
      </c>
      <c r="F86" s="38"/>
      <c r="G86" s="38">
        <f>G85+E86</f>
        <v>34733300</v>
      </c>
    </row>
    <row r="87" spans="1:7" ht="41.25" customHeight="1" x14ac:dyDescent="0.25">
      <c r="A87" s="67">
        <v>48</v>
      </c>
      <c r="B87" s="65" t="s">
        <v>75</v>
      </c>
      <c r="C87" s="85" t="s">
        <v>84</v>
      </c>
      <c r="D87" s="91" t="s">
        <v>85</v>
      </c>
      <c r="E87" s="39"/>
      <c r="F87" s="38">
        <v>5000000</v>
      </c>
      <c r="G87" s="38">
        <f>G86-F87</f>
        <v>29733300</v>
      </c>
    </row>
    <row r="88" spans="1:7" x14ac:dyDescent="0.25">
      <c r="A88" s="67">
        <v>49</v>
      </c>
      <c r="B88" s="65" t="s">
        <v>75</v>
      </c>
      <c r="C88" s="90" t="s">
        <v>78</v>
      </c>
      <c r="D88" s="91"/>
      <c r="E88" s="39">
        <v>3570000</v>
      </c>
      <c r="F88" s="38"/>
      <c r="G88" s="38">
        <f>G87+E88</f>
        <v>33303300</v>
      </c>
    </row>
    <row r="89" spans="1:7" ht="57" customHeight="1" x14ac:dyDescent="0.25">
      <c r="A89" s="75" t="s">
        <v>27</v>
      </c>
      <c r="B89" s="76" t="s">
        <v>75</v>
      </c>
      <c r="C89" s="92" t="s">
        <v>91</v>
      </c>
      <c r="D89" s="77" t="s">
        <v>90</v>
      </c>
      <c r="E89" s="78"/>
      <c r="F89" s="79">
        <v>3570000</v>
      </c>
      <c r="G89" s="79">
        <f t="shared" ref="G89:G96" si="3">G88-F89</f>
        <v>29733300</v>
      </c>
    </row>
    <row r="90" spans="1:7" x14ac:dyDescent="0.25">
      <c r="A90" s="80"/>
      <c r="B90" s="81"/>
      <c r="C90" s="28"/>
      <c r="D90" s="82"/>
      <c r="E90" s="83"/>
      <c r="F90" s="84"/>
      <c r="G90" s="84"/>
    </row>
    <row r="91" spans="1:7" x14ac:dyDescent="0.25">
      <c r="A91" s="80"/>
      <c r="B91" s="81"/>
      <c r="C91" s="28"/>
      <c r="D91" s="82"/>
      <c r="E91" s="83"/>
      <c r="F91" s="84"/>
      <c r="G91" s="84"/>
    </row>
    <row r="92" spans="1:7" x14ac:dyDescent="0.25">
      <c r="A92" s="80"/>
      <c r="B92" s="81"/>
      <c r="C92" s="28"/>
      <c r="D92" s="82"/>
      <c r="E92" s="83"/>
      <c r="F92" s="84"/>
      <c r="G92" s="84"/>
    </row>
    <row r="93" spans="1:7" x14ac:dyDescent="0.25">
      <c r="A93" s="80"/>
      <c r="B93" s="81"/>
      <c r="C93" s="28"/>
      <c r="D93" s="82"/>
      <c r="E93" s="83"/>
      <c r="F93" s="84"/>
      <c r="G93" s="84"/>
    </row>
    <row r="94" spans="1:7" x14ac:dyDescent="0.25">
      <c r="A94" s="80"/>
      <c r="B94" s="81"/>
      <c r="C94" s="28"/>
      <c r="D94" s="82"/>
      <c r="E94" s="83"/>
      <c r="F94" s="84"/>
      <c r="G94" s="84"/>
    </row>
    <row r="95" spans="1:7" x14ac:dyDescent="0.25">
      <c r="A95" s="67">
        <v>51</v>
      </c>
      <c r="B95" s="65" t="s">
        <v>75</v>
      </c>
      <c r="C95" s="90" t="s">
        <v>79</v>
      </c>
      <c r="D95" s="91"/>
      <c r="E95" s="39">
        <v>8142000</v>
      </c>
      <c r="F95" s="38"/>
      <c r="G95" s="38">
        <f>G89+E95</f>
        <v>37875300</v>
      </c>
    </row>
    <row r="96" spans="1:7" ht="45.75" customHeight="1" x14ac:dyDescent="0.25">
      <c r="A96" s="67">
        <v>52</v>
      </c>
      <c r="B96" s="65" t="s">
        <v>75</v>
      </c>
      <c r="C96" s="85" t="s">
        <v>88</v>
      </c>
      <c r="D96" s="66" t="s">
        <v>89</v>
      </c>
      <c r="E96" s="39"/>
      <c r="F96" s="38">
        <v>8142000</v>
      </c>
      <c r="G96" s="38">
        <f t="shared" si="3"/>
        <v>29733300</v>
      </c>
    </row>
    <row r="97" spans="1:7" x14ac:dyDescent="0.25">
      <c r="A97" s="67">
        <v>53</v>
      </c>
      <c r="B97" s="65" t="s">
        <v>75</v>
      </c>
      <c r="C97" s="90" t="s">
        <v>80</v>
      </c>
      <c r="D97" s="91"/>
      <c r="E97" s="39">
        <v>4422000</v>
      </c>
      <c r="F97" s="38"/>
      <c r="G97" s="38">
        <f>G96+E97</f>
        <v>34155300</v>
      </c>
    </row>
    <row r="98" spans="1:7" ht="57" customHeight="1" x14ac:dyDescent="0.25">
      <c r="A98" s="67">
        <v>54</v>
      </c>
      <c r="B98" s="65" t="s">
        <v>75</v>
      </c>
      <c r="C98" s="85" t="s">
        <v>93</v>
      </c>
      <c r="D98" s="66" t="s">
        <v>92</v>
      </c>
      <c r="E98" s="39"/>
      <c r="F98" s="38">
        <v>4422000</v>
      </c>
      <c r="G98" s="38">
        <f>G97-F98</f>
        <v>29733300</v>
      </c>
    </row>
    <row r="99" spans="1:7" x14ac:dyDescent="0.25">
      <c r="A99" s="67">
        <v>55</v>
      </c>
      <c r="B99" s="65" t="s">
        <v>75</v>
      </c>
      <c r="C99" s="90" t="s">
        <v>81</v>
      </c>
      <c r="D99" s="91"/>
      <c r="E99" s="39">
        <v>5340000</v>
      </c>
      <c r="F99" s="38"/>
      <c r="G99" s="38">
        <f>G98+E99</f>
        <v>35073300</v>
      </c>
    </row>
    <row r="100" spans="1:7" ht="55.5" customHeight="1" x14ac:dyDescent="0.25">
      <c r="A100" s="67">
        <v>56</v>
      </c>
      <c r="B100" s="65" t="s">
        <v>75</v>
      </c>
      <c r="C100" s="85" t="s">
        <v>86</v>
      </c>
      <c r="D100" s="66" t="s">
        <v>87</v>
      </c>
      <c r="E100" s="38"/>
      <c r="F100" s="38">
        <v>5340000</v>
      </c>
      <c r="G100" s="38">
        <f>G99-F100</f>
        <v>29733300</v>
      </c>
    </row>
    <row r="101" spans="1:7" ht="44.25" customHeight="1" x14ac:dyDescent="0.25">
      <c r="A101" s="67">
        <v>57</v>
      </c>
      <c r="B101" s="70" t="s">
        <v>163</v>
      </c>
      <c r="C101" s="86" t="s">
        <v>162</v>
      </c>
      <c r="D101" s="71" t="s">
        <v>161</v>
      </c>
      <c r="E101" s="38"/>
      <c r="F101" s="72">
        <v>1252000</v>
      </c>
      <c r="G101" s="38">
        <f>G100-F101</f>
        <v>28481300</v>
      </c>
    </row>
    <row r="102" spans="1:7" ht="24" customHeight="1" x14ac:dyDescent="0.25">
      <c r="A102" s="41">
        <v>58</v>
      </c>
      <c r="B102" s="98" t="s">
        <v>166</v>
      </c>
      <c r="C102" s="99" t="s">
        <v>165</v>
      </c>
      <c r="D102" s="95"/>
      <c r="E102" s="96">
        <v>54940900</v>
      </c>
      <c r="F102" s="64"/>
      <c r="G102" s="39">
        <f>G101+E102</f>
        <v>83422200</v>
      </c>
    </row>
    <row r="103" spans="1:7" ht="24" customHeight="1" x14ac:dyDescent="0.25">
      <c r="A103" s="41">
        <v>59</v>
      </c>
      <c r="B103" s="98" t="s">
        <v>169</v>
      </c>
      <c r="C103" s="100" t="s">
        <v>170</v>
      </c>
      <c r="D103" s="95"/>
      <c r="E103" s="97">
        <v>4930000</v>
      </c>
      <c r="F103" s="64"/>
      <c r="G103" s="38">
        <f>G102+E103</f>
        <v>88352200</v>
      </c>
    </row>
    <row r="104" spans="1:7" ht="57.75" customHeight="1" x14ac:dyDescent="0.25">
      <c r="A104" s="41">
        <v>60</v>
      </c>
      <c r="B104" s="98" t="s">
        <v>169</v>
      </c>
      <c r="C104" s="101" t="s">
        <v>173</v>
      </c>
      <c r="D104" s="102" t="s">
        <v>174</v>
      </c>
      <c r="E104" s="97"/>
      <c r="F104" s="64">
        <v>1700000</v>
      </c>
      <c r="G104" s="38">
        <f>G103-F104</f>
        <v>86652200</v>
      </c>
    </row>
    <row r="105" spans="1:7" ht="52.5" customHeight="1" x14ac:dyDescent="0.25">
      <c r="A105" s="41">
        <v>61</v>
      </c>
      <c r="B105" s="98" t="s">
        <v>169</v>
      </c>
      <c r="C105" s="101" t="s">
        <v>175</v>
      </c>
      <c r="D105" s="102" t="s">
        <v>174</v>
      </c>
      <c r="E105" s="97"/>
      <c r="F105" s="64">
        <v>1530000</v>
      </c>
      <c r="G105" s="38">
        <f>G104-F105</f>
        <v>85122200</v>
      </c>
    </row>
    <row r="106" spans="1:7" ht="54.75" customHeight="1" x14ac:dyDescent="0.25">
      <c r="A106" s="41">
        <v>62</v>
      </c>
      <c r="B106" s="98" t="s">
        <v>169</v>
      </c>
      <c r="C106" s="101" t="s">
        <v>176</v>
      </c>
      <c r="D106" s="102" t="s">
        <v>174</v>
      </c>
      <c r="E106" s="97"/>
      <c r="F106" s="64">
        <v>1700000</v>
      </c>
      <c r="G106" s="38">
        <f>G105-F106</f>
        <v>83422200</v>
      </c>
    </row>
    <row r="107" spans="1:7" ht="28.5" customHeight="1" x14ac:dyDescent="0.25">
      <c r="A107" s="41">
        <v>63</v>
      </c>
      <c r="B107" s="98" t="s">
        <v>169</v>
      </c>
      <c r="C107" s="100" t="s">
        <v>171</v>
      </c>
      <c r="D107" s="95"/>
      <c r="E107" s="97">
        <v>5100000</v>
      </c>
      <c r="F107" s="64"/>
      <c r="G107" s="38">
        <f>G106+E107</f>
        <v>88522200</v>
      </c>
    </row>
    <row r="108" spans="1:7" ht="66" customHeight="1" x14ac:dyDescent="0.25">
      <c r="A108" s="41">
        <v>64</v>
      </c>
      <c r="B108" s="98" t="s">
        <v>169</v>
      </c>
      <c r="C108" s="103" t="s">
        <v>177</v>
      </c>
      <c r="D108" s="106" t="s">
        <v>178</v>
      </c>
      <c r="E108" s="104"/>
      <c r="F108" s="107">
        <v>2550000</v>
      </c>
      <c r="G108" s="105">
        <f>G107-F108</f>
        <v>85972200</v>
      </c>
    </row>
    <row r="109" spans="1:7" ht="66.75" customHeight="1" x14ac:dyDescent="0.25">
      <c r="A109" s="41">
        <v>65</v>
      </c>
      <c r="B109" s="98" t="s">
        <v>169</v>
      </c>
      <c r="C109" s="103" t="s">
        <v>179</v>
      </c>
      <c r="D109" s="106" t="s">
        <v>178</v>
      </c>
      <c r="E109" s="104"/>
      <c r="F109" s="107">
        <v>2550000</v>
      </c>
      <c r="G109" s="105">
        <f>G108-F109</f>
        <v>83422200</v>
      </c>
    </row>
    <row r="110" spans="1:7" ht="28.5" customHeight="1" x14ac:dyDescent="0.25">
      <c r="A110" s="41">
        <v>66</v>
      </c>
      <c r="B110" s="98" t="s">
        <v>169</v>
      </c>
      <c r="C110" s="100" t="s">
        <v>172</v>
      </c>
      <c r="D110" s="95"/>
      <c r="E110" s="97">
        <v>5100000</v>
      </c>
      <c r="F110" s="64"/>
      <c r="G110" s="38">
        <f>G109+E110</f>
        <v>88522200</v>
      </c>
    </row>
    <row r="111" spans="1:7" ht="58.5" customHeight="1" x14ac:dyDescent="0.25">
      <c r="A111" s="67">
        <v>67</v>
      </c>
      <c r="B111" s="70" t="s">
        <v>169</v>
      </c>
      <c r="C111" s="103" t="s">
        <v>180</v>
      </c>
      <c r="D111" s="102" t="s">
        <v>181</v>
      </c>
      <c r="E111" s="97"/>
      <c r="F111" s="64">
        <v>850000</v>
      </c>
      <c r="G111" s="38">
        <f t="shared" ref="G111:G116" si="4">G110-F111</f>
        <v>87672200</v>
      </c>
    </row>
    <row r="112" spans="1:7" ht="63" customHeight="1" x14ac:dyDescent="0.25">
      <c r="A112" s="67">
        <v>68</v>
      </c>
      <c r="B112" s="70" t="s">
        <v>169</v>
      </c>
      <c r="C112" s="103" t="s">
        <v>182</v>
      </c>
      <c r="D112" s="102" t="s">
        <v>181</v>
      </c>
      <c r="E112" s="97"/>
      <c r="F112" s="64">
        <v>850000</v>
      </c>
      <c r="G112" s="38">
        <f t="shared" si="4"/>
        <v>86822200</v>
      </c>
    </row>
    <row r="113" spans="1:11" ht="56.25" customHeight="1" x14ac:dyDescent="0.25">
      <c r="A113" s="67">
        <v>69</v>
      </c>
      <c r="B113" s="70" t="s">
        <v>169</v>
      </c>
      <c r="C113" s="103" t="s">
        <v>183</v>
      </c>
      <c r="D113" s="102" t="s">
        <v>181</v>
      </c>
      <c r="E113" s="97"/>
      <c r="F113" s="64">
        <v>680000</v>
      </c>
      <c r="G113" s="38">
        <f t="shared" si="4"/>
        <v>86142200</v>
      </c>
    </row>
    <row r="114" spans="1:11" ht="55.5" customHeight="1" x14ac:dyDescent="0.25">
      <c r="A114" s="67">
        <v>70</v>
      </c>
      <c r="B114" s="70" t="s">
        <v>169</v>
      </c>
      <c r="C114" s="103" t="s">
        <v>184</v>
      </c>
      <c r="D114" s="102" t="s">
        <v>181</v>
      </c>
      <c r="E114" s="97"/>
      <c r="F114" s="64">
        <v>850000</v>
      </c>
      <c r="G114" s="38">
        <f t="shared" si="4"/>
        <v>85292200</v>
      </c>
    </row>
    <row r="115" spans="1:11" ht="58.5" customHeight="1" x14ac:dyDescent="0.25">
      <c r="A115" s="67">
        <v>71</v>
      </c>
      <c r="B115" s="70" t="s">
        <v>169</v>
      </c>
      <c r="C115" s="103" t="s">
        <v>185</v>
      </c>
      <c r="D115" s="102" t="s">
        <v>181</v>
      </c>
      <c r="E115" s="97"/>
      <c r="F115" s="64">
        <v>850000</v>
      </c>
      <c r="G115" s="38">
        <f t="shared" si="4"/>
        <v>84442200</v>
      </c>
    </row>
    <row r="116" spans="1:11" ht="65.25" customHeight="1" x14ac:dyDescent="0.25">
      <c r="A116" s="67">
        <v>72</v>
      </c>
      <c r="B116" s="70" t="s">
        <v>169</v>
      </c>
      <c r="C116" s="103" t="s">
        <v>186</v>
      </c>
      <c r="D116" s="102" t="s">
        <v>181</v>
      </c>
      <c r="E116" s="97"/>
      <c r="F116" s="64">
        <v>1020000</v>
      </c>
      <c r="G116" s="38">
        <f t="shared" si="4"/>
        <v>83422200</v>
      </c>
    </row>
    <row r="117" spans="1:11" x14ac:dyDescent="0.25">
      <c r="A117" s="41"/>
      <c r="B117" s="70"/>
      <c r="C117" s="93"/>
      <c r="D117" s="45"/>
      <c r="E117" s="46"/>
      <c r="F117" s="47"/>
      <c r="G117" s="39"/>
    </row>
    <row r="118" spans="1:11" x14ac:dyDescent="0.25">
      <c r="A118" s="74"/>
      <c r="B118" s="48"/>
      <c r="C118" s="44" t="s">
        <v>40</v>
      </c>
      <c r="D118" s="45"/>
      <c r="E118" s="45">
        <f>SUM(E8:E117)</f>
        <v>299338281</v>
      </c>
      <c r="F118" s="45">
        <f>SUM(F8:F117)</f>
        <v>215916081</v>
      </c>
      <c r="G118" s="49">
        <f>E118-F118</f>
        <v>83422200</v>
      </c>
    </row>
    <row r="119" spans="1:11" x14ac:dyDescent="0.25">
      <c r="A119" s="74"/>
      <c r="B119" s="48"/>
      <c r="C119" s="50" t="s">
        <v>41</v>
      </c>
      <c r="D119" s="51"/>
      <c r="E119" s="49">
        <f>E118</f>
        <v>299338281</v>
      </c>
      <c r="F119" s="52">
        <f>F118+F117</f>
        <v>215916081</v>
      </c>
      <c r="G119" s="49">
        <f>E119-F119</f>
        <v>83422200</v>
      </c>
    </row>
    <row r="120" spans="1:11" x14ac:dyDescent="0.25">
      <c r="A120" s="14" t="s">
        <v>160</v>
      </c>
      <c r="B120" s="15"/>
      <c r="C120" s="16"/>
      <c r="D120" s="17"/>
      <c r="E120" s="53"/>
      <c r="F120" s="53"/>
      <c r="G120" s="53"/>
      <c r="K120" s="4">
        <f>1890000+1883000</f>
        <v>3773000</v>
      </c>
    </row>
    <row r="121" spans="1:11" x14ac:dyDescent="0.25">
      <c r="A121" s="14" t="s">
        <v>167</v>
      </c>
      <c r="B121" s="18"/>
      <c r="C121" s="19"/>
      <c r="D121" s="20"/>
      <c r="E121" s="20"/>
      <c r="F121" s="20"/>
      <c r="G121" s="20"/>
    </row>
    <row r="122" spans="1:11" x14ac:dyDescent="0.25">
      <c r="A122" s="27"/>
      <c r="B122" s="18"/>
      <c r="C122" s="19"/>
      <c r="D122" s="20"/>
      <c r="E122" s="20"/>
      <c r="F122" s="20"/>
      <c r="G122" s="20"/>
    </row>
    <row r="123" spans="1:11" x14ac:dyDescent="0.25">
      <c r="A123" s="27"/>
      <c r="B123" s="54"/>
      <c r="C123" s="28"/>
      <c r="D123" s="55"/>
      <c r="E123" s="55"/>
      <c r="F123" s="55"/>
      <c r="G123" s="55"/>
    </row>
    <row r="124" spans="1:11" x14ac:dyDescent="0.25">
      <c r="A124" s="27"/>
      <c r="B124" s="27"/>
      <c r="C124" s="56" t="s">
        <v>42</v>
      </c>
      <c r="D124" s="57" t="s">
        <v>43</v>
      </c>
      <c r="E124" s="57">
        <v>0</v>
      </c>
      <c r="F124" s="57"/>
      <c r="G124" s="57"/>
    </row>
    <row r="125" spans="1:11" x14ac:dyDescent="0.25">
      <c r="A125" s="27"/>
      <c r="B125" s="27"/>
      <c r="C125" s="56" t="s">
        <v>44</v>
      </c>
      <c r="D125" s="57" t="s">
        <v>45</v>
      </c>
      <c r="E125" s="57">
        <v>83422200</v>
      </c>
      <c r="F125" s="57"/>
      <c r="G125" s="57"/>
    </row>
    <row r="126" spans="1:11" x14ac:dyDescent="0.25">
      <c r="A126" s="27"/>
      <c r="B126" s="27"/>
      <c r="C126" s="56"/>
      <c r="D126" s="58" t="s">
        <v>46</v>
      </c>
      <c r="E126" s="58">
        <f>E125+E124</f>
        <v>83422200</v>
      </c>
      <c r="F126" s="57"/>
      <c r="G126" s="57"/>
    </row>
    <row r="127" spans="1:11" x14ac:dyDescent="0.25">
      <c r="A127" s="27"/>
      <c r="B127" s="27"/>
      <c r="C127" s="28"/>
      <c r="D127" s="57"/>
      <c r="E127" s="57"/>
      <c r="F127" s="57"/>
      <c r="G127" s="57"/>
    </row>
    <row r="128" spans="1:11" x14ac:dyDescent="0.25">
      <c r="A128" s="27"/>
      <c r="B128" s="27"/>
      <c r="C128" s="56"/>
      <c r="D128" s="57"/>
      <c r="E128" s="57" t="s">
        <v>71</v>
      </c>
      <c r="F128" s="57"/>
      <c r="G128" s="57"/>
    </row>
    <row r="129" spans="1:7" x14ac:dyDescent="0.25">
      <c r="A129" s="27"/>
      <c r="B129" s="27" t="s">
        <v>61</v>
      </c>
      <c r="C129" s="56"/>
      <c r="D129" s="57"/>
      <c r="E129" s="273" t="s">
        <v>47</v>
      </c>
      <c r="F129" s="273"/>
      <c r="G129" s="57"/>
    </row>
    <row r="130" spans="1:7" x14ac:dyDescent="0.25">
      <c r="A130" s="27"/>
      <c r="B130" s="27"/>
      <c r="C130" s="56"/>
      <c r="D130" s="57"/>
      <c r="E130" s="57"/>
      <c r="F130" s="57"/>
      <c r="G130" s="57"/>
    </row>
    <row r="131" spans="1:7" x14ac:dyDescent="0.25">
      <c r="A131" s="27"/>
      <c r="B131" s="27"/>
      <c r="C131" s="56"/>
      <c r="D131" s="57"/>
      <c r="E131" s="57"/>
      <c r="F131" s="57"/>
      <c r="G131" s="57"/>
    </row>
    <row r="132" spans="1:7" x14ac:dyDescent="0.25">
      <c r="A132" s="27"/>
      <c r="B132" s="27"/>
      <c r="C132" s="56"/>
      <c r="D132" s="57"/>
      <c r="E132" s="57"/>
      <c r="F132" s="57"/>
      <c r="G132" s="57"/>
    </row>
    <row r="133" spans="1:7" x14ac:dyDescent="0.25">
      <c r="A133" s="27"/>
      <c r="B133" s="27"/>
      <c r="C133" s="28"/>
      <c r="D133" s="57"/>
      <c r="E133" s="57"/>
      <c r="F133" s="57"/>
      <c r="G133" s="57"/>
    </row>
    <row r="134" spans="1:7" x14ac:dyDescent="0.25">
      <c r="A134" s="27"/>
      <c r="B134" s="59" t="s">
        <v>64</v>
      </c>
      <c r="C134" s="28"/>
      <c r="D134" s="57"/>
      <c r="E134" s="60" t="s">
        <v>69</v>
      </c>
      <c r="F134" s="60"/>
      <c r="G134" s="57"/>
    </row>
    <row r="135" spans="1:7" x14ac:dyDescent="0.25">
      <c r="A135" s="26"/>
      <c r="B135" s="27" t="s">
        <v>65</v>
      </c>
      <c r="C135" s="28"/>
      <c r="D135" s="57"/>
      <c r="E135" s="57" t="s">
        <v>70</v>
      </c>
      <c r="F135" s="57"/>
      <c r="G135" s="57"/>
    </row>
  </sheetData>
  <mergeCells count="3">
    <mergeCell ref="A1:G1"/>
    <mergeCell ref="A2:G2"/>
    <mergeCell ref="E129:F129"/>
  </mergeCells>
  <printOptions horizontalCentered="1"/>
  <pageMargins left="0.23622047244094491" right="0.23622047244094491" top="0.74803149606299213" bottom="0.74803149606299213" header="0.31496062992125984" footer="0.31496062992125984"/>
  <pageSetup paperSize="5" scale="62" fitToHeight="0" orientation="portrait" r:id="rId1"/>
  <rowBreaks count="1" manualBreakCount="1">
    <brk id="59"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2:Q174"/>
  <sheetViews>
    <sheetView topLeftCell="A148" zoomScaleNormal="100" workbookViewId="0">
      <selection activeCell="C95" sqref="C95"/>
    </sheetView>
  </sheetViews>
  <sheetFormatPr defaultRowHeight="15" x14ac:dyDescent="0.25"/>
  <cols>
    <col min="1" max="1" width="4.28515625" customWidth="1"/>
    <col min="3" max="3" width="57.7109375" customWidth="1"/>
    <col min="4" max="4" width="29.5703125" customWidth="1"/>
    <col min="5" max="5" width="16.140625" customWidth="1"/>
    <col min="6" max="6" width="13.85546875" customWidth="1"/>
    <col min="7" max="7" width="13.7109375" customWidth="1"/>
    <col min="11" max="11" width="12.7109375" customWidth="1"/>
  </cols>
  <sheetData>
    <row r="2" spans="1:17" x14ac:dyDescent="0.25">
      <c r="A2" s="275" t="s">
        <v>0</v>
      </c>
      <c r="B2" s="275"/>
      <c r="C2" s="275"/>
      <c r="D2" s="275"/>
      <c r="E2" s="275"/>
      <c r="F2" s="275"/>
      <c r="G2" s="275"/>
    </row>
    <row r="3" spans="1:17" x14ac:dyDescent="0.25">
      <c r="A3" s="275" t="s">
        <v>1</v>
      </c>
      <c r="B3" s="275"/>
      <c r="C3" s="275"/>
      <c r="D3" s="275"/>
      <c r="E3" s="275"/>
      <c r="F3" s="275"/>
      <c r="G3" s="275"/>
    </row>
    <row r="4" spans="1:17" x14ac:dyDescent="0.25">
      <c r="A4" s="109"/>
      <c r="B4" s="110"/>
      <c r="C4" s="111"/>
      <c r="D4" s="112"/>
      <c r="E4" s="112"/>
      <c r="F4" s="112"/>
      <c r="G4" s="112"/>
    </row>
    <row r="5" spans="1:17" x14ac:dyDescent="0.25">
      <c r="A5" s="113" t="s">
        <v>2</v>
      </c>
      <c r="B5" s="113"/>
      <c r="C5" s="111" t="s">
        <v>164</v>
      </c>
      <c r="D5" s="112"/>
      <c r="E5" s="112"/>
      <c r="F5" s="112"/>
      <c r="G5" s="112"/>
    </row>
    <row r="6" spans="1:17" x14ac:dyDescent="0.25">
      <c r="A6" s="80"/>
      <c r="B6" s="82"/>
      <c r="C6" s="114"/>
      <c r="D6" s="115"/>
      <c r="E6" s="115"/>
      <c r="F6" s="115"/>
      <c r="G6" s="115"/>
    </row>
    <row r="7" spans="1:17" x14ac:dyDescent="0.25">
      <c r="A7" s="116" t="s">
        <v>3</v>
      </c>
      <c r="B7" s="117" t="s">
        <v>4</v>
      </c>
      <c r="C7" s="118" t="s">
        <v>5</v>
      </c>
      <c r="D7" s="119" t="s">
        <v>6</v>
      </c>
      <c r="E7" s="119" t="s">
        <v>7</v>
      </c>
      <c r="F7" s="119" t="s">
        <v>8</v>
      </c>
      <c r="G7" s="119" t="s">
        <v>9</v>
      </c>
    </row>
    <row r="8" spans="1:17" x14ac:dyDescent="0.25">
      <c r="A8" s="120">
        <v>1</v>
      </c>
      <c r="B8" s="121">
        <v>2</v>
      </c>
      <c r="C8" s="121">
        <v>3</v>
      </c>
      <c r="D8" s="121">
        <v>4</v>
      </c>
      <c r="E8" s="121">
        <v>5</v>
      </c>
      <c r="F8" s="121">
        <v>6</v>
      </c>
      <c r="G8" s="121">
        <v>7</v>
      </c>
    </row>
    <row r="9" spans="1:17" x14ac:dyDescent="0.25">
      <c r="A9" s="122"/>
      <c r="B9" s="123"/>
      <c r="C9" s="85" t="s">
        <v>10</v>
      </c>
      <c r="D9" s="91"/>
      <c r="E9" s="124">
        <v>83422200</v>
      </c>
      <c r="F9" s="124"/>
      <c r="G9" s="166">
        <f>E9</f>
        <v>83422200</v>
      </c>
    </row>
    <row r="10" spans="1:17" s="164" customFormat="1" ht="13.5" customHeight="1" x14ac:dyDescent="0.25">
      <c r="A10" s="159">
        <v>1</v>
      </c>
      <c r="B10" s="160" t="s">
        <v>187</v>
      </c>
      <c r="C10" s="172" t="s">
        <v>189</v>
      </c>
      <c r="D10" s="161"/>
      <c r="E10" s="161"/>
      <c r="F10" s="161"/>
      <c r="G10" s="167"/>
      <c r="H10" s="165"/>
      <c r="I10" s="165"/>
      <c r="J10" s="165"/>
      <c r="K10" s="165"/>
      <c r="L10" s="165"/>
      <c r="M10" s="165"/>
      <c r="N10" s="165"/>
      <c r="O10" s="165"/>
      <c r="P10" s="165"/>
      <c r="Q10" s="165"/>
    </row>
    <row r="11" spans="1:17" s="164" customFormat="1" ht="12" customHeight="1" x14ac:dyDescent="0.25">
      <c r="A11" s="162"/>
      <c r="B11" s="162"/>
      <c r="C11" s="155" t="s">
        <v>190</v>
      </c>
      <c r="D11" s="163"/>
      <c r="E11" s="161"/>
      <c r="F11" s="163"/>
      <c r="G11" s="168"/>
      <c r="H11" s="165"/>
      <c r="I11" s="165"/>
      <c r="J11" s="165"/>
      <c r="K11" s="165"/>
      <c r="L11" s="165"/>
      <c r="M11" s="165"/>
      <c r="N11" s="165"/>
      <c r="O11" s="165"/>
      <c r="P11" s="165"/>
      <c r="Q11" s="165"/>
    </row>
    <row r="12" spans="1:17" x14ac:dyDescent="0.25">
      <c r="A12" s="162"/>
      <c r="B12" s="162"/>
      <c r="C12" s="155" t="s">
        <v>11</v>
      </c>
      <c r="D12" s="163" t="s">
        <v>50</v>
      </c>
      <c r="E12" s="163">
        <v>87749600</v>
      </c>
      <c r="F12" s="163"/>
      <c r="G12" s="163">
        <f>G9+E12</f>
        <v>171171800</v>
      </c>
    </row>
    <row r="13" spans="1:17" x14ac:dyDescent="0.25">
      <c r="A13" s="162"/>
      <c r="B13" s="162"/>
      <c r="C13" s="155" t="s">
        <v>12</v>
      </c>
      <c r="D13" s="163" t="s">
        <v>51</v>
      </c>
      <c r="E13" s="163">
        <v>4448634</v>
      </c>
      <c r="F13" s="163"/>
      <c r="G13" s="163">
        <f t="shared" ref="G13:G26" si="0">G12+E13</f>
        <v>175620434</v>
      </c>
    </row>
    <row r="14" spans="1:17" ht="13.5" customHeight="1" x14ac:dyDescent="1.1000000000000001">
      <c r="A14" s="162"/>
      <c r="B14" s="162"/>
      <c r="C14" s="155" t="s">
        <v>13</v>
      </c>
      <c r="D14" s="163"/>
      <c r="E14" s="163">
        <v>0</v>
      </c>
      <c r="F14" s="163"/>
      <c r="G14" s="163">
        <f t="shared" si="0"/>
        <v>175620434</v>
      </c>
      <c r="H14" s="108"/>
      <c r="I14" s="108"/>
      <c r="J14" s="108"/>
      <c r="K14" s="108"/>
      <c r="L14" s="108"/>
      <c r="M14" s="108"/>
      <c r="N14" s="108"/>
      <c r="O14" s="108"/>
      <c r="P14" s="108"/>
      <c r="Q14" s="108"/>
    </row>
    <row r="15" spans="1:17" ht="15.75" customHeight="1" x14ac:dyDescent="1.1000000000000001">
      <c r="A15" s="162"/>
      <c r="B15" s="162"/>
      <c r="C15" s="155" t="s">
        <v>14</v>
      </c>
      <c r="D15" s="163" t="s">
        <v>52</v>
      </c>
      <c r="E15" s="163">
        <v>8725000</v>
      </c>
      <c r="F15" s="163"/>
      <c r="G15" s="163">
        <f t="shared" si="0"/>
        <v>184345434</v>
      </c>
      <c r="H15" s="108"/>
      <c r="I15" s="108"/>
      <c r="J15" s="108"/>
      <c r="K15" s="108"/>
      <c r="L15" s="108"/>
      <c r="M15" s="108"/>
      <c r="N15" s="108"/>
      <c r="O15" s="108"/>
      <c r="P15" s="108"/>
      <c r="Q15" s="108"/>
    </row>
    <row r="16" spans="1:17" x14ac:dyDescent="0.25">
      <c r="A16" s="154"/>
      <c r="B16" s="154"/>
      <c r="C16" s="155" t="s">
        <v>15</v>
      </c>
      <c r="D16" s="126" t="s">
        <v>53</v>
      </c>
      <c r="E16" s="126">
        <v>3240000</v>
      </c>
      <c r="F16" s="126"/>
      <c r="G16" s="126">
        <f t="shared" si="0"/>
        <v>187585434</v>
      </c>
    </row>
    <row r="17" spans="1:7" x14ac:dyDescent="0.25">
      <c r="A17" s="154"/>
      <c r="B17" s="154"/>
      <c r="C17" s="155" t="s">
        <v>16</v>
      </c>
      <c r="D17" s="126" t="s">
        <v>54</v>
      </c>
      <c r="E17" s="126">
        <v>1465000</v>
      </c>
      <c r="F17" s="126"/>
      <c r="G17" s="126">
        <f t="shared" si="0"/>
        <v>189050434</v>
      </c>
    </row>
    <row r="18" spans="1:7" x14ac:dyDescent="0.25">
      <c r="A18" s="154"/>
      <c r="B18" s="154"/>
      <c r="C18" s="155" t="s">
        <v>17</v>
      </c>
      <c r="D18" s="126" t="s">
        <v>55</v>
      </c>
      <c r="E18" s="126">
        <v>4225130</v>
      </c>
      <c r="F18" s="126"/>
      <c r="G18" s="126">
        <f t="shared" si="0"/>
        <v>193275564</v>
      </c>
    </row>
    <row r="19" spans="1:7" x14ac:dyDescent="0.25">
      <c r="A19" s="154"/>
      <c r="B19" s="154"/>
      <c r="C19" s="155" t="s">
        <v>18</v>
      </c>
      <c r="D19" s="126" t="s">
        <v>56</v>
      </c>
      <c r="E19" s="126">
        <v>3331320</v>
      </c>
      <c r="F19" s="126"/>
      <c r="G19" s="126">
        <f t="shared" si="0"/>
        <v>196606884</v>
      </c>
    </row>
    <row r="20" spans="1:7" x14ac:dyDescent="0.25">
      <c r="A20" s="154"/>
      <c r="B20" s="154"/>
      <c r="C20" s="155" t="s">
        <v>19</v>
      </c>
      <c r="D20" s="126"/>
      <c r="E20" s="126"/>
      <c r="F20" s="126"/>
      <c r="G20" s="126">
        <f t="shared" si="0"/>
        <v>196606884</v>
      </c>
    </row>
    <row r="21" spans="1:7" x14ac:dyDescent="0.25">
      <c r="A21" s="154"/>
      <c r="B21" s="154"/>
      <c r="C21" s="155" t="s">
        <v>20</v>
      </c>
      <c r="D21" s="126"/>
      <c r="E21" s="126"/>
      <c r="F21" s="126"/>
      <c r="G21" s="126">
        <f t="shared" si="0"/>
        <v>196606884</v>
      </c>
    </row>
    <row r="22" spans="1:7" x14ac:dyDescent="0.25">
      <c r="A22" s="154"/>
      <c r="B22" s="154"/>
      <c r="C22" s="155" t="s">
        <v>21</v>
      </c>
      <c r="D22" s="126" t="s">
        <v>57</v>
      </c>
      <c r="E22" s="126">
        <v>182921</v>
      </c>
      <c r="F22" s="126"/>
      <c r="G22" s="126">
        <f t="shared" si="0"/>
        <v>196789805</v>
      </c>
    </row>
    <row r="23" spans="1:7" x14ac:dyDescent="0.25">
      <c r="A23" s="154"/>
      <c r="B23" s="154"/>
      <c r="C23" s="155" t="s">
        <v>22</v>
      </c>
      <c r="D23" s="126"/>
      <c r="E23" s="126"/>
      <c r="F23" s="126"/>
      <c r="G23" s="126">
        <f t="shared" si="0"/>
        <v>196789805</v>
      </c>
    </row>
    <row r="24" spans="1:7" x14ac:dyDescent="0.25">
      <c r="A24" s="154"/>
      <c r="B24" s="154"/>
      <c r="C24" s="155" t="s">
        <v>23</v>
      </c>
      <c r="D24" s="126" t="s">
        <v>59</v>
      </c>
      <c r="E24" s="126">
        <v>210594</v>
      </c>
      <c r="F24" s="126"/>
      <c r="G24" s="126">
        <f t="shared" si="0"/>
        <v>197000399</v>
      </c>
    </row>
    <row r="25" spans="1:7" x14ac:dyDescent="0.25">
      <c r="A25" s="154"/>
      <c r="B25" s="154"/>
      <c r="C25" s="155" t="s">
        <v>24</v>
      </c>
      <c r="D25" s="126" t="s">
        <v>58</v>
      </c>
      <c r="E25" s="126">
        <v>631795</v>
      </c>
      <c r="F25" s="126"/>
      <c r="G25" s="126">
        <f t="shared" si="0"/>
        <v>197632194</v>
      </c>
    </row>
    <row r="26" spans="1:7" x14ac:dyDescent="0.25">
      <c r="A26" s="154"/>
      <c r="B26" s="154"/>
      <c r="C26" s="155" t="s">
        <v>25</v>
      </c>
      <c r="D26" s="126" t="s">
        <v>60</v>
      </c>
      <c r="E26" s="126">
        <v>1187</v>
      </c>
      <c r="F26" s="126"/>
      <c r="G26" s="126">
        <f t="shared" si="0"/>
        <v>197633381</v>
      </c>
    </row>
    <row r="27" spans="1:7" x14ac:dyDescent="0.25">
      <c r="A27" s="154"/>
      <c r="B27" s="154"/>
      <c r="C27" s="155" t="s">
        <v>26</v>
      </c>
      <c r="D27" s="126" t="s">
        <v>27</v>
      </c>
      <c r="E27" s="126"/>
      <c r="F27" s="126"/>
      <c r="G27" s="126"/>
    </row>
    <row r="28" spans="1:7" x14ac:dyDescent="0.25">
      <c r="A28" s="154"/>
      <c r="B28" s="154"/>
      <c r="C28" s="155" t="s">
        <v>48</v>
      </c>
      <c r="D28" s="126"/>
      <c r="E28" s="126"/>
      <c r="F28" s="126">
        <v>7375858</v>
      </c>
      <c r="G28" s="126">
        <f>G26-F28</f>
        <v>190257523</v>
      </c>
    </row>
    <row r="29" spans="1:7" x14ac:dyDescent="0.25">
      <c r="A29" s="154"/>
      <c r="B29" s="154"/>
      <c r="C29" s="155" t="s">
        <v>28</v>
      </c>
      <c r="D29" s="126"/>
      <c r="E29" s="126"/>
      <c r="F29" s="126">
        <f>E22</f>
        <v>182921</v>
      </c>
      <c r="G29" s="126">
        <f t="shared" ref="G29:G42" si="1">G28-F29</f>
        <v>190074602</v>
      </c>
    </row>
    <row r="30" spans="1:7" x14ac:dyDescent="0.25">
      <c r="A30" s="154"/>
      <c r="B30" s="154"/>
      <c r="C30" s="155" t="s">
        <v>29</v>
      </c>
      <c r="D30" s="126"/>
      <c r="E30" s="126"/>
      <c r="F30" s="126">
        <v>0</v>
      </c>
      <c r="G30" s="126">
        <f t="shared" si="1"/>
        <v>190074602</v>
      </c>
    </row>
    <row r="31" spans="1:7" x14ac:dyDescent="0.25">
      <c r="A31" s="154"/>
      <c r="B31" s="154"/>
      <c r="C31" s="155" t="s">
        <v>30</v>
      </c>
      <c r="D31" s="126"/>
      <c r="E31" s="126"/>
      <c r="F31" s="126">
        <v>0</v>
      </c>
      <c r="G31" s="126">
        <f t="shared" si="1"/>
        <v>190074602</v>
      </c>
    </row>
    <row r="32" spans="1:7" x14ac:dyDescent="0.25">
      <c r="A32" s="154"/>
      <c r="B32" s="154"/>
      <c r="C32" s="155" t="s">
        <v>31</v>
      </c>
      <c r="D32" s="126"/>
      <c r="E32" s="126"/>
      <c r="F32" s="126">
        <v>0</v>
      </c>
      <c r="G32" s="126">
        <f t="shared" si="1"/>
        <v>190074602</v>
      </c>
    </row>
    <row r="33" spans="1:7" x14ac:dyDescent="0.25">
      <c r="A33" s="154"/>
      <c r="B33" s="154"/>
      <c r="C33" s="155" t="s">
        <v>17</v>
      </c>
      <c r="D33" s="126"/>
      <c r="E33" s="126"/>
      <c r="F33" s="126">
        <f>E18</f>
        <v>4225130</v>
      </c>
      <c r="G33" s="126">
        <f t="shared" si="1"/>
        <v>185849472</v>
      </c>
    </row>
    <row r="34" spans="1:7" x14ac:dyDescent="0.25">
      <c r="A34" s="154"/>
      <c r="B34" s="154"/>
      <c r="C34" s="155" t="s">
        <v>63</v>
      </c>
      <c r="D34" s="126"/>
      <c r="E34" s="126"/>
      <c r="F34" s="126">
        <v>0</v>
      </c>
      <c r="G34" s="126">
        <f t="shared" si="1"/>
        <v>185849472</v>
      </c>
    </row>
    <row r="35" spans="1:7" x14ac:dyDescent="0.25">
      <c r="A35" s="154"/>
      <c r="B35" s="154"/>
      <c r="C35" s="155" t="s">
        <v>32</v>
      </c>
      <c r="D35" s="126"/>
      <c r="E35" s="126"/>
      <c r="F35" s="126">
        <v>0</v>
      </c>
      <c r="G35" s="126">
        <f t="shared" si="1"/>
        <v>185849472</v>
      </c>
    </row>
    <row r="36" spans="1:7" x14ac:dyDescent="0.25">
      <c r="A36" s="154"/>
      <c r="B36" s="154"/>
      <c r="C36" s="155" t="s">
        <v>33</v>
      </c>
      <c r="D36" s="126"/>
      <c r="E36" s="126"/>
      <c r="F36" s="126">
        <f>E24</f>
        <v>210594</v>
      </c>
      <c r="G36" s="126">
        <f t="shared" si="1"/>
        <v>185638878</v>
      </c>
    </row>
    <row r="37" spans="1:7" x14ac:dyDescent="0.25">
      <c r="A37" s="154"/>
      <c r="B37" s="154"/>
      <c r="C37" s="155" t="s">
        <v>34</v>
      </c>
      <c r="D37" s="126"/>
      <c r="E37" s="126"/>
      <c r="F37" s="126">
        <f>E25</f>
        <v>631795</v>
      </c>
      <c r="G37" s="126">
        <f t="shared" si="1"/>
        <v>185007083</v>
      </c>
    </row>
    <row r="38" spans="1:7" x14ac:dyDescent="0.25">
      <c r="A38" s="154"/>
      <c r="B38" s="154"/>
      <c r="C38" s="155" t="s">
        <v>49</v>
      </c>
      <c r="D38" s="126"/>
      <c r="E38" s="126"/>
      <c r="F38" s="126">
        <v>1056283</v>
      </c>
      <c r="G38" s="126">
        <f t="shared" si="1"/>
        <v>183950800</v>
      </c>
    </row>
    <row r="39" spans="1:7" x14ac:dyDescent="0.25">
      <c r="A39" s="154"/>
      <c r="B39" s="154"/>
      <c r="C39" s="155" t="s">
        <v>35</v>
      </c>
      <c r="D39" s="126"/>
      <c r="E39" s="126"/>
      <c r="F39" s="126">
        <v>0</v>
      </c>
      <c r="G39" s="126">
        <f t="shared" si="1"/>
        <v>183950800</v>
      </c>
    </row>
    <row r="40" spans="1:7" x14ac:dyDescent="0.25">
      <c r="A40" s="154"/>
      <c r="B40" s="154"/>
      <c r="C40" s="155" t="s">
        <v>36</v>
      </c>
      <c r="D40" s="126"/>
      <c r="E40" s="126"/>
      <c r="F40" s="126">
        <v>0</v>
      </c>
      <c r="G40" s="126">
        <f t="shared" si="1"/>
        <v>183950800</v>
      </c>
    </row>
    <row r="41" spans="1:7" x14ac:dyDescent="0.25">
      <c r="A41" s="154"/>
      <c r="B41" s="154"/>
      <c r="C41" s="155" t="s">
        <v>37</v>
      </c>
      <c r="D41" s="126"/>
      <c r="E41" s="126"/>
      <c r="F41" s="126">
        <v>0</v>
      </c>
      <c r="G41" s="126">
        <f t="shared" si="1"/>
        <v>183950800</v>
      </c>
    </row>
    <row r="42" spans="1:7" x14ac:dyDescent="0.25">
      <c r="A42" s="154">
        <v>2</v>
      </c>
      <c r="B42" s="160" t="s">
        <v>187</v>
      </c>
      <c r="C42" s="155" t="s">
        <v>37</v>
      </c>
      <c r="D42" s="126"/>
      <c r="E42" s="126"/>
      <c r="F42" s="126">
        <v>0</v>
      </c>
      <c r="G42" s="126">
        <f t="shared" si="1"/>
        <v>183950800</v>
      </c>
    </row>
    <row r="43" spans="1:7" x14ac:dyDescent="0.25">
      <c r="A43" s="154">
        <v>3</v>
      </c>
      <c r="B43" s="160" t="s">
        <v>187</v>
      </c>
      <c r="C43" s="155" t="s">
        <v>39</v>
      </c>
      <c r="D43" s="126"/>
      <c r="E43" s="126" t="s">
        <v>38</v>
      </c>
      <c r="F43" s="126" t="s">
        <v>38</v>
      </c>
      <c r="G43" s="126"/>
    </row>
    <row r="44" spans="1:7" ht="20.25" customHeight="1" x14ac:dyDescent="0.25">
      <c r="A44" s="154">
        <v>4</v>
      </c>
      <c r="B44" s="152" t="s">
        <v>187</v>
      </c>
      <c r="C44" s="170" t="s">
        <v>72</v>
      </c>
      <c r="D44" s="171"/>
      <c r="E44" s="171"/>
      <c r="F44" s="153">
        <v>100528600</v>
      </c>
      <c r="G44" s="153">
        <f>G42-F44</f>
        <v>83422200</v>
      </c>
    </row>
    <row r="45" spans="1:7" ht="60" customHeight="1" x14ac:dyDescent="0.25">
      <c r="A45" s="154">
        <v>5</v>
      </c>
      <c r="B45" s="152" t="s">
        <v>187</v>
      </c>
      <c r="C45" s="85" t="s">
        <v>247</v>
      </c>
      <c r="D45" s="66" t="s">
        <v>97</v>
      </c>
      <c r="E45" s="126"/>
      <c r="F45" s="126">
        <v>1000000</v>
      </c>
      <c r="G45" s="126">
        <f t="shared" ref="G45:G62" si="2">G44-F45</f>
        <v>82422200</v>
      </c>
    </row>
    <row r="46" spans="1:7" ht="60" customHeight="1" x14ac:dyDescent="0.25">
      <c r="A46" s="154">
        <v>6</v>
      </c>
      <c r="B46" s="152" t="s">
        <v>187</v>
      </c>
      <c r="C46" s="85" t="s">
        <v>252</v>
      </c>
      <c r="D46" s="82" t="s">
        <v>253</v>
      </c>
      <c r="E46" s="125"/>
      <c r="F46" s="126">
        <v>1890000</v>
      </c>
      <c r="G46" s="126">
        <f t="shared" si="2"/>
        <v>80532200</v>
      </c>
    </row>
    <row r="47" spans="1:7" ht="60" customHeight="1" x14ac:dyDescent="0.25">
      <c r="A47" s="154">
        <v>7</v>
      </c>
      <c r="B47" s="152" t="s">
        <v>187</v>
      </c>
      <c r="C47" s="85" t="s">
        <v>252</v>
      </c>
      <c r="D47" s="82" t="s">
        <v>253</v>
      </c>
      <c r="E47" s="125"/>
      <c r="F47" s="126">
        <v>1883000</v>
      </c>
      <c r="G47" s="126">
        <f t="shared" si="2"/>
        <v>78649200</v>
      </c>
    </row>
    <row r="48" spans="1:7" ht="60" customHeight="1" x14ac:dyDescent="0.25">
      <c r="A48" s="154">
        <v>8</v>
      </c>
      <c r="B48" s="152" t="s">
        <v>187</v>
      </c>
      <c r="C48" s="63" t="s">
        <v>254</v>
      </c>
      <c r="D48" s="87" t="s">
        <v>106</v>
      </c>
      <c r="E48" s="126"/>
      <c r="F48" s="126">
        <v>3075000</v>
      </c>
      <c r="G48" s="126">
        <f t="shared" si="2"/>
        <v>75574200</v>
      </c>
    </row>
    <row r="49" spans="1:7" ht="80.25" customHeight="1" x14ac:dyDescent="0.25">
      <c r="A49" s="154">
        <v>9</v>
      </c>
      <c r="B49" s="152" t="s">
        <v>187</v>
      </c>
      <c r="C49" s="63" t="s">
        <v>264</v>
      </c>
      <c r="D49" s="87" t="s">
        <v>158</v>
      </c>
      <c r="E49" s="126"/>
      <c r="F49" s="126">
        <v>1750000</v>
      </c>
      <c r="G49" s="126">
        <f t="shared" si="2"/>
        <v>73824200</v>
      </c>
    </row>
    <row r="50" spans="1:7" ht="75.75" customHeight="1" x14ac:dyDescent="0.25">
      <c r="A50" s="154">
        <v>10</v>
      </c>
      <c r="B50" s="152" t="s">
        <v>187</v>
      </c>
      <c r="C50" s="63" t="s">
        <v>263</v>
      </c>
      <c r="D50" s="87" t="s">
        <v>158</v>
      </c>
      <c r="E50" s="126"/>
      <c r="F50" s="126">
        <v>1200000</v>
      </c>
      <c r="G50" s="126">
        <f t="shared" si="2"/>
        <v>72624200</v>
      </c>
    </row>
    <row r="51" spans="1:7" ht="67.5" customHeight="1" x14ac:dyDescent="0.25">
      <c r="A51" s="182">
        <v>11</v>
      </c>
      <c r="B51" s="183" t="s">
        <v>187</v>
      </c>
      <c r="C51" s="88" t="s">
        <v>264</v>
      </c>
      <c r="D51" s="89" t="s">
        <v>158</v>
      </c>
      <c r="E51" s="184"/>
      <c r="F51" s="184">
        <v>1195000</v>
      </c>
      <c r="G51" s="184">
        <f t="shared" si="2"/>
        <v>71429200</v>
      </c>
    </row>
    <row r="52" spans="1:7" ht="69" customHeight="1" x14ac:dyDescent="0.25">
      <c r="A52" s="185">
        <v>12</v>
      </c>
      <c r="B52" s="186" t="s">
        <v>187</v>
      </c>
      <c r="C52" s="187" t="s">
        <v>265</v>
      </c>
      <c r="D52" s="188" t="s">
        <v>125</v>
      </c>
      <c r="E52" s="189"/>
      <c r="F52" s="189">
        <v>899000</v>
      </c>
      <c r="G52" s="189">
        <f t="shared" si="2"/>
        <v>70530200</v>
      </c>
    </row>
    <row r="53" spans="1:7" ht="69.75" customHeight="1" x14ac:dyDescent="0.25">
      <c r="A53" s="154">
        <v>13</v>
      </c>
      <c r="B53" s="152" t="s">
        <v>187</v>
      </c>
      <c r="C53" s="63" t="s">
        <v>266</v>
      </c>
      <c r="D53" s="87" t="s">
        <v>125</v>
      </c>
      <c r="E53" s="126"/>
      <c r="F53" s="126">
        <v>1750000</v>
      </c>
      <c r="G53" s="126">
        <f t="shared" si="2"/>
        <v>68780200</v>
      </c>
    </row>
    <row r="54" spans="1:7" ht="60" customHeight="1" x14ac:dyDescent="0.25">
      <c r="A54" s="154">
        <v>14</v>
      </c>
      <c r="B54" s="152" t="s">
        <v>187</v>
      </c>
      <c r="C54" s="85" t="s">
        <v>269</v>
      </c>
      <c r="D54" s="82" t="s">
        <v>270</v>
      </c>
      <c r="E54" s="125"/>
      <c r="F54" s="126">
        <v>472100</v>
      </c>
      <c r="G54" s="126">
        <f t="shared" si="2"/>
        <v>68308100</v>
      </c>
    </row>
    <row r="55" spans="1:7" ht="60" customHeight="1" x14ac:dyDescent="0.25">
      <c r="A55" s="154">
        <v>15</v>
      </c>
      <c r="B55" s="152" t="s">
        <v>187</v>
      </c>
      <c r="C55" s="85" t="s">
        <v>273</v>
      </c>
      <c r="D55" s="82" t="s">
        <v>271</v>
      </c>
      <c r="E55" s="125"/>
      <c r="F55" s="126">
        <v>614900</v>
      </c>
      <c r="G55" s="126">
        <f t="shared" si="2"/>
        <v>67693200</v>
      </c>
    </row>
    <row r="56" spans="1:7" ht="60" customHeight="1" x14ac:dyDescent="0.25">
      <c r="A56" s="154">
        <v>16</v>
      </c>
      <c r="B56" s="152" t="s">
        <v>187</v>
      </c>
      <c r="C56" s="85" t="s">
        <v>274</v>
      </c>
      <c r="D56" s="82" t="s">
        <v>272</v>
      </c>
      <c r="E56" s="125"/>
      <c r="F56" s="126">
        <v>458000</v>
      </c>
      <c r="G56" s="126">
        <f t="shared" si="2"/>
        <v>67235200</v>
      </c>
    </row>
    <row r="57" spans="1:7" ht="60" customHeight="1" x14ac:dyDescent="0.25">
      <c r="A57" s="154">
        <v>17</v>
      </c>
      <c r="B57" s="152" t="s">
        <v>187</v>
      </c>
      <c r="C57" s="85" t="s">
        <v>276</v>
      </c>
      <c r="D57" s="82" t="s">
        <v>275</v>
      </c>
      <c r="E57" s="125"/>
      <c r="F57" s="126">
        <v>852200</v>
      </c>
      <c r="G57" s="126">
        <f t="shared" si="2"/>
        <v>66383000</v>
      </c>
    </row>
    <row r="58" spans="1:7" ht="60" customHeight="1" x14ac:dyDescent="0.25">
      <c r="A58" s="154">
        <v>18</v>
      </c>
      <c r="B58" s="152" t="s">
        <v>187</v>
      </c>
      <c r="C58" s="85" t="s">
        <v>278</v>
      </c>
      <c r="D58" s="82" t="s">
        <v>277</v>
      </c>
      <c r="E58" s="125"/>
      <c r="F58" s="126">
        <v>987200</v>
      </c>
      <c r="G58" s="126">
        <f t="shared" si="2"/>
        <v>65395800</v>
      </c>
    </row>
    <row r="59" spans="1:7" ht="60" customHeight="1" x14ac:dyDescent="0.25">
      <c r="A59" s="154">
        <v>19</v>
      </c>
      <c r="B59" s="152" t="s">
        <v>187</v>
      </c>
      <c r="C59" s="85" t="s">
        <v>279</v>
      </c>
      <c r="D59" s="82" t="s">
        <v>280</v>
      </c>
      <c r="E59" s="125"/>
      <c r="F59" s="126">
        <v>160300</v>
      </c>
      <c r="G59" s="126">
        <f t="shared" si="2"/>
        <v>65235500</v>
      </c>
    </row>
    <row r="60" spans="1:7" ht="60" customHeight="1" x14ac:dyDescent="0.25">
      <c r="A60" s="154">
        <v>20</v>
      </c>
      <c r="B60" s="152" t="s">
        <v>187</v>
      </c>
      <c r="C60" s="85" t="s">
        <v>281</v>
      </c>
      <c r="D60" s="82" t="s">
        <v>282</v>
      </c>
      <c r="E60" s="125"/>
      <c r="F60" s="126">
        <v>343500</v>
      </c>
      <c r="G60" s="126">
        <f t="shared" si="2"/>
        <v>64892000</v>
      </c>
    </row>
    <row r="61" spans="1:7" ht="60" customHeight="1" x14ac:dyDescent="0.25">
      <c r="A61" s="154">
        <v>21</v>
      </c>
      <c r="B61" s="152" t="s">
        <v>188</v>
      </c>
      <c r="C61" s="85" t="s">
        <v>283</v>
      </c>
      <c r="D61" s="82" t="s">
        <v>284</v>
      </c>
      <c r="E61" s="125"/>
      <c r="F61" s="126">
        <v>285900</v>
      </c>
      <c r="G61" s="126">
        <f t="shared" si="2"/>
        <v>64606100</v>
      </c>
    </row>
    <row r="62" spans="1:7" ht="60" customHeight="1" x14ac:dyDescent="0.25">
      <c r="A62" s="154">
        <v>22</v>
      </c>
      <c r="B62" s="152" t="s">
        <v>188</v>
      </c>
      <c r="C62" s="85" t="s">
        <v>285</v>
      </c>
      <c r="D62" s="82" t="s">
        <v>286</v>
      </c>
      <c r="E62" s="125"/>
      <c r="F62" s="126">
        <v>412000</v>
      </c>
      <c r="G62" s="126">
        <f t="shared" si="2"/>
        <v>64194100</v>
      </c>
    </row>
    <row r="63" spans="1:7" ht="60" customHeight="1" x14ac:dyDescent="0.25">
      <c r="A63" s="154">
        <v>23</v>
      </c>
      <c r="B63" s="152" t="s">
        <v>188</v>
      </c>
      <c r="C63" s="85" t="s">
        <v>287</v>
      </c>
      <c r="D63" s="82" t="s">
        <v>288</v>
      </c>
      <c r="E63" s="125"/>
      <c r="F63" s="126">
        <v>572500</v>
      </c>
      <c r="G63" s="126">
        <f t="shared" ref="G63:G89" si="3">G62-F63</f>
        <v>63621600</v>
      </c>
    </row>
    <row r="64" spans="1:7" ht="60" customHeight="1" x14ac:dyDescent="0.25">
      <c r="A64" s="154">
        <v>24</v>
      </c>
      <c r="B64" s="152" t="s">
        <v>188</v>
      </c>
      <c r="C64" s="85" t="s">
        <v>293</v>
      </c>
      <c r="D64" s="82" t="s">
        <v>294</v>
      </c>
      <c r="E64" s="125"/>
      <c r="F64" s="126">
        <v>485100</v>
      </c>
      <c r="G64" s="126">
        <f>G63-F64</f>
        <v>63136500</v>
      </c>
    </row>
    <row r="65" spans="1:7" ht="60" customHeight="1" x14ac:dyDescent="0.25">
      <c r="A65" s="154">
        <v>25</v>
      </c>
      <c r="B65" s="152" t="s">
        <v>188</v>
      </c>
      <c r="C65" s="85" t="s">
        <v>295</v>
      </c>
      <c r="D65" s="82" t="s">
        <v>296</v>
      </c>
      <c r="E65" s="125"/>
      <c r="F65" s="126">
        <v>824000</v>
      </c>
      <c r="G65" s="126">
        <f t="shared" si="3"/>
        <v>62312500</v>
      </c>
    </row>
    <row r="66" spans="1:7" ht="60" customHeight="1" x14ac:dyDescent="0.25">
      <c r="A66" s="154">
        <v>26</v>
      </c>
      <c r="B66" s="152" t="s">
        <v>188</v>
      </c>
      <c r="C66" s="85" t="s">
        <v>297</v>
      </c>
      <c r="D66" s="82" t="s">
        <v>292</v>
      </c>
      <c r="E66" s="125"/>
      <c r="F66" s="126">
        <v>687000</v>
      </c>
      <c r="G66" s="126">
        <f t="shared" si="3"/>
        <v>61625500</v>
      </c>
    </row>
    <row r="67" spans="1:7" ht="60" customHeight="1" x14ac:dyDescent="0.25">
      <c r="A67" s="154">
        <v>27</v>
      </c>
      <c r="B67" s="152" t="s">
        <v>188</v>
      </c>
      <c r="C67" s="85" t="s">
        <v>298</v>
      </c>
      <c r="D67" s="82" t="s">
        <v>299</v>
      </c>
      <c r="E67" s="125"/>
      <c r="F67" s="126">
        <v>345500</v>
      </c>
      <c r="G67" s="126">
        <f t="shared" si="3"/>
        <v>61280000</v>
      </c>
    </row>
    <row r="68" spans="1:7" ht="60" customHeight="1" x14ac:dyDescent="0.25">
      <c r="A68" s="154">
        <v>28</v>
      </c>
      <c r="B68" s="152" t="s">
        <v>188</v>
      </c>
      <c r="C68" s="85" t="s">
        <v>301</v>
      </c>
      <c r="D68" s="82" t="s">
        <v>300</v>
      </c>
      <c r="E68" s="125"/>
      <c r="F68" s="126">
        <v>494400</v>
      </c>
      <c r="G68" s="126">
        <f t="shared" si="3"/>
        <v>60785600</v>
      </c>
    </row>
    <row r="69" spans="1:7" ht="60" customHeight="1" x14ac:dyDescent="0.25">
      <c r="A69" s="154">
        <v>29</v>
      </c>
      <c r="B69" s="152" t="s">
        <v>188</v>
      </c>
      <c r="C69" s="85" t="s">
        <v>302</v>
      </c>
      <c r="D69" s="82" t="s">
        <v>303</v>
      </c>
      <c r="E69" s="125"/>
      <c r="F69" s="126">
        <v>1374000</v>
      </c>
      <c r="G69" s="126">
        <f t="shared" si="3"/>
        <v>59411600</v>
      </c>
    </row>
    <row r="70" spans="1:7" ht="60" customHeight="1" x14ac:dyDescent="0.25">
      <c r="A70" s="182">
        <v>30</v>
      </c>
      <c r="B70" s="183" t="s">
        <v>188</v>
      </c>
      <c r="C70" s="92" t="s">
        <v>307</v>
      </c>
      <c r="D70" s="190" t="s">
        <v>314</v>
      </c>
      <c r="E70" s="191"/>
      <c r="F70" s="184">
        <v>280800</v>
      </c>
      <c r="G70" s="184">
        <f t="shared" si="3"/>
        <v>59130800</v>
      </c>
    </row>
    <row r="71" spans="1:7" ht="60" customHeight="1" x14ac:dyDescent="0.25">
      <c r="A71" s="185">
        <v>31</v>
      </c>
      <c r="B71" s="186" t="s">
        <v>188</v>
      </c>
      <c r="C71" s="192" t="s">
        <v>308</v>
      </c>
      <c r="D71" s="193" t="s">
        <v>316</v>
      </c>
      <c r="E71" s="194"/>
      <c r="F71" s="189">
        <v>282000</v>
      </c>
      <c r="G71" s="189">
        <f t="shared" si="3"/>
        <v>58848800</v>
      </c>
    </row>
    <row r="72" spans="1:7" ht="60" customHeight="1" x14ac:dyDescent="0.25">
      <c r="A72" s="154">
        <v>32</v>
      </c>
      <c r="B72" s="152" t="s">
        <v>188</v>
      </c>
      <c r="C72" s="85" t="s">
        <v>309</v>
      </c>
      <c r="D72" s="82" t="s">
        <v>315</v>
      </c>
      <c r="E72" s="125"/>
      <c r="F72" s="126">
        <v>158000</v>
      </c>
      <c r="G72" s="126">
        <f t="shared" si="3"/>
        <v>58690800</v>
      </c>
    </row>
    <row r="73" spans="1:7" ht="60" customHeight="1" x14ac:dyDescent="0.25">
      <c r="A73" s="154">
        <v>33</v>
      </c>
      <c r="B73" s="152" t="s">
        <v>188</v>
      </c>
      <c r="C73" s="85" t="s">
        <v>310</v>
      </c>
      <c r="D73" s="82" t="s">
        <v>317</v>
      </c>
      <c r="E73" s="125"/>
      <c r="F73" s="126">
        <v>280800</v>
      </c>
      <c r="G73" s="126">
        <f t="shared" si="3"/>
        <v>58410000</v>
      </c>
    </row>
    <row r="74" spans="1:7" ht="60" customHeight="1" x14ac:dyDescent="0.25">
      <c r="A74" s="154">
        <v>34</v>
      </c>
      <c r="B74" s="152" t="s">
        <v>188</v>
      </c>
      <c r="C74" s="85" t="s">
        <v>311</v>
      </c>
      <c r="D74" s="82" t="s">
        <v>318</v>
      </c>
      <c r="E74" s="125"/>
      <c r="F74" s="126">
        <v>247200</v>
      </c>
      <c r="G74" s="126">
        <f t="shared" si="3"/>
        <v>58162800</v>
      </c>
    </row>
    <row r="75" spans="1:7" ht="60" customHeight="1" x14ac:dyDescent="0.25">
      <c r="A75" s="154">
        <v>35</v>
      </c>
      <c r="B75" s="152" t="s">
        <v>188</v>
      </c>
      <c r="C75" s="85" t="s">
        <v>312</v>
      </c>
      <c r="D75" s="82" t="s">
        <v>319</v>
      </c>
      <c r="E75" s="125"/>
      <c r="F75" s="126">
        <v>282000</v>
      </c>
      <c r="G75" s="126">
        <f t="shared" si="3"/>
        <v>57880800</v>
      </c>
    </row>
    <row r="76" spans="1:7" ht="60" customHeight="1" x14ac:dyDescent="0.25">
      <c r="A76" s="154">
        <v>36</v>
      </c>
      <c r="B76" s="152" t="s">
        <v>188</v>
      </c>
      <c r="C76" s="85" t="s">
        <v>313</v>
      </c>
      <c r="D76" s="82" t="s">
        <v>320</v>
      </c>
      <c r="E76" s="125"/>
      <c r="F76" s="126">
        <v>158000</v>
      </c>
      <c r="G76" s="126">
        <f t="shared" si="3"/>
        <v>57722800</v>
      </c>
    </row>
    <row r="77" spans="1:7" ht="60" customHeight="1" x14ac:dyDescent="0.25">
      <c r="A77" s="154">
        <v>37</v>
      </c>
      <c r="B77" s="152" t="s">
        <v>188</v>
      </c>
      <c r="C77" s="85" t="s">
        <v>321</v>
      </c>
      <c r="D77" s="82" t="s">
        <v>322</v>
      </c>
      <c r="E77" s="125"/>
      <c r="F77" s="126">
        <v>329600</v>
      </c>
      <c r="G77" s="126">
        <f t="shared" si="3"/>
        <v>57393200</v>
      </c>
    </row>
    <row r="78" spans="1:7" ht="60" customHeight="1" x14ac:dyDescent="0.25">
      <c r="A78" s="154">
        <v>38</v>
      </c>
      <c r="B78" s="152" t="s">
        <v>188</v>
      </c>
      <c r="C78" s="85" t="s">
        <v>324</v>
      </c>
      <c r="D78" s="82" t="s">
        <v>323</v>
      </c>
      <c r="E78" s="125"/>
      <c r="F78" s="126">
        <v>197500</v>
      </c>
      <c r="G78" s="126">
        <f t="shared" si="3"/>
        <v>57195700</v>
      </c>
    </row>
    <row r="79" spans="1:7" ht="60" customHeight="1" x14ac:dyDescent="0.25">
      <c r="A79" s="154">
        <v>39</v>
      </c>
      <c r="B79" s="152" t="s">
        <v>188</v>
      </c>
      <c r="C79" s="85" t="s">
        <v>326</v>
      </c>
      <c r="D79" s="82" t="s">
        <v>325</v>
      </c>
      <c r="E79" s="125"/>
      <c r="F79" s="126">
        <v>552400</v>
      </c>
      <c r="G79" s="126">
        <f t="shared" si="3"/>
        <v>56643300</v>
      </c>
    </row>
    <row r="80" spans="1:7" ht="60" customHeight="1" x14ac:dyDescent="0.25">
      <c r="A80" s="154">
        <v>40</v>
      </c>
      <c r="B80" s="152" t="s">
        <v>188</v>
      </c>
      <c r="C80" s="85" t="s">
        <v>327</v>
      </c>
      <c r="D80" s="82" t="s">
        <v>328</v>
      </c>
      <c r="E80" s="125"/>
      <c r="F80" s="126">
        <v>250000</v>
      </c>
      <c r="G80" s="126">
        <f t="shared" si="3"/>
        <v>56393300</v>
      </c>
    </row>
    <row r="81" spans="1:7" ht="60" customHeight="1" x14ac:dyDescent="0.25">
      <c r="A81" s="154">
        <v>41</v>
      </c>
      <c r="B81" s="152" t="s">
        <v>188</v>
      </c>
      <c r="C81" s="85" t="s">
        <v>330</v>
      </c>
      <c r="D81" s="82" t="s">
        <v>329</v>
      </c>
      <c r="E81" s="125"/>
      <c r="F81" s="126">
        <v>507200</v>
      </c>
      <c r="G81" s="126">
        <f t="shared" si="3"/>
        <v>55886100</v>
      </c>
    </row>
    <row r="82" spans="1:7" ht="60" customHeight="1" x14ac:dyDescent="0.25">
      <c r="A82" s="154">
        <v>42</v>
      </c>
      <c r="B82" s="152" t="s">
        <v>188</v>
      </c>
      <c r="C82" s="85" t="s">
        <v>331</v>
      </c>
      <c r="D82" s="82" t="s">
        <v>332</v>
      </c>
      <c r="E82" s="125"/>
      <c r="F82" s="126">
        <v>1375000</v>
      </c>
      <c r="G82" s="126">
        <f t="shared" si="3"/>
        <v>54511100</v>
      </c>
    </row>
    <row r="83" spans="1:7" ht="60" customHeight="1" x14ac:dyDescent="0.25">
      <c r="A83" s="154">
        <v>43</v>
      </c>
      <c r="B83" s="152" t="s">
        <v>188</v>
      </c>
      <c r="C83" s="85" t="s">
        <v>333</v>
      </c>
      <c r="D83" s="82" t="s">
        <v>334</v>
      </c>
      <c r="E83" s="125"/>
      <c r="F83" s="126">
        <v>143700</v>
      </c>
      <c r="G83" s="126">
        <f t="shared" si="3"/>
        <v>54367400</v>
      </c>
    </row>
    <row r="84" spans="1:7" ht="60" customHeight="1" x14ac:dyDescent="0.25">
      <c r="A84" s="154">
        <v>44</v>
      </c>
      <c r="B84" s="152" t="s">
        <v>188</v>
      </c>
      <c r="C84" s="85" t="s">
        <v>336</v>
      </c>
      <c r="D84" s="82" t="s">
        <v>335</v>
      </c>
      <c r="E84" s="125"/>
      <c r="F84" s="126">
        <v>588200</v>
      </c>
      <c r="G84" s="126">
        <f t="shared" si="3"/>
        <v>53779200</v>
      </c>
    </row>
    <row r="85" spans="1:7" ht="60" customHeight="1" x14ac:dyDescent="0.25">
      <c r="A85" s="154">
        <v>45</v>
      </c>
      <c r="B85" s="152" t="s">
        <v>188</v>
      </c>
      <c r="C85" s="85" t="s">
        <v>337</v>
      </c>
      <c r="D85" s="82" t="s">
        <v>338</v>
      </c>
      <c r="E85" s="125"/>
      <c r="F85" s="126">
        <v>250000</v>
      </c>
      <c r="G85" s="126">
        <f t="shared" si="3"/>
        <v>53529200</v>
      </c>
    </row>
    <row r="86" spans="1:7" ht="60" customHeight="1" x14ac:dyDescent="0.25">
      <c r="A86" s="154">
        <v>46</v>
      </c>
      <c r="B86" s="152" t="s">
        <v>188</v>
      </c>
      <c r="C86" s="85" t="s">
        <v>337</v>
      </c>
      <c r="D86" s="82" t="s">
        <v>339</v>
      </c>
      <c r="E86" s="125"/>
      <c r="F86" s="126">
        <v>665200</v>
      </c>
      <c r="G86" s="126">
        <f t="shared" si="3"/>
        <v>52864000</v>
      </c>
    </row>
    <row r="87" spans="1:7" ht="84" customHeight="1" x14ac:dyDescent="0.25">
      <c r="A87" s="154">
        <v>47</v>
      </c>
      <c r="B87" s="152" t="s">
        <v>188</v>
      </c>
      <c r="C87" s="85" t="s">
        <v>341</v>
      </c>
      <c r="D87" s="82" t="s">
        <v>340</v>
      </c>
      <c r="E87" s="125"/>
      <c r="F87" s="126">
        <v>242900</v>
      </c>
      <c r="G87" s="126">
        <f t="shared" si="3"/>
        <v>52621100</v>
      </c>
    </row>
    <row r="88" spans="1:7" ht="74.25" customHeight="1" x14ac:dyDescent="0.25">
      <c r="A88" s="182">
        <v>48</v>
      </c>
      <c r="B88" s="183" t="s">
        <v>188</v>
      </c>
      <c r="C88" s="92" t="s">
        <v>342</v>
      </c>
      <c r="D88" s="190" t="s">
        <v>343</v>
      </c>
      <c r="E88" s="191"/>
      <c r="F88" s="184">
        <v>164800</v>
      </c>
      <c r="G88" s="184">
        <f t="shared" si="3"/>
        <v>52456300</v>
      </c>
    </row>
    <row r="89" spans="1:7" ht="77.25" customHeight="1" x14ac:dyDescent="0.25">
      <c r="A89" s="185">
        <v>49</v>
      </c>
      <c r="B89" s="186" t="s">
        <v>188</v>
      </c>
      <c r="C89" s="192" t="s">
        <v>345</v>
      </c>
      <c r="D89" s="193" t="s">
        <v>344</v>
      </c>
      <c r="E89" s="194"/>
      <c r="F89" s="189">
        <v>321000</v>
      </c>
      <c r="G89" s="189">
        <f t="shared" si="3"/>
        <v>52135300</v>
      </c>
    </row>
    <row r="90" spans="1:7" ht="78" customHeight="1" x14ac:dyDescent="0.25">
      <c r="A90" s="154">
        <v>50</v>
      </c>
      <c r="B90" s="152" t="s">
        <v>188</v>
      </c>
      <c r="C90" s="85" t="s">
        <v>347</v>
      </c>
      <c r="D90" s="82" t="s">
        <v>346</v>
      </c>
      <c r="E90" s="125"/>
      <c r="F90" s="126">
        <v>158000</v>
      </c>
      <c r="G90" s="126">
        <f>G89-F90</f>
        <v>51977300</v>
      </c>
    </row>
    <row r="91" spans="1:7" ht="24" x14ac:dyDescent="0.25">
      <c r="A91" s="154">
        <v>51</v>
      </c>
      <c r="B91" s="152" t="s">
        <v>188</v>
      </c>
      <c r="C91" s="173" t="s">
        <v>193</v>
      </c>
      <c r="D91" s="176"/>
      <c r="E91" s="158">
        <v>5000000</v>
      </c>
      <c r="F91" s="153"/>
      <c r="G91" s="126">
        <f>G90+E91</f>
        <v>56977300</v>
      </c>
    </row>
    <row r="92" spans="1:7" ht="51" x14ac:dyDescent="0.25">
      <c r="A92" s="154">
        <v>52</v>
      </c>
      <c r="B92" s="152" t="s">
        <v>188</v>
      </c>
      <c r="C92" s="169" t="s">
        <v>194</v>
      </c>
      <c r="D92" s="177" t="s">
        <v>85</v>
      </c>
      <c r="E92" s="62"/>
      <c r="F92" s="38">
        <v>5000000</v>
      </c>
      <c r="G92" s="126">
        <f>G91-F92</f>
        <v>51977300</v>
      </c>
    </row>
    <row r="93" spans="1:7" ht="51" x14ac:dyDescent="0.25">
      <c r="A93" s="154">
        <v>53</v>
      </c>
      <c r="B93" s="152" t="s">
        <v>249</v>
      </c>
      <c r="C93" s="85" t="s">
        <v>248</v>
      </c>
      <c r="D93" s="68" t="s">
        <v>101</v>
      </c>
      <c r="E93" s="62"/>
      <c r="F93" s="38">
        <v>1000000</v>
      </c>
      <c r="G93" s="126">
        <f>G92-F93</f>
        <v>50977300</v>
      </c>
    </row>
    <row r="94" spans="1:7" ht="51" x14ac:dyDescent="0.25">
      <c r="A94" s="154">
        <v>54</v>
      </c>
      <c r="B94" s="152" t="s">
        <v>249</v>
      </c>
      <c r="C94" s="175" t="s">
        <v>256</v>
      </c>
      <c r="D94" s="178" t="s">
        <v>255</v>
      </c>
      <c r="E94" s="62"/>
      <c r="F94" s="38">
        <v>500000</v>
      </c>
      <c r="G94" s="126">
        <f>G93-F94</f>
        <v>50477300</v>
      </c>
    </row>
    <row r="95" spans="1:7" ht="51" x14ac:dyDescent="0.25">
      <c r="A95" s="154">
        <v>55</v>
      </c>
      <c r="B95" s="152" t="s">
        <v>259</v>
      </c>
      <c r="C95" s="85" t="s">
        <v>257</v>
      </c>
      <c r="D95" s="68" t="s">
        <v>258</v>
      </c>
      <c r="E95" s="62"/>
      <c r="F95" s="38">
        <v>2000000</v>
      </c>
      <c r="G95" s="126">
        <f>G94-F95</f>
        <v>48477300</v>
      </c>
    </row>
    <row r="96" spans="1:7" x14ac:dyDescent="0.25">
      <c r="A96" s="154"/>
      <c r="B96" s="152"/>
      <c r="C96" s="85"/>
      <c r="D96" s="68"/>
      <c r="E96" s="62"/>
      <c r="F96" s="38"/>
      <c r="G96" s="126"/>
    </row>
    <row r="97" spans="1:7" x14ac:dyDescent="0.25">
      <c r="A97" s="154"/>
      <c r="B97" s="152"/>
      <c r="C97" s="85"/>
      <c r="D97" s="68"/>
      <c r="E97" s="62"/>
      <c r="F97" s="38"/>
      <c r="G97" s="126"/>
    </row>
    <row r="98" spans="1:7" ht="24" x14ac:dyDescent="0.25">
      <c r="A98" s="154">
        <v>56</v>
      </c>
      <c r="B98" s="152" t="s">
        <v>196</v>
      </c>
      <c r="C98" s="173" t="s">
        <v>195</v>
      </c>
      <c r="D98" s="157"/>
      <c r="E98" s="158">
        <v>5950000</v>
      </c>
      <c r="F98" s="126"/>
      <c r="G98" s="126">
        <f>G95+E98</f>
        <v>54427300</v>
      </c>
    </row>
    <row r="99" spans="1:7" ht="84" customHeight="1" x14ac:dyDescent="0.25">
      <c r="A99" s="154">
        <v>57</v>
      </c>
      <c r="B99" s="152" t="s">
        <v>196</v>
      </c>
      <c r="C99" s="103" t="s">
        <v>198</v>
      </c>
      <c r="D99" s="157" t="s">
        <v>197</v>
      </c>
      <c r="E99" s="125"/>
      <c r="F99" s="126">
        <v>2040000</v>
      </c>
      <c r="G99" s="126">
        <f>G98-F99</f>
        <v>52387300</v>
      </c>
    </row>
    <row r="100" spans="1:7" ht="83.25" customHeight="1" x14ac:dyDescent="0.25">
      <c r="A100" s="154">
        <v>58</v>
      </c>
      <c r="B100" s="152" t="s">
        <v>196</v>
      </c>
      <c r="C100" s="103" t="s">
        <v>200</v>
      </c>
      <c r="D100" s="157" t="s">
        <v>197</v>
      </c>
      <c r="E100" s="125"/>
      <c r="F100" s="126">
        <v>2040000</v>
      </c>
      <c r="G100" s="126">
        <f>G99-F100</f>
        <v>50347300</v>
      </c>
    </row>
    <row r="101" spans="1:7" ht="84.75" customHeight="1" x14ac:dyDescent="0.25">
      <c r="A101" s="154">
        <v>59</v>
      </c>
      <c r="B101" s="152" t="s">
        <v>196</v>
      </c>
      <c r="C101" s="103" t="s">
        <v>199</v>
      </c>
      <c r="D101" s="157" t="s">
        <v>197</v>
      </c>
      <c r="E101" s="125"/>
      <c r="F101" s="126">
        <v>1870000</v>
      </c>
      <c r="G101" s="126">
        <f>G100-F101</f>
        <v>48477300</v>
      </c>
    </row>
    <row r="102" spans="1:7" ht="26.25" customHeight="1" x14ac:dyDescent="0.25">
      <c r="A102" s="154">
        <v>60</v>
      </c>
      <c r="B102" s="152" t="s">
        <v>202</v>
      </c>
      <c r="C102" s="181" t="s">
        <v>201</v>
      </c>
      <c r="D102" s="179"/>
      <c r="E102" s="180">
        <v>1360000</v>
      </c>
      <c r="F102" s="156"/>
      <c r="G102" s="126">
        <f>G101+E102</f>
        <v>49837300</v>
      </c>
    </row>
    <row r="103" spans="1:7" ht="102" x14ac:dyDescent="0.25">
      <c r="A103" s="154">
        <v>61</v>
      </c>
      <c r="B103" s="152" t="s">
        <v>202</v>
      </c>
      <c r="C103" s="103" t="s">
        <v>225</v>
      </c>
      <c r="D103" s="157" t="s">
        <v>204</v>
      </c>
      <c r="E103" s="158"/>
      <c r="F103" s="126">
        <v>1360000</v>
      </c>
      <c r="G103" s="126">
        <f>G102-F103</f>
        <v>48477300</v>
      </c>
    </row>
    <row r="104" spans="1:7" ht="30.75" customHeight="1" x14ac:dyDescent="0.25">
      <c r="A104" s="154">
        <v>62</v>
      </c>
      <c r="B104" s="152" t="s">
        <v>202</v>
      </c>
      <c r="C104" s="181" t="s">
        <v>203</v>
      </c>
      <c r="D104" s="157"/>
      <c r="E104" s="158">
        <v>6800000</v>
      </c>
      <c r="F104" s="126"/>
      <c r="G104" s="126">
        <f>G103+E104</f>
        <v>55277300</v>
      </c>
    </row>
    <row r="105" spans="1:7" ht="108.75" customHeight="1" x14ac:dyDescent="0.25">
      <c r="A105" s="154">
        <v>63</v>
      </c>
      <c r="B105" s="152" t="s">
        <v>202</v>
      </c>
      <c r="C105" s="103" t="s">
        <v>221</v>
      </c>
      <c r="D105" s="157" t="s">
        <v>205</v>
      </c>
      <c r="E105" s="158"/>
      <c r="F105" s="126">
        <v>1700000</v>
      </c>
      <c r="G105" s="126">
        <f>G104-F105</f>
        <v>53577300</v>
      </c>
    </row>
    <row r="106" spans="1:7" ht="109.5" customHeight="1" x14ac:dyDescent="0.25">
      <c r="A106" s="154">
        <v>64</v>
      </c>
      <c r="B106" s="152" t="s">
        <v>202</v>
      </c>
      <c r="C106" s="103" t="s">
        <v>222</v>
      </c>
      <c r="D106" s="154" t="s">
        <v>205</v>
      </c>
      <c r="E106" s="153"/>
      <c r="F106" s="126">
        <v>1700000</v>
      </c>
      <c r="G106" s="126">
        <f>G105-F106</f>
        <v>51877300</v>
      </c>
    </row>
    <row r="107" spans="1:7" ht="97.5" customHeight="1" x14ac:dyDescent="0.25">
      <c r="A107" s="182">
        <v>65</v>
      </c>
      <c r="B107" s="183" t="s">
        <v>202</v>
      </c>
      <c r="C107" s="195" t="s">
        <v>223</v>
      </c>
      <c r="D107" s="182" t="s">
        <v>205</v>
      </c>
      <c r="E107" s="196"/>
      <c r="F107" s="184">
        <v>1700000</v>
      </c>
      <c r="G107" s="184">
        <f>G106-F107</f>
        <v>50177300</v>
      </c>
    </row>
    <row r="108" spans="1:7" ht="102" x14ac:dyDescent="0.25">
      <c r="A108" s="185">
        <v>66</v>
      </c>
      <c r="B108" s="186" t="s">
        <v>202</v>
      </c>
      <c r="C108" s="197" t="s">
        <v>224</v>
      </c>
      <c r="D108" s="185" t="s">
        <v>205</v>
      </c>
      <c r="E108" s="198"/>
      <c r="F108" s="189">
        <v>1700000</v>
      </c>
      <c r="G108" s="189">
        <f>G107-F108</f>
        <v>48477300</v>
      </c>
    </row>
    <row r="109" spans="1:7" ht="17.25" customHeight="1" x14ac:dyDescent="0.25">
      <c r="A109" s="154">
        <v>67</v>
      </c>
      <c r="B109" s="152" t="s">
        <v>206</v>
      </c>
      <c r="C109" s="181" t="s">
        <v>213</v>
      </c>
      <c r="D109" s="154"/>
      <c r="E109" s="153">
        <v>8670000</v>
      </c>
      <c r="F109" s="126"/>
      <c r="G109" s="126">
        <f>G108+E109</f>
        <v>57147300</v>
      </c>
    </row>
    <row r="110" spans="1:7" ht="91.5" customHeight="1" x14ac:dyDescent="0.25">
      <c r="A110" s="154">
        <v>68</v>
      </c>
      <c r="B110" s="152" t="s">
        <v>206</v>
      </c>
      <c r="C110" s="103" t="s">
        <v>214</v>
      </c>
      <c r="D110" s="154" t="s">
        <v>215</v>
      </c>
      <c r="E110" s="153"/>
      <c r="F110" s="126">
        <v>1360000</v>
      </c>
      <c r="G110" s="126">
        <f>G109-F110</f>
        <v>55787300</v>
      </c>
    </row>
    <row r="111" spans="1:7" ht="87" customHeight="1" x14ac:dyDescent="0.25">
      <c r="A111" s="154">
        <v>69</v>
      </c>
      <c r="B111" s="152" t="s">
        <v>206</v>
      </c>
      <c r="C111" s="103" t="s">
        <v>216</v>
      </c>
      <c r="D111" s="154" t="s">
        <v>215</v>
      </c>
      <c r="E111" s="153"/>
      <c r="F111" s="126">
        <v>1360000</v>
      </c>
      <c r="G111" s="126">
        <f>G110-F111</f>
        <v>54427300</v>
      </c>
    </row>
    <row r="112" spans="1:7" ht="95.25" customHeight="1" x14ac:dyDescent="0.25">
      <c r="A112" s="154">
        <v>70</v>
      </c>
      <c r="B112" s="152" t="s">
        <v>206</v>
      </c>
      <c r="C112" s="103" t="s">
        <v>217</v>
      </c>
      <c r="D112" s="154" t="s">
        <v>215</v>
      </c>
      <c r="E112" s="153"/>
      <c r="F112" s="126">
        <v>1360000</v>
      </c>
      <c r="G112" s="126">
        <f t="shared" ref="G112" si="4">G111-F112</f>
        <v>53067300</v>
      </c>
    </row>
    <row r="113" spans="1:7" ht="85.5" customHeight="1" x14ac:dyDescent="0.25">
      <c r="A113" s="154">
        <v>71</v>
      </c>
      <c r="B113" s="152" t="s">
        <v>206</v>
      </c>
      <c r="C113" s="103" t="s">
        <v>218</v>
      </c>
      <c r="D113" s="154" t="s">
        <v>215</v>
      </c>
      <c r="E113" s="153"/>
      <c r="F113" s="126">
        <v>1360000</v>
      </c>
      <c r="G113" s="126">
        <f>G112-F113</f>
        <v>51707300</v>
      </c>
    </row>
    <row r="114" spans="1:7" ht="96.75" customHeight="1" x14ac:dyDescent="0.25">
      <c r="A114" s="154">
        <v>72</v>
      </c>
      <c r="B114" s="152" t="s">
        <v>206</v>
      </c>
      <c r="C114" s="103" t="s">
        <v>219</v>
      </c>
      <c r="D114" s="154" t="s">
        <v>215</v>
      </c>
      <c r="E114" s="153"/>
      <c r="F114" s="126">
        <v>1530000</v>
      </c>
      <c r="G114" s="126">
        <f>G113-F114</f>
        <v>50177300</v>
      </c>
    </row>
    <row r="115" spans="1:7" ht="96" customHeight="1" x14ac:dyDescent="0.25">
      <c r="A115" s="154">
        <v>73</v>
      </c>
      <c r="B115" s="152" t="s">
        <v>206</v>
      </c>
      <c r="C115" s="103" t="s">
        <v>220</v>
      </c>
      <c r="D115" s="154" t="s">
        <v>215</v>
      </c>
      <c r="E115" s="153"/>
      <c r="F115" s="126">
        <v>1700000</v>
      </c>
      <c r="G115" s="126">
        <f>G114-F115</f>
        <v>48477300</v>
      </c>
    </row>
    <row r="116" spans="1:7" ht="15.75" customHeight="1" x14ac:dyDescent="0.25">
      <c r="A116" s="154">
        <v>74</v>
      </c>
      <c r="B116" s="152" t="s">
        <v>206</v>
      </c>
      <c r="C116" s="181" t="s">
        <v>207</v>
      </c>
      <c r="D116" s="154"/>
      <c r="E116" s="153">
        <v>4250000</v>
      </c>
      <c r="F116" s="126"/>
      <c r="G116" s="126">
        <f>G115+E116</f>
        <v>52727300</v>
      </c>
    </row>
    <row r="117" spans="1:7" ht="103.5" customHeight="1" x14ac:dyDescent="0.25">
      <c r="A117" s="154">
        <v>75</v>
      </c>
      <c r="B117" s="152" t="s">
        <v>206</v>
      </c>
      <c r="C117" s="103" t="s">
        <v>208</v>
      </c>
      <c r="D117" s="157" t="s">
        <v>181</v>
      </c>
      <c r="E117" s="125"/>
      <c r="F117" s="126">
        <v>1020000</v>
      </c>
      <c r="G117" s="126">
        <f>G116-F117</f>
        <v>51707300</v>
      </c>
    </row>
    <row r="118" spans="1:7" ht="105" customHeight="1" x14ac:dyDescent="0.25">
      <c r="A118" s="154">
        <v>76</v>
      </c>
      <c r="B118" s="152" t="s">
        <v>206</v>
      </c>
      <c r="C118" s="103" t="s">
        <v>209</v>
      </c>
      <c r="D118" s="157" t="s">
        <v>181</v>
      </c>
      <c r="E118" s="125"/>
      <c r="F118" s="126">
        <v>1020000</v>
      </c>
      <c r="G118" s="126">
        <f>G117-F118</f>
        <v>50687300</v>
      </c>
    </row>
    <row r="119" spans="1:7" ht="105.75" customHeight="1" x14ac:dyDescent="0.25">
      <c r="A119" s="154">
        <v>77</v>
      </c>
      <c r="B119" s="152" t="s">
        <v>206</v>
      </c>
      <c r="C119" s="103" t="s">
        <v>210</v>
      </c>
      <c r="D119" s="157" t="s">
        <v>181</v>
      </c>
      <c r="E119" s="125"/>
      <c r="F119" s="126">
        <v>1020000</v>
      </c>
      <c r="G119" s="126">
        <f>G118-F119</f>
        <v>49667300</v>
      </c>
    </row>
    <row r="120" spans="1:7" ht="107.25" customHeight="1" x14ac:dyDescent="0.25">
      <c r="A120" s="182">
        <v>78</v>
      </c>
      <c r="B120" s="183" t="s">
        <v>206</v>
      </c>
      <c r="C120" s="195" t="s">
        <v>211</v>
      </c>
      <c r="D120" s="199" t="s">
        <v>181</v>
      </c>
      <c r="E120" s="191"/>
      <c r="F120" s="184">
        <v>510000</v>
      </c>
      <c r="G120" s="184">
        <f t="shared" ref="G120" si="5">G119-F120</f>
        <v>49157300</v>
      </c>
    </row>
    <row r="121" spans="1:7" ht="107.25" customHeight="1" x14ac:dyDescent="0.25">
      <c r="A121" s="185">
        <v>79</v>
      </c>
      <c r="B121" s="186" t="s">
        <v>206</v>
      </c>
      <c r="C121" s="197" t="s">
        <v>212</v>
      </c>
      <c r="D121" s="200" t="s">
        <v>181</v>
      </c>
      <c r="E121" s="194"/>
      <c r="F121" s="189">
        <v>680000</v>
      </c>
      <c r="G121" s="189">
        <f>G120-F121</f>
        <v>48477300</v>
      </c>
    </row>
    <row r="122" spans="1:7" ht="66.75" customHeight="1" x14ac:dyDescent="0.25">
      <c r="A122" s="154">
        <v>80</v>
      </c>
      <c r="B122" s="152" t="s">
        <v>226</v>
      </c>
      <c r="C122" s="63" t="s">
        <v>260</v>
      </c>
      <c r="D122" s="87" t="s">
        <v>122</v>
      </c>
      <c r="E122" s="126"/>
      <c r="F122" s="126">
        <v>4255600</v>
      </c>
      <c r="G122" s="126">
        <f t="shared" ref="G122:G134" si="6">G121-F122</f>
        <v>44221700</v>
      </c>
    </row>
    <row r="123" spans="1:7" ht="66" customHeight="1" x14ac:dyDescent="0.25">
      <c r="A123" s="154">
        <v>81</v>
      </c>
      <c r="B123" s="152" t="s">
        <v>226</v>
      </c>
      <c r="C123" s="63" t="s">
        <v>261</v>
      </c>
      <c r="D123" s="87" t="s">
        <v>122</v>
      </c>
      <c r="E123" s="126"/>
      <c r="F123" s="126">
        <v>564400</v>
      </c>
      <c r="G123" s="126">
        <f t="shared" si="6"/>
        <v>43657300</v>
      </c>
    </row>
    <row r="124" spans="1:7" ht="70.5" customHeight="1" x14ac:dyDescent="0.25">
      <c r="A124" s="154">
        <v>82</v>
      </c>
      <c r="B124" s="152" t="s">
        <v>226</v>
      </c>
      <c r="C124" s="63" t="s">
        <v>260</v>
      </c>
      <c r="D124" s="87" t="s">
        <v>122</v>
      </c>
      <c r="E124" s="126"/>
      <c r="F124" s="126">
        <v>2572400</v>
      </c>
      <c r="G124" s="126">
        <f t="shared" si="6"/>
        <v>41084900</v>
      </c>
    </row>
    <row r="125" spans="1:7" ht="75" customHeight="1" x14ac:dyDescent="0.25">
      <c r="A125" s="154">
        <v>83</v>
      </c>
      <c r="B125" s="152" t="s">
        <v>226</v>
      </c>
      <c r="C125" s="63" t="s">
        <v>262</v>
      </c>
      <c r="D125" s="87" t="s">
        <v>122</v>
      </c>
      <c r="E125" s="126"/>
      <c r="F125" s="126">
        <v>1696800</v>
      </c>
      <c r="G125" s="126">
        <f t="shared" si="6"/>
        <v>39388100</v>
      </c>
    </row>
    <row r="126" spans="1:7" ht="75.75" customHeight="1" x14ac:dyDescent="0.25">
      <c r="A126" s="154">
        <v>84</v>
      </c>
      <c r="B126" s="152" t="s">
        <v>226</v>
      </c>
      <c r="C126" s="63" t="s">
        <v>260</v>
      </c>
      <c r="D126" s="87" t="s">
        <v>122</v>
      </c>
      <c r="E126" s="126"/>
      <c r="F126" s="126">
        <v>1364400</v>
      </c>
      <c r="G126" s="126">
        <f t="shared" si="6"/>
        <v>38023700</v>
      </c>
    </row>
    <row r="127" spans="1:7" ht="17.25" customHeight="1" x14ac:dyDescent="0.25">
      <c r="A127" s="154">
        <v>85</v>
      </c>
      <c r="B127" s="152" t="s">
        <v>226</v>
      </c>
      <c r="C127" s="181" t="s">
        <v>233</v>
      </c>
      <c r="D127" s="154"/>
      <c r="E127" s="153">
        <v>8160000</v>
      </c>
      <c r="F127" s="126"/>
      <c r="G127" s="126">
        <f>G126+E127</f>
        <v>46183700</v>
      </c>
    </row>
    <row r="128" spans="1:7" ht="111" customHeight="1" x14ac:dyDescent="0.25">
      <c r="A128" s="154">
        <v>86</v>
      </c>
      <c r="B128" s="152" t="s">
        <v>226</v>
      </c>
      <c r="C128" s="103" t="s">
        <v>238</v>
      </c>
      <c r="D128" s="157" t="s">
        <v>362</v>
      </c>
      <c r="E128" s="125"/>
      <c r="F128" s="126">
        <v>850000</v>
      </c>
      <c r="G128" s="126">
        <f t="shared" si="6"/>
        <v>45333700</v>
      </c>
    </row>
    <row r="129" spans="1:7" ht="105.75" customHeight="1" x14ac:dyDescent="0.25">
      <c r="A129" s="154">
        <v>87</v>
      </c>
      <c r="B129" s="152" t="s">
        <v>226</v>
      </c>
      <c r="C129" s="103" t="s">
        <v>237</v>
      </c>
      <c r="D129" s="157" t="s">
        <v>362</v>
      </c>
      <c r="E129" s="125"/>
      <c r="F129" s="126">
        <v>850000</v>
      </c>
      <c r="G129" s="126">
        <f t="shared" si="6"/>
        <v>44483700</v>
      </c>
    </row>
    <row r="130" spans="1:7" ht="105.75" customHeight="1" x14ac:dyDescent="0.25">
      <c r="A130" s="154">
        <v>88</v>
      </c>
      <c r="B130" s="152" t="s">
        <v>226</v>
      </c>
      <c r="C130" s="103" t="s">
        <v>236</v>
      </c>
      <c r="D130" s="157" t="s">
        <v>362</v>
      </c>
      <c r="E130" s="125"/>
      <c r="F130" s="126">
        <v>850000</v>
      </c>
      <c r="G130" s="126">
        <f t="shared" si="6"/>
        <v>43633700</v>
      </c>
    </row>
    <row r="131" spans="1:7" ht="106.5" customHeight="1" x14ac:dyDescent="0.25">
      <c r="A131" s="154">
        <v>89</v>
      </c>
      <c r="B131" s="152" t="s">
        <v>226</v>
      </c>
      <c r="C131" s="103" t="s">
        <v>235</v>
      </c>
      <c r="D131" s="157" t="s">
        <v>362</v>
      </c>
      <c r="E131" s="125"/>
      <c r="F131" s="126">
        <v>850000</v>
      </c>
      <c r="G131" s="126">
        <f>G130-F131</f>
        <v>42783700</v>
      </c>
    </row>
    <row r="132" spans="1:7" ht="106.5" customHeight="1" x14ac:dyDescent="0.25">
      <c r="A132" s="154">
        <v>90</v>
      </c>
      <c r="B132" s="152" t="s">
        <v>226</v>
      </c>
      <c r="C132" s="103" t="s">
        <v>234</v>
      </c>
      <c r="D132" s="157" t="s">
        <v>362</v>
      </c>
      <c r="E132" s="125"/>
      <c r="F132" s="126">
        <v>680000</v>
      </c>
      <c r="G132" s="126">
        <f>G131-F132</f>
        <v>42103700</v>
      </c>
    </row>
    <row r="133" spans="1:7" ht="114" customHeight="1" x14ac:dyDescent="0.25">
      <c r="A133" s="182">
        <v>91</v>
      </c>
      <c r="B133" s="183" t="s">
        <v>226</v>
      </c>
      <c r="C133" s="195" t="s">
        <v>242</v>
      </c>
      <c r="D133" s="199" t="s">
        <v>362</v>
      </c>
      <c r="E133" s="191"/>
      <c r="F133" s="201">
        <v>1020000</v>
      </c>
      <c r="G133" s="191">
        <f>G132-F133</f>
        <v>41083700</v>
      </c>
    </row>
    <row r="134" spans="1:7" ht="110.25" customHeight="1" x14ac:dyDescent="0.25">
      <c r="A134" s="185">
        <v>92</v>
      </c>
      <c r="B134" s="186" t="s">
        <v>226</v>
      </c>
      <c r="C134" s="197" t="s">
        <v>239</v>
      </c>
      <c r="D134" s="200" t="s">
        <v>362</v>
      </c>
      <c r="E134" s="194"/>
      <c r="F134" s="189">
        <v>1360000</v>
      </c>
      <c r="G134" s="189">
        <f t="shared" si="6"/>
        <v>39723700</v>
      </c>
    </row>
    <row r="135" spans="1:7" ht="111.75" customHeight="1" x14ac:dyDescent="0.25">
      <c r="A135" s="154">
        <v>93</v>
      </c>
      <c r="B135" s="152" t="s">
        <v>226</v>
      </c>
      <c r="C135" s="103" t="s">
        <v>240</v>
      </c>
      <c r="D135" s="157" t="s">
        <v>362</v>
      </c>
      <c r="E135" s="125"/>
      <c r="F135" s="126">
        <v>680000</v>
      </c>
      <c r="G135" s="126">
        <f>G134-F135</f>
        <v>39043700</v>
      </c>
    </row>
    <row r="136" spans="1:7" ht="111.75" customHeight="1" x14ac:dyDescent="0.25">
      <c r="A136" s="154">
        <v>94</v>
      </c>
      <c r="B136" s="152" t="s">
        <v>226</v>
      </c>
      <c r="C136" s="103" t="s">
        <v>241</v>
      </c>
      <c r="D136" s="157" t="s">
        <v>362</v>
      </c>
      <c r="E136" s="125"/>
      <c r="F136" s="126">
        <v>1020000</v>
      </c>
      <c r="G136" s="126">
        <f>G135-F136</f>
        <v>38023700</v>
      </c>
    </row>
    <row r="137" spans="1:7" ht="18.75" customHeight="1" x14ac:dyDescent="0.25">
      <c r="A137" s="154">
        <v>95</v>
      </c>
      <c r="B137" s="152" t="s">
        <v>226</v>
      </c>
      <c r="C137" s="181" t="s">
        <v>231</v>
      </c>
      <c r="D137" s="154"/>
      <c r="E137" s="153">
        <v>38080000</v>
      </c>
      <c r="F137" s="126"/>
      <c r="G137" s="126">
        <f>G136+E137</f>
        <v>76103700</v>
      </c>
    </row>
    <row r="138" spans="1:7" ht="96" customHeight="1" x14ac:dyDescent="0.25">
      <c r="A138" s="154">
        <v>96</v>
      </c>
      <c r="B138" s="152" t="s">
        <v>226</v>
      </c>
      <c r="C138" s="103" t="s">
        <v>228</v>
      </c>
      <c r="D138" s="154" t="s">
        <v>215</v>
      </c>
      <c r="E138" s="126"/>
      <c r="F138" s="126">
        <v>7480000</v>
      </c>
      <c r="G138" s="126">
        <f>G137-F138</f>
        <v>68623700</v>
      </c>
    </row>
    <row r="139" spans="1:7" ht="99" customHeight="1" x14ac:dyDescent="0.25">
      <c r="A139" s="154">
        <v>97</v>
      </c>
      <c r="B139" s="152" t="s">
        <v>226</v>
      </c>
      <c r="C139" s="103" t="s">
        <v>227</v>
      </c>
      <c r="D139" s="154" t="s">
        <v>215</v>
      </c>
      <c r="E139" s="126"/>
      <c r="F139" s="126">
        <v>7820000</v>
      </c>
      <c r="G139" s="126">
        <f t="shared" ref="G139:G142" si="7">G138-F139</f>
        <v>60803700</v>
      </c>
    </row>
    <row r="140" spans="1:7" ht="93" customHeight="1" x14ac:dyDescent="0.25">
      <c r="A140" s="154">
        <v>98</v>
      </c>
      <c r="B140" s="152" t="s">
        <v>226</v>
      </c>
      <c r="C140" s="103" t="s">
        <v>229</v>
      </c>
      <c r="D140" s="154" t="s">
        <v>215</v>
      </c>
      <c r="E140" s="126"/>
      <c r="F140" s="126">
        <v>7480000</v>
      </c>
      <c r="G140" s="126">
        <f t="shared" si="7"/>
        <v>53323700</v>
      </c>
    </row>
    <row r="141" spans="1:7" ht="95.25" customHeight="1" x14ac:dyDescent="0.25">
      <c r="A141" s="154">
        <v>99</v>
      </c>
      <c r="B141" s="152" t="s">
        <v>226</v>
      </c>
      <c r="C141" s="103" t="s">
        <v>230</v>
      </c>
      <c r="D141" s="154" t="s">
        <v>215</v>
      </c>
      <c r="E141" s="126"/>
      <c r="F141" s="126">
        <v>7820000</v>
      </c>
      <c r="G141" s="126">
        <f t="shared" si="7"/>
        <v>45503700</v>
      </c>
    </row>
    <row r="142" spans="1:7" ht="96.75" customHeight="1" x14ac:dyDescent="0.25">
      <c r="A142" s="154">
        <v>100</v>
      </c>
      <c r="B142" s="152" t="s">
        <v>226</v>
      </c>
      <c r="C142" s="103" t="s">
        <v>232</v>
      </c>
      <c r="D142" s="154" t="s">
        <v>215</v>
      </c>
      <c r="E142" s="126"/>
      <c r="F142" s="126">
        <v>7480000</v>
      </c>
      <c r="G142" s="126">
        <f t="shared" si="7"/>
        <v>38023700</v>
      </c>
    </row>
    <row r="143" spans="1:7" ht="73.5" customHeight="1" x14ac:dyDescent="0.25">
      <c r="A143" s="154">
        <v>101</v>
      </c>
      <c r="B143" s="152" t="s">
        <v>250</v>
      </c>
      <c r="C143" s="103" t="s">
        <v>251</v>
      </c>
      <c r="D143" s="154" t="s">
        <v>102</v>
      </c>
      <c r="E143" s="126"/>
      <c r="F143" s="126">
        <v>3440000</v>
      </c>
      <c r="G143" s="126">
        <f>G142-F143</f>
        <v>34583700</v>
      </c>
    </row>
    <row r="144" spans="1:7" ht="57" customHeight="1" x14ac:dyDescent="0.25">
      <c r="A144" s="154">
        <v>102</v>
      </c>
      <c r="B144" s="152" t="s">
        <v>289</v>
      </c>
      <c r="C144" s="85" t="s">
        <v>290</v>
      </c>
      <c r="D144" s="82" t="s">
        <v>291</v>
      </c>
      <c r="E144" s="125"/>
      <c r="F144" s="126">
        <v>1650000</v>
      </c>
      <c r="G144" s="126">
        <f t="shared" ref="G144" si="8">G143-F144</f>
        <v>32933700</v>
      </c>
    </row>
    <row r="145" spans="1:11" ht="57" customHeight="1" x14ac:dyDescent="0.25">
      <c r="A145" s="154">
        <v>103</v>
      </c>
      <c r="B145" s="152" t="s">
        <v>289</v>
      </c>
      <c r="C145" s="85" t="s">
        <v>305</v>
      </c>
      <c r="D145" s="82" t="s">
        <v>304</v>
      </c>
      <c r="E145" s="125"/>
      <c r="F145" s="126">
        <v>1600000</v>
      </c>
      <c r="G145" s="126">
        <f>G144-F145</f>
        <v>31333700</v>
      </c>
    </row>
    <row r="146" spans="1:11" ht="20.25" customHeight="1" x14ac:dyDescent="0.25">
      <c r="A146" s="154">
        <v>104</v>
      </c>
      <c r="B146" s="152" t="s">
        <v>243</v>
      </c>
      <c r="C146" s="181" t="s">
        <v>244</v>
      </c>
      <c r="D146" s="154"/>
      <c r="E146" s="153">
        <v>4968000</v>
      </c>
      <c r="F146" s="126"/>
      <c r="G146" s="126">
        <f>G145+E146</f>
        <v>36301700</v>
      </c>
    </row>
    <row r="147" spans="1:11" ht="66.75" customHeight="1" x14ac:dyDescent="0.25">
      <c r="A147" s="154">
        <v>105</v>
      </c>
      <c r="B147" s="152" t="s">
        <v>243</v>
      </c>
      <c r="C147" s="85" t="s">
        <v>246</v>
      </c>
      <c r="D147" s="174" t="s">
        <v>245</v>
      </c>
      <c r="E147" s="126"/>
      <c r="F147" s="126">
        <v>4968000</v>
      </c>
      <c r="G147" s="126">
        <f t="shared" ref="G147:G155" si="9">G146-F147</f>
        <v>31333700</v>
      </c>
    </row>
    <row r="148" spans="1:11" ht="73.5" customHeight="1" x14ac:dyDescent="0.25">
      <c r="A148" s="154">
        <v>106</v>
      </c>
      <c r="B148" s="152" t="s">
        <v>267</v>
      </c>
      <c r="C148" s="63" t="s">
        <v>268</v>
      </c>
      <c r="D148" s="87" t="s">
        <v>125</v>
      </c>
      <c r="E148" s="126"/>
      <c r="F148" s="126">
        <v>985000</v>
      </c>
      <c r="G148" s="126">
        <f t="shared" si="9"/>
        <v>30348700</v>
      </c>
    </row>
    <row r="149" spans="1:11" ht="81.75" customHeight="1" x14ac:dyDescent="0.25">
      <c r="A149" s="154">
        <v>107</v>
      </c>
      <c r="B149" s="152" t="s">
        <v>267</v>
      </c>
      <c r="C149" s="103" t="s">
        <v>363</v>
      </c>
      <c r="D149" s="66" t="s">
        <v>306</v>
      </c>
      <c r="E149" s="126"/>
      <c r="F149" s="126">
        <v>1720000</v>
      </c>
      <c r="G149" s="126">
        <f t="shared" si="9"/>
        <v>28628700</v>
      </c>
    </row>
    <row r="150" spans="1:11" ht="57" customHeight="1" x14ac:dyDescent="0.25">
      <c r="A150" s="154">
        <v>108</v>
      </c>
      <c r="B150" s="152" t="s">
        <v>348</v>
      </c>
      <c r="C150" s="85" t="s">
        <v>351</v>
      </c>
      <c r="D150" s="82" t="s">
        <v>349</v>
      </c>
      <c r="E150" s="125"/>
      <c r="F150" s="126">
        <v>625000</v>
      </c>
      <c r="G150" s="126">
        <f t="shared" si="9"/>
        <v>28003700</v>
      </c>
    </row>
    <row r="151" spans="1:11" ht="67.5" customHeight="1" x14ac:dyDescent="0.25">
      <c r="A151" s="154">
        <v>109</v>
      </c>
      <c r="B151" s="152" t="s">
        <v>348</v>
      </c>
      <c r="C151" s="85" t="s">
        <v>352</v>
      </c>
      <c r="D151" s="82" t="s">
        <v>350</v>
      </c>
      <c r="E151" s="125"/>
      <c r="F151" s="126">
        <v>921700</v>
      </c>
      <c r="G151" s="126">
        <f t="shared" si="9"/>
        <v>27082000</v>
      </c>
    </row>
    <row r="152" spans="1:11" ht="56.25" customHeight="1" x14ac:dyDescent="0.25">
      <c r="A152" s="154">
        <v>110</v>
      </c>
      <c r="B152" s="152" t="s">
        <v>348</v>
      </c>
      <c r="C152" s="85" t="s">
        <v>358</v>
      </c>
      <c r="D152" s="82" t="s">
        <v>353</v>
      </c>
      <c r="E152" s="125"/>
      <c r="F152" s="126">
        <v>849800</v>
      </c>
      <c r="G152" s="126">
        <f t="shared" si="9"/>
        <v>26232200</v>
      </c>
    </row>
    <row r="153" spans="1:11" ht="54.75" customHeight="1" x14ac:dyDescent="0.25">
      <c r="A153" s="154">
        <v>111</v>
      </c>
      <c r="B153" s="152" t="s">
        <v>348</v>
      </c>
      <c r="C153" s="85" t="s">
        <v>359</v>
      </c>
      <c r="D153" s="82" t="s">
        <v>355</v>
      </c>
      <c r="E153" s="125"/>
      <c r="F153" s="126">
        <v>367700</v>
      </c>
      <c r="G153" s="126">
        <f t="shared" si="9"/>
        <v>25864500</v>
      </c>
    </row>
    <row r="154" spans="1:11" ht="61.5" customHeight="1" x14ac:dyDescent="0.25">
      <c r="A154" s="154">
        <v>112</v>
      </c>
      <c r="B154" s="152" t="s">
        <v>348</v>
      </c>
      <c r="C154" s="85" t="s">
        <v>360</v>
      </c>
      <c r="D154" s="82" t="s">
        <v>356</v>
      </c>
      <c r="E154" s="125"/>
      <c r="F154" s="126">
        <v>1000500</v>
      </c>
      <c r="G154" s="126">
        <f t="shared" si="9"/>
        <v>24864000</v>
      </c>
    </row>
    <row r="155" spans="1:11" ht="60" customHeight="1" x14ac:dyDescent="0.25">
      <c r="A155" s="154">
        <v>113</v>
      </c>
      <c r="B155" s="152" t="s">
        <v>348</v>
      </c>
      <c r="C155" s="85" t="s">
        <v>354</v>
      </c>
      <c r="D155" s="82" t="s">
        <v>357</v>
      </c>
      <c r="E155" s="125"/>
      <c r="F155" s="125">
        <v>458000</v>
      </c>
      <c r="G155" s="126">
        <f t="shared" si="9"/>
        <v>24406000</v>
      </c>
    </row>
    <row r="156" spans="1:11" x14ac:dyDescent="0.25">
      <c r="A156" s="154"/>
      <c r="B156" s="70"/>
      <c r="C156" s="127"/>
      <c r="D156" s="128"/>
      <c r="E156" s="129"/>
      <c r="F156" s="130"/>
      <c r="G156" s="124"/>
    </row>
    <row r="157" spans="1:11" x14ac:dyDescent="0.25">
      <c r="A157" s="131"/>
      <c r="B157" s="132"/>
      <c r="C157" s="133" t="s">
        <v>40</v>
      </c>
      <c r="D157" s="128"/>
      <c r="E157" s="128">
        <f>SUM(E9:E156)</f>
        <v>280871381</v>
      </c>
      <c r="F157" s="128">
        <f>SUM(F9:F156)</f>
        <v>256465381</v>
      </c>
      <c r="G157" s="134">
        <f>E157-F157</f>
        <v>24406000</v>
      </c>
    </row>
    <row r="158" spans="1:11" x14ac:dyDescent="0.25">
      <c r="A158" s="131"/>
      <c r="B158" s="132"/>
      <c r="C158" s="135" t="s">
        <v>41</v>
      </c>
      <c r="D158" s="136"/>
      <c r="E158" s="134">
        <f>E157</f>
        <v>280871381</v>
      </c>
      <c r="F158" s="137">
        <f>F157+F156</f>
        <v>256465381</v>
      </c>
      <c r="G158" s="134">
        <f>E158-F158</f>
        <v>24406000</v>
      </c>
      <c r="K158" s="1"/>
    </row>
    <row r="159" spans="1:11" x14ac:dyDescent="0.25">
      <c r="A159" s="138" t="s">
        <v>192</v>
      </c>
      <c r="B159" s="139"/>
      <c r="C159" s="140"/>
      <c r="D159" s="141"/>
      <c r="E159" s="142"/>
      <c r="F159" s="142"/>
      <c r="G159" s="142"/>
    </row>
    <row r="160" spans="1:11" x14ac:dyDescent="0.25">
      <c r="A160" s="138" t="s">
        <v>361</v>
      </c>
      <c r="B160" s="143"/>
      <c r="C160" s="144"/>
      <c r="D160" s="145"/>
      <c r="E160" s="145"/>
      <c r="F160" s="145"/>
      <c r="G160" s="145"/>
      <c r="K160" s="2"/>
    </row>
    <row r="161" spans="1:11" x14ac:dyDescent="0.25">
      <c r="A161" s="82"/>
      <c r="B161" s="143"/>
      <c r="C161" s="144"/>
      <c r="D161" s="145"/>
      <c r="E161" s="145"/>
      <c r="F161" s="145"/>
      <c r="G161" s="145"/>
      <c r="K161" s="2"/>
    </row>
    <row r="162" spans="1:11" x14ac:dyDescent="0.25">
      <c r="A162" s="82"/>
      <c r="B162" s="81"/>
      <c r="C162" s="114"/>
      <c r="D162" s="146"/>
      <c r="E162" s="146"/>
      <c r="F162" s="146"/>
      <c r="G162" s="146"/>
      <c r="K162" s="2"/>
    </row>
    <row r="163" spans="1:11" x14ac:dyDescent="0.25">
      <c r="A163" s="82"/>
      <c r="B163" s="82"/>
      <c r="C163" s="147" t="s">
        <v>42</v>
      </c>
      <c r="D163" s="148" t="s">
        <v>43</v>
      </c>
      <c r="E163" s="148">
        <v>4334300</v>
      </c>
      <c r="F163" s="148"/>
      <c r="G163" s="148"/>
      <c r="K163" s="2"/>
    </row>
    <row r="164" spans="1:11" x14ac:dyDescent="0.25">
      <c r="A164" s="82"/>
      <c r="B164" s="82"/>
      <c r="C164" s="147" t="s">
        <v>44</v>
      </c>
      <c r="D164" s="148" t="s">
        <v>45</v>
      </c>
      <c r="E164" s="148">
        <v>20071700</v>
      </c>
      <c r="F164" s="148"/>
      <c r="G164" s="148"/>
      <c r="K164" s="2"/>
    </row>
    <row r="165" spans="1:11" x14ac:dyDescent="0.25">
      <c r="A165" s="82"/>
      <c r="B165" s="82"/>
      <c r="C165" s="147"/>
      <c r="D165" s="149" t="s">
        <v>46</v>
      </c>
      <c r="E165" s="149">
        <f>E164+E163</f>
        <v>24406000</v>
      </c>
      <c r="F165" s="148"/>
      <c r="G165" s="148"/>
      <c r="K165" s="2"/>
    </row>
    <row r="166" spans="1:11" x14ac:dyDescent="0.25">
      <c r="A166" s="82"/>
      <c r="B166" s="82"/>
      <c r="C166" s="114"/>
      <c r="D166" s="148"/>
      <c r="E166" s="148"/>
      <c r="F166" s="148"/>
      <c r="G166" s="148"/>
      <c r="K166" s="2"/>
    </row>
    <row r="167" spans="1:11" x14ac:dyDescent="0.25">
      <c r="A167" s="82"/>
      <c r="B167" s="82"/>
      <c r="C167" s="147"/>
      <c r="D167" s="148"/>
      <c r="E167" s="148" t="s">
        <v>191</v>
      </c>
      <c r="F167" s="148"/>
      <c r="G167" s="148"/>
      <c r="K167" s="2"/>
    </row>
    <row r="168" spans="1:11" x14ac:dyDescent="0.25">
      <c r="A168" s="82"/>
      <c r="B168" s="82" t="s">
        <v>61</v>
      </c>
      <c r="C168" s="147"/>
      <c r="D168" s="148"/>
      <c r="E168" s="274" t="s">
        <v>47</v>
      </c>
      <c r="F168" s="274"/>
      <c r="G168" s="148"/>
      <c r="K168" s="2"/>
    </row>
    <row r="169" spans="1:11" x14ac:dyDescent="0.25">
      <c r="A169" s="82"/>
      <c r="B169" s="82"/>
      <c r="C169" s="147"/>
      <c r="D169" s="148"/>
      <c r="E169" s="148"/>
      <c r="F169" s="148"/>
      <c r="G169" s="148"/>
      <c r="K169" s="2"/>
    </row>
    <row r="170" spans="1:11" x14ac:dyDescent="0.25">
      <c r="A170" s="82"/>
      <c r="B170" s="82"/>
      <c r="C170" s="147"/>
      <c r="D170" s="148"/>
      <c r="E170" s="148"/>
      <c r="F170" s="148"/>
      <c r="G170" s="148"/>
    </row>
    <row r="171" spans="1:11" x14ac:dyDescent="0.25">
      <c r="A171" s="82"/>
      <c r="B171" s="82"/>
      <c r="C171" s="147"/>
      <c r="D171" s="148"/>
      <c r="E171" s="148"/>
      <c r="F171" s="148"/>
      <c r="G171" s="148"/>
    </row>
    <row r="172" spans="1:11" x14ac:dyDescent="0.25">
      <c r="A172" s="82"/>
      <c r="B172" s="82"/>
      <c r="C172" s="114"/>
      <c r="D172" s="148"/>
      <c r="E172" s="148"/>
      <c r="F172" s="148"/>
      <c r="G172" s="148"/>
    </row>
    <row r="173" spans="1:11" x14ac:dyDescent="0.25">
      <c r="A173" s="82"/>
      <c r="B173" s="150" t="s">
        <v>64</v>
      </c>
      <c r="C173" s="114"/>
      <c r="D173" s="148"/>
      <c r="E173" s="151" t="s">
        <v>69</v>
      </c>
      <c r="F173" s="151"/>
      <c r="G173" s="148"/>
    </row>
    <row r="174" spans="1:11" x14ac:dyDescent="0.25">
      <c r="A174" s="80"/>
      <c r="B174" s="82" t="s">
        <v>65</v>
      </c>
      <c r="C174" s="114"/>
      <c r="D174" s="148"/>
      <c r="E174" s="148" t="s">
        <v>70</v>
      </c>
      <c r="F174" s="148"/>
      <c r="G174" s="148"/>
    </row>
  </sheetData>
  <mergeCells count="3">
    <mergeCell ref="E168:F168"/>
    <mergeCell ref="A2:G2"/>
    <mergeCell ref="A3:G3"/>
  </mergeCells>
  <pageMargins left="0.70866141732283472" right="0.70866141732283472" top="0.74803149606299213" bottom="0.74803149606299213" header="0.31496062992125984" footer="0.31496062992125984"/>
  <pageSetup scale="6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B157"/>
  <sheetViews>
    <sheetView topLeftCell="A43" workbookViewId="0">
      <selection activeCell="C47" sqref="C47"/>
    </sheetView>
  </sheetViews>
  <sheetFormatPr defaultRowHeight="15" x14ac:dyDescent="0.25"/>
  <cols>
    <col min="1" max="1" width="2.7109375" style="2" customWidth="1"/>
    <col min="2" max="2" width="9.7109375" customWidth="1"/>
    <col min="3" max="3" width="62.7109375" customWidth="1"/>
    <col min="4" max="4" width="28.28515625" customWidth="1"/>
    <col min="5" max="5" width="15" customWidth="1"/>
    <col min="6" max="6" width="14.140625" customWidth="1"/>
    <col min="7" max="7" width="15.7109375" customWidth="1"/>
    <col min="10" max="10" width="17.7109375" customWidth="1"/>
  </cols>
  <sheetData>
    <row r="1" spans="1:10" x14ac:dyDescent="0.25">
      <c r="A1"/>
    </row>
    <row r="2" spans="1:10" x14ac:dyDescent="0.25">
      <c r="A2" s="275" t="s">
        <v>0</v>
      </c>
      <c r="B2" s="275"/>
      <c r="C2" s="275"/>
      <c r="D2" s="275"/>
      <c r="E2" s="275"/>
      <c r="F2" s="275"/>
      <c r="G2" s="275"/>
    </row>
    <row r="3" spans="1:10" x14ac:dyDescent="0.25">
      <c r="A3" s="275" t="s">
        <v>1</v>
      </c>
      <c r="B3" s="275"/>
      <c r="C3" s="275"/>
      <c r="D3" s="275"/>
      <c r="E3" s="275"/>
      <c r="F3" s="275"/>
      <c r="G3" s="275"/>
      <c r="J3" s="2"/>
    </row>
    <row r="4" spans="1:10" x14ac:dyDescent="0.25">
      <c r="A4" s="109"/>
      <c r="B4" s="110"/>
      <c r="C4" s="111"/>
      <c r="D4" s="112"/>
      <c r="E4" s="112"/>
      <c r="F4" s="112"/>
      <c r="G4" s="112"/>
      <c r="J4" s="2"/>
    </row>
    <row r="5" spans="1:10" ht="22.5" customHeight="1" x14ac:dyDescent="0.25">
      <c r="A5" s="113" t="s">
        <v>2</v>
      </c>
      <c r="B5" s="113"/>
      <c r="C5" s="111" t="s">
        <v>164</v>
      </c>
      <c r="D5" s="112"/>
      <c r="E5" s="112"/>
      <c r="F5" s="112"/>
      <c r="G5" s="112"/>
      <c r="J5" s="2"/>
    </row>
    <row r="6" spans="1:10" x14ac:dyDescent="0.25">
      <c r="A6" s="80"/>
      <c r="B6" s="82"/>
      <c r="C6" s="114"/>
      <c r="D6" s="115"/>
      <c r="E6" s="115"/>
      <c r="F6" s="115"/>
      <c r="G6" s="115"/>
      <c r="J6" s="2"/>
    </row>
    <row r="7" spans="1:10" x14ac:dyDescent="0.25">
      <c r="A7" s="116" t="s">
        <v>3</v>
      </c>
      <c r="B7" s="117" t="s">
        <v>4</v>
      </c>
      <c r="C7" s="118" t="s">
        <v>5</v>
      </c>
      <c r="D7" s="119" t="s">
        <v>6</v>
      </c>
      <c r="E7" s="119" t="s">
        <v>7</v>
      </c>
      <c r="F7" s="119" t="s">
        <v>8</v>
      </c>
      <c r="G7" s="119" t="s">
        <v>9</v>
      </c>
      <c r="J7" s="2"/>
    </row>
    <row r="8" spans="1:10" x14ac:dyDescent="0.25">
      <c r="A8" s="120">
        <v>1</v>
      </c>
      <c r="B8" s="121">
        <v>2</v>
      </c>
      <c r="C8" s="121">
        <v>3</v>
      </c>
      <c r="D8" s="121">
        <v>4</v>
      </c>
      <c r="E8" s="121">
        <v>5</v>
      </c>
      <c r="F8" s="121">
        <v>6</v>
      </c>
      <c r="G8" s="121">
        <v>7</v>
      </c>
      <c r="J8" s="2"/>
    </row>
    <row r="9" spans="1:10" ht="21" customHeight="1" x14ac:dyDescent="0.25">
      <c r="A9" s="122"/>
      <c r="B9" s="123"/>
      <c r="C9" s="85" t="s">
        <v>10</v>
      </c>
      <c r="D9" s="91"/>
      <c r="E9" s="124">
        <v>24406000</v>
      </c>
      <c r="F9" s="124"/>
      <c r="G9" s="166">
        <f>E9</f>
        <v>24406000</v>
      </c>
      <c r="J9" s="2"/>
    </row>
    <row r="10" spans="1:10" x14ac:dyDescent="0.25">
      <c r="A10" s="159">
        <v>1</v>
      </c>
      <c r="B10" s="160" t="s">
        <v>364</v>
      </c>
      <c r="C10" s="172" t="s">
        <v>366</v>
      </c>
      <c r="D10" s="161"/>
      <c r="E10" s="161"/>
      <c r="F10" s="161"/>
      <c r="G10" s="167"/>
      <c r="J10" s="2"/>
    </row>
    <row r="11" spans="1:10" x14ac:dyDescent="0.25">
      <c r="A11" s="162"/>
      <c r="B11" s="162"/>
      <c r="C11" s="155" t="s">
        <v>365</v>
      </c>
      <c r="D11" s="163"/>
      <c r="E11" s="161"/>
      <c r="F11" s="163"/>
      <c r="G11" s="168"/>
      <c r="J11" s="2"/>
    </row>
    <row r="12" spans="1:10" x14ac:dyDescent="0.25">
      <c r="A12" s="162"/>
      <c r="B12" s="162"/>
      <c r="C12" s="155" t="s">
        <v>11</v>
      </c>
      <c r="D12" s="163" t="s">
        <v>50</v>
      </c>
      <c r="E12" s="163">
        <v>88521800</v>
      </c>
      <c r="F12" s="163"/>
      <c r="G12" s="163">
        <f>G9+E12</f>
        <v>112927800</v>
      </c>
      <c r="J12" s="2"/>
    </row>
    <row r="13" spans="1:10" x14ac:dyDescent="0.25">
      <c r="A13" s="162"/>
      <c r="B13" s="162"/>
      <c r="C13" s="155" t="s">
        <v>12</v>
      </c>
      <c r="D13" s="163" t="s">
        <v>51</v>
      </c>
      <c r="E13" s="163">
        <v>4479448</v>
      </c>
      <c r="F13" s="163"/>
      <c r="G13" s="163">
        <f t="shared" ref="G13:G26" si="0">G12+E13</f>
        <v>117407248</v>
      </c>
      <c r="J13" s="2"/>
    </row>
    <row r="14" spans="1:10" x14ac:dyDescent="0.25">
      <c r="A14" s="162"/>
      <c r="B14" s="162"/>
      <c r="C14" s="155" t="s">
        <v>13</v>
      </c>
      <c r="D14" s="163"/>
      <c r="E14" s="163">
        <v>0</v>
      </c>
      <c r="F14" s="163"/>
      <c r="G14" s="163">
        <f t="shared" si="0"/>
        <v>117407248</v>
      </c>
      <c r="J14" s="2"/>
    </row>
    <row r="15" spans="1:10" x14ac:dyDescent="0.25">
      <c r="A15" s="162"/>
      <c r="B15" s="162"/>
      <c r="C15" s="155" t="s">
        <v>14</v>
      </c>
      <c r="D15" s="163" t="s">
        <v>52</v>
      </c>
      <c r="E15" s="163">
        <v>8725000</v>
      </c>
      <c r="F15" s="163"/>
      <c r="G15" s="163">
        <f t="shared" si="0"/>
        <v>126132248</v>
      </c>
      <c r="J15" s="2"/>
    </row>
    <row r="16" spans="1:10" x14ac:dyDescent="0.25">
      <c r="A16" s="154"/>
      <c r="B16" s="154"/>
      <c r="C16" s="155" t="s">
        <v>15</v>
      </c>
      <c r="D16" s="126" t="s">
        <v>53</v>
      </c>
      <c r="E16" s="126">
        <v>3240000</v>
      </c>
      <c r="F16" s="126"/>
      <c r="G16" s="126">
        <f t="shared" si="0"/>
        <v>129372248</v>
      </c>
      <c r="J16" s="2"/>
    </row>
    <row r="17" spans="1:10" x14ac:dyDescent="0.25">
      <c r="A17" s="154"/>
      <c r="B17" s="154"/>
      <c r="C17" s="155" t="s">
        <v>16</v>
      </c>
      <c r="D17" s="126" t="s">
        <v>54</v>
      </c>
      <c r="E17" s="126">
        <v>1465000</v>
      </c>
      <c r="F17" s="126"/>
      <c r="G17" s="126">
        <f t="shared" si="0"/>
        <v>130837248</v>
      </c>
      <c r="J17" s="2"/>
    </row>
    <row r="18" spans="1:10" x14ac:dyDescent="0.25">
      <c r="A18" s="154"/>
      <c r="B18" s="154"/>
      <c r="C18" s="155" t="s">
        <v>17</v>
      </c>
      <c r="D18" s="126" t="s">
        <v>55</v>
      </c>
      <c r="E18" s="126">
        <v>4257250</v>
      </c>
      <c r="F18" s="126"/>
      <c r="G18" s="126">
        <f t="shared" si="0"/>
        <v>135094498</v>
      </c>
      <c r="J18" s="2"/>
    </row>
    <row r="19" spans="1:10" x14ac:dyDescent="0.25">
      <c r="A19" s="154"/>
      <c r="B19" s="154"/>
      <c r="C19" s="155" t="s">
        <v>18</v>
      </c>
      <c r="D19" s="126" t="s">
        <v>56</v>
      </c>
      <c r="E19" s="126">
        <v>3331320</v>
      </c>
      <c r="F19" s="126"/>
      <c r="G19" s="126">
        <f t="shared" si="0"/>
        <v>138425818</v>
      </c>
      <c r="J19" s="2"/>
    </row>
    <row r="20" spans="1:10" x14ac:dyDescent="0.25">
      <c r="A20" s="154"/>
      <c r="B20" s="154"/>
      <c r="C20" s="155" t="s">
        <v>19</v>
      </c>
      <c r="D20" s="126"/>
      <c r="E20" s="126"/>
      <c r="F20" s="126"/>
      <c r="G20" s="126">
        <f t="shared" si="0"/>
        <v>138425818</v>
      </c>
      <c r="J20" s="2"/>
    </row>
    <row r="21" spans="1:10" x14ac:dyDescent="0.25">
      <c r="A21" s="154"/>
      <c r="B21" s="154"/>
      <c r="C21" s="155" t="s">
        <v>20</v>
      </c>
      <c r="D21" s="126"/>
      <c r="E21" s="126"/>
      <c r="F21" s="126"/>
      <c r="G21" s="126">
        <f t="shared" si="0"/>
        <v>138425818</v>
      </c>
      <c r="J21" s="2"/>
    </row>
    <row r="22" spans="1:10" x14ac:dyDescent="0.25">
      <c r="A22" s="154"/>
      <c r="B22" s="154"/>
      <c r="C22" s="155" t="s">
        <v>21</v>
      </c>
      <c r="D22" s="126" t="s">
        <v>57</v>
      </c>
      <c r="E22" s="126">
        <v>196625</v>
      </c>
      <c r="F22" s="126"/>
      <c r="G22" s="126">
        <f t="shared" si="0"/>
        <v>138622443</v>
      </c>
      <c r="J22" s="1"/>
    </row>
    <row r="23" spans="1:10" x14ac:dyDescent="0.25">
      <c r="A23" s="154"/>
      <c r="B23" s="154"/>
      <c r="C23" s="155" t="s">
        <v>22</v>
      </c>
      <c r="D23" s="126"/>
      <c r="E23" s="126"/>
      <c r="F23" s="126"/>
      <c r="G23" s="126">
        <f t="shared" si="0"/>
        <v>138622443</v>
      </c>
    </row>
    <row r="24" spans="1:10" x14ac:dyDescent="0.25">
      <c r="A24" s="154"/>
      <c r="B24" s="154"/>
      <c r="C24" s="155" t="s">
        <v>23</v>
      </c>
      <c r="D24" s="126" t="s">
        <v>59</v>
      </c>
      <c r="E24" s="126">
        <v>212450</v>
      </c>
      <c r="F24" s="126"/>
      <c r="G24" s="126">
        <f t="shared" si="0"/>
        <v>138834893</v>
      </c>
    </row>
    <row r="25" spans="1:10" x14ac:dyDescent="0.25">
      <c r="A25" s="154"/>
      <c r="B25" s="154"/>
      <c r="C25" s="155" t="s">
        <v>24</v>
      </c>
      <c r="D25" s="126" t="s">
        <v>58</v>
      </c>
      <c r="E25" s="126">
        <v>637356</v>
      </c>
      <c r="F25" s="126"/>
      <c r="G25" s="126">
        <f t="shared" si="0"/>
        <v>139472249</v>
      </c>
      <c r="J25" s="2"/>
    </row>
    <row r="26" spans="1:10" x14ac:dyDescent="0.25">
      <c r="A26" s="154"/>
      <c r="B26" s="154"/>
      <c r="C26" s="155" t="s">
        <v>25</v>
      </c>
      <c r="D26" s="126" t="s">
        <v>60</v>
      </c>
      <c r="E26" s="126">
        <v>1244</v>
      </c>
      <c r="F26" s="126"/>
      <c r="G26" s="126">
        <f t="shared" si="0"/>
        <v>139473493</v>
      </c>
      <c r="J26" s="2"/>
    </row>
    <row r="27" spans="1:10" x14ac:dyDescent="0.25">
      <c r="A27" s="154"/>
      <c r="B27" s="154"/>
      <c r="C27" s="155" t="s">
        <v>26</v>
      </c>
      <c r="D27" s="126" t="s">
        <v>27</v>
      </c>
      <c r="E27" s="126"/>
      <c r="F27" s="126"/>
      <c r="G27" s="126"/>
      <c r="J27" s="2"/>
    </row>
    <row r="28" spans="1:10" x14ac:dyDescent="0.25">
      <c r="A28" s="154"/>
      <c r="B28" s="154"/>
      <c r="C28" s="155" t="s">
        <v>48</v>
      </c>
      <c r="D28" s="126"/>
      <c r="E28" s="126"/>
      <c r="F28" s="126">
        <v>7440100</v>
      </c>
      <c r="G28" s="126">
        <f>G26-F28</f>
        <v>132033393</v>
      </c>
      <c r="J28" s="2"/>
    </row>
    <row r="29" spans="1:10" x14ac:dyDescent="0.25">
      <c r="A29" s="154"/>
      <c r="B29" s="154"/>
      <c r="C29" s="155" t="s">
        <v>28</v>
      </c>
      <c r="D29" s="126"/>
      <c r="E29" s="126"/>
      <c r="F29" s="126">
        <f>E22</f>
        <v>196625</v>
      </c>
      <c r="G29" s="126">
        <f t="shared" ref="G29:G42" si="1">G28-F29</f>
        <v>131836768</v>
      </c>
      <c r="J29" s="2"/>
    </row>
    <row r="30" spans="1:10" x14ac:dyDescent="0.25">
      <c r="A30" s="154"/>
      <c r="B30" s="154"/>
      <c r="C30" s="155" t="s">
        <v>29</v>
      </c>
      <c r="D30" s="126"/>
      <c r="E30" s="126"/>
      <c r="F30" s="126">
        <v>0</v>
      </c>
      <c r="G30" s="126">
        <f t="shared" si="1"/>
        <v>131836768</v>
      </c>
      <c r="J30" s="2"/>
    </row>
    <row r="31" spans="1:10" x14ac:dyDescent="0.25">
      <c r="A31" s="154"/>
      <c r="B31" s="154"/>
      <c r="C31" s="155" t="s">
        <v>30</v>
      </c>
      <c r="D31" s="126"/>
      <c r="E31" s="126"/>
      <c r="F31" s="126">
        <v>0</v>
      </c>
      <c r="G31" s="126">
        <f t="shared" si="1"/>
        <v>131836768</v>
      </c>
      <c r="J31" s="1"/>
    </row>
    <row r="32" spans="1:10" x14ac:dyDescent="0.25">
      <c r="A32" s="154"/>
      <c r="B32" s="154"/>
      <c r="C32" s="155" t="s">
        <v>31</v>
      </c>
      <c r="D32" s="126"/>
      <c r="E32" s="126"/>
      <c r="F32" s="126">
        <v>0</v>
      </c>
      <c r="G32" s="126">
        <f t="shared" si="1"/>
        <v>131836768</v>
      </c>
      <c r="J32" s="1"/>
    </row>
    <row r="33" spans="1:11" x14ac:dyDescent="0.25">
      <c r="A33" s="154"/>
      <c r="B33" s="154"/>
      <c r="C33" s="155" t="s">
        <v>17</v>
      </c>
      <c r="D33" s="126"/>
      <c r="E33" s="126"/>
      <c r="F33" s="126">
        <f>E18</f>
        <v>4257250</v>
      </c>
      <c r="G33" s="126">
        <f t="shared" si="1"/>
        <v>127579518</v>
      </c>
    </row>
    <row r="34" spans="1:11" x14ac:dyDescent="0.25">
      <c r="A34" s="154"/>
      <c r="B34" s="154"/>
      <c r="C34" s="155" t="s">
        <v>63</v>
      </c>
      <c r="D34" s="126"/>
      <c r="E34" s="126"/>
      <c r="F34" s="126">
        <v>0</v>
      </c>
      <c r="G34" s="126">
        <f t="shared" si="1"/>
        <v>127579518</v>
      </c>
    </row>
    <row r="35" spans="1:11" x14ac:dyDescent="0.25">
      <c r="A35" s="154"/>
      <c r="B35" s="154"/>
      <c r="C35" s="155" t="s">
        <v>32</v>
      </c>
      <c r="D35" s="126"/>
      <c r="E35" s="126"/>
      <c r="F35" s="126">
        <v>0</v>
      </c>
      <c r="G35" s="126">
        <f t="shared" si="1"/>
        <v>127579518</v>
      </c>
    </row>
    <row r="36" spans="1:11" x14ac:dyDescent="0.25">
      <c r="A36" s="154"/>
      <c r="B36" s="154"/>
      <c r="C36" s="155" t="s">
        <v>33</v>
      </c>
      <c r="D36" s="126"/>
      <c r="E36" s="126"/>
      <c r="F36" s="126">
        <f>E24</f>
        <v>212450</v>
      </c>
      <c r="G36" s="126">
        <f t="shared" si="1"/>
        <v>127367068</v>
      </c>
      <c r="J36" s="2"/>
      <c r="K36" t="s">
        <v>62</v>
      </c>
    </row>
    <row r="37" spans="1:11" x14ac:dyDescent="0.25">
      <c r="A37" s="154"/>
      <c r="B37" s="154"/>
      <c r="C37" s="155" t="s">
        <v>34</v>
      </c>
      <c r="D37" s="126"/>
      <c r="E37" s="126"/>
      <c r="F37" s="126">
        <f>E25</f>
        <v>637356</v>
      </c>
      <c r="G37" s="126">
        <f t="shared" si="1"/>
        <v>126729712</v>
      </c>
      <c r="J37" s="1"/>
    </row>
    <row r="38" spans="1:11" x14ac:dyDescent="0.25">
      <c r="A38" s="154"/>
      <c r="B38" s="154"/>
      <c r="C38" s="155" t="s">
        <v>49</v>
      </c>
      <c r="D38" s="126"/>
      <c r="E38" s="126"/>
      <c r="F38" s="126">
        <v>1064312</v>
      </c>
      <c r="G38" s="126">
        <f t="shared" si="1"/>
        <v>125665400</v>
      </c>
    </row>
    <row r="39" spans="1:11" x14ac:dyDescent="0.25">
      <c r="A39" s="154"/>
      <c r="B39" s="154"/>
      <c r="C39" s="155" t="s">
        <v>35</v>
      </c>
      <c r="D39" s="126"/>
      <c r="E39" s="126"/>
      <c r="F39" s="126">
        <v>0</v>
      </c>
      <c r="G39" s="126">
        <f t="shared" si="1"/>
        <v>125665400</v>
      </c>
    </row>
    <row r="40" spans="1:11" x14ac:dyDescent="0.25">
      <c r="A40" s="154"/>
      <c r="B40" s="154"/>
      <c r="C40" s="155" t="s">
        <v>36</v>
      </c>
      <c r="D40" s="126"/>
      <c r="E40" s="126"/>
      <c r="F40" s="126">
        <v>0</v>
      </c>
      <c r="G40" s="126">
        <f t="shared" si="1"/>
        <v>125665400</v>
      </c>
    </row>
    <row r="41" spans="1:11" x14ac:dyDescent="0.25">
      <c r="A41" s="154"/>
      <c r="B41" s="154"/>
      <c r="C41" s="155" t="s">
        <v>37</v>
      </c>
      <c r="D41" s="126"/>
      <c r="E41" s="126"/>
      <c r="F41" s="126">
        <v>0</v>
      </c>
      <c r="G41" s="126">
        <f t="shared" si="1"/>
        <v>125665400</v>
      </c>
    </row>
    <row r="42" spans="1:11" x14ac:dyDescent="0.25">
      <c r="A42" s="154">
        <v>2</v>
      </c>
      <c r="B42" s="160" t="s">
        <v>364</v>
      </c>
      <c r="C42" s="155" t="s">
        <v>37</v>
      </c>
      <c r="D42" s="126"/>
      <c r="E42" s="126"/>
      <c r="F42" s="126">
        <v>0</v>
      </c>
      <c r="G42" s="126">
        <f t="shared" si="1"/>
        <v>125665400</v>
      </c>
    </row>
    <row r="43" spans="1:11" x14ac:dyDescent="0.25">
      <c r="A43" s="154">
        <v>3</v>
      </c>
      <c r="B43" s="160" t="s">
        <v>364</v>
      </c>
      <c r="C43" s="155" t="s">
        <v>39</v>
      </c>
      <c r="D43" s="126"/>
      <c r="E43" s="126" t="s">
        <v>38</v>
      </c>
      <c r="F43" s="126" t="s">
        <v>38</v>
      </c>
      <c r="G43" s="126"/>
    </row>
    <row r="44" spans="1:11" x14ac:dyDescent="0.25">
      <c r="A44" s="154">
        <v>4</v>
      </c>
      <c r="B44" s="160" t="s">
        <v>364</v>
      </c>
      <c r="C44" s="170" t="s">
        <v>72</v>
      </c>
      <c r="D44" s="171"/>
      <c r="E44" s="171"/>
      <c r="F44" s="153">
        <v>101259400</v>
      </c>
      <c r="G44" s="153">
        <f>G42-F44</f>
        <v>24406000</v>
      </c>
    </row>
    <row r="45" spans="1:11" x14ac:dyDescent="0.25">
      <c r="A45" s="154">
        <v>5</v>
      </c>
      <c r="B45" s="160" t="s">
        <v>368</v>
      </c>
      <c r="C45" s="172" t="s">
        <v>367</v>
      </c>
      <c r="D45" s="66"/>
      <c r="E45" s="153">
        <v>59016200</v>
      </c>
      <c r="F45" s="126"/>
      <c r="G45" s="126">
        <f>G44+E45</f>
        <v>83422200</v>
      </c>
    </row>
    <row r="46" spans="1:11" ht="60" customHeight="1" x14ac:dyDescent="0.25">
      <c r="A46" s="154">
        <v>6</v>
      </c>
      <c r="B46" s="160" t="s">
        <v>368</v>
      </c>
      <c r="C46" s="63" t="s">
        <v>399</v>
      </c>
      <c r="D46" s="87" t="s">
        <v>106</v>
      </c>
      <c r="E46" s="126"/>
      <c r="F46" s="126">
        <v>3075000</v>
      </c>
      <c r="G46" s="126">
        <f>G45-F46</f>
        <v>80347200</v>
      </c>
    </row>
    <row r="47" spans="1:11" ht="60" customHeight="1" x14ac:dyDescent="0.25">
      <c r="A47" s="154">
        <v>7</v>
      </c>
      <c r="B47" s="160" t="s">
        <v>369</v>
      </c>
      <c r="C47" s="86" t="s">
        <v>400</v>
      </c>
      <c r="D47" s="87" t="s">
        <v>444</v>
      </c>
      <c r="E47" s="126"/>
      <c r="F47" s="126">
        <v>2750000</v>
      </c>
      <c r="G47" s="126">
        <f>G46-F47</f>
        <v>77597200</v>
      </c>
    </row>
    <row r="48" spans="1:11" ht="19.5" customHeight="1" x14ac:dyDescent="0.25">
      <c r="A48" s="154">
        <v>8</v>
      </c>
      <c r="B48" s="160" t="s">
        <v>369</v>
      </c>
      <c r="C48" s="172" t="s">
        <v>371</v>
      </c>
      <c r="D48" s="87"/>
      <c r="E48" s="153">
        <v>2310000</v>
      </c>
      <c r="F48" s="126"/>
      <c r="G48" s="126">
        <f>G47+E48</f>
        <v>79907200</v>
      </c>
    </row>
    <row r="49" spans="1:28" ht="60" customHeight="1" x14ac:dyDescent="0.25">
      <c r="A49" s="154">
        <v>9</v>
      </c>
      <c r="B49" s="160" t="s">
        <v>369</v>
      </c>
      <c r="C49" s="63" t="s">
        <v>375</v>
      </c>
      <c r="D49" s="66" t="s">
        <v>445</v>
      </c>
      <c r="E49" s="153"/>
      <c r="F49" s="126">
        <v>2310000</v>
      </c>
      <c r="G49" s="126">
        <f>G48-F49</f>
        <v>77597200</v>
      </c>
    </row>
    <row r="50" spans="1:28" ht="23.25" customHeight="1" x14ac:dyDescent="0.25">
      <c r="A50" s="154">
        <v>10</v>
      </c>
      <c r="B50" s="160" t="s">
        <v>369</v>
      </c>
      <c r="C50" s="172" t="s">
        <v>372</v>
      </c>
      <c r="D50" s="87"/>
      <c r="E50" s="153">
        <v>1200000</v>
      </c>
      <c r="F50" s="126"/>
      <c r="G50" s="126">
        <f>G49+E50</f>
        <v>78797200</v>
      </c>
    </row>
    <row r="51" spans="1:28" ht="60" customHeight="1" x14ac:dyDescent="0.25">
      <c r="A51" s="154">
        <v>11</v>
      </c>
      <c r="B51" s="160" t="s">
        <v>369</v>
      </c>
      <c r="C51" s="63" t="s">
        <v>376</v>
      </c>
      <c r="D51" s="82" t="s">
        <v>377</v>
      </c>
      <c r="E51" s="158"/>
      <c r="F51" s="126">
        <v>1200000</v>
      </c>
      <c r="G51" s="126">
        <f t="shared" ref="G51:G92" si="2">G50-F51</f>
        <v>77597200</v>
      </c>
    </row>
    <row r="52" spans="1:28" x14ac:dyDescent="0.25">
      <c r="A52" s="154">
        <v>12</v>
      </c>
      <c r="B52" s="160" t="s">
        <v>370</v>
      </c>
      <c r="C52" s="172" t="s">
        <v>373</v>
      </c>
      <c r="D52" s="82"/>
      <c r="E52" s="158">
        <v>5000000</v>
      </c>
      <c r="F52" s="126"/>
      <c r="G52" s="126">
        <f>G51+E52</f>
        <v>82597200</v>
      </c>
    </row>
    <row r="53" spans="1:28" ht="45" customHeight="1" x14ac:dyDescent="0.25">
      <c r="A53" s="154">
        <v>13</v>
      </c>
      <c r="B53" s="160" t="s">
        <v>370</v>
      </c>
      <c r="C53" s="169" t="s">
        <v>378</v>
      </c>
      <c r="D53" s="177" t="s">
        <v>85</v>
      </c>
      <c r="E53" s="158"/>
      <c r="F53" s="126">
        <v>5000000</v>
      </c>
      <c r="G53" s="126">
        <f t="shared" si="2"/>
        <v>77597200</v>
      </c>
    </row>
    <row r="54" spans="1:28" ht="23.25" customHeight="1" x14ac:dyDescent="0.25">
      <c r="A54" s="154">
        <v>14</v>
      </c>
      <c r="B54" s="160" t="s">
        <v>370</v>
      </c>
      <c r="C54" s="172" t="s">
        <v>374</v>
      </c>
      <c r="D54" s="82"/>
      <c r="E54" s="158">
        <v>12258000</v>
      </c>
      <c r="F54" s="126"/>
      <c r="G54" s="126">
        <f>G53+E54</f>
        <v>89855200</v>
      </c>
    </row>
    <row r="55" spans="1:28" ht="48.75" customHeight="1" x14ac:dyDescent="0.25">
      <c r="A55" s="154">
        <v>15</v>
      </c>
      <c r="B55" s="160" t="s">
        <v>370</v>
      </c>
      <c r="C55" s="85" t="s">
        <v>379</v>
      </c>
      <c r="D55" s="82" t="s">
        <v>436</v>
      </c>
      <c r="E55" s="158"/>
      <c r="F55" s="126">
        <v>12258000</v>
      </c>
      <c r="G55" s="126">
        <f>G54-F55</f>
        <v>77597200</v>
      </c>
    </row>
    <row r="56" spans="1:28" ht="65.099999999999994" customHeight="1" x14ac:dyDescent="0.25">
      <c r="A56" s="154">
        <v>16</v>
      </c>
      <c r="B56" s="160" t="s">
        <v>401</v>
      </c>
      <c r="C56" s="85" t="s">
        <v>402</v>
      </c>
      <c r="D56" s="82" t="s">
        <v>437</v>
      </c>
      <c r="E56" s="158"/>
      <c r="F56" s="126">
        <v>637000</v>
      </c>
      <c r="G56" s="126">
        <f>G55-F56</f>
        <v>76960200</v>
      </c>
    </row>
    <row r="57" spans="1:28" ht="65.099999999999994" customHeight="1" x14ac:dyDescent="0.25">
      <c r="A57" s="154">
        <v>17</v>
      </c>
      <c r="B57" s="160" t="s">
        <v>401</v>
      </c>
      <c r="C57" s="85" t="s">
        <v>403</v>
      </c>
      <c r="D57" s="82" t="s">
        <v>438</v>
      </c>
      <c r="E57" s="158"/>
      <c r="F57" s="126">
        <v>1034000</v>
      </c>
      <c r="G57" s="126">
        <f t="shared" ref="G57:G64" si="3">G56-F57</f>
        <v>75926200</v>
      </c>
    </row>
    <row r="58" spans="1:28" ht="65.099999999999994" customHeight="1" x14ac:dyDescent="0.25">
      <c r="A58" s="154">
        <v>18</v>
      </c>
      <c r="B58" s="160" t="s">
        <v>401</v>
      </c>
      <c r="C58" s="85" t="s">
        <v>404</v>
      </c>
      <c r="D58" s="82" t="s">
        <v>439</v>
      </c>
      <c r="E58" s="158"/>
      <c r="F58" s="126">
        <v>313000</v>
      </c>
      <c r="G58" s="126">
        <f t="shared" si="3"/>
        <v>75613200</v>
      </c>
    </row>
    <row r="59" spans="1:28" ht="65.099999999999994" customHeight="1" x14ac:dyDescent="0.25">
      <c r="A59" s="154">
        <v>19</v>
      </c>
      <c r="B59" s="160" t="s">
        <v>401</v>
      </c>
      <c r="C59" s="85" t="s">
        <v>405</v>
      </c>
      <c r="D59" s="82" t="s">
        <v>440</v>
      </c>
      <c r="E59" s="158"/>
      <c r="F59" s="126">
        <v>970500</v>
      </c>
      <c r="G59" s="126">
        <f t="shared" si="3"/>
        <v>74642700</v>
      </c>
    </row>
    <row r="60" spans="1:28" ht="65.099999999999994" customHeight="1" x14ac:dyDescent="0.25">
      <c r="A60" s="154">
        <v>20</v>
      </c>
      <c r="B60" s="160" t="s">
        <v>401</v>
      </c>
      <c r="C60" s="207" t="s">
        <v>406</v>
      </c>
      <c r="D60" s="206" t="s">
        <v>102</v>
      </c>
      <c r="E60" s="207"/>
      <c r="F60" s="209">
        <v>6050200</v>
      </c>
      <c r="G60" s="126">
        <f t="shared" si="3"/>
        <v>68592500</v>
      </c>
      <c r="H60" s="205"/>
      <c r="I60" s="205"/>
      <c r="J60" s="205"/>
      <c r="K60" s="205"/>
      <c r="L60" s="205"/>
      <c r="M60" s="205"/>
      <c r="N60" s="205"/>
      <c r="O60" s="205"/>
      <c r="P60" s="205"/>
      <c r="Q60" s="205"/>
      <c r="R60" s="205"/>
      <c r="S60" s="205"/>
      <c r="T60" s="205"/>
      <c r="U60" s="205"/>
      <c r="V60" s="205"/>
      <c r="W60" s="205"/>
      <c r="X60" s="205"/>
      <c r="Y60" s="205"/>
      <c r="Z60" s="205"/>
      <c r="AA60" s="205"/>
      <c r="AB60" s="205"/>
    </row>
    <row r="61" spans="1:28" ht="46.5" customHeight="1" x14ac:dyDescent="0.25">
      <c r="A61" s="154">
        <v>21</v>
      </c>
      <c r="B61" s="160" t="s">
        <v>407</v>
      </c>
      <c r="C61" s="86" t="s">
        <v>408</v>
      </c>
      <c r="D61" s="87" t="s">
        <v>441</v>
      </c>
      <c r="E61" s="208"/>
      <c r="F61" s="208">
        <v>83000</v>
      </c>
      <c r="G61" s="126">
        <f t="shared" si="3"/>
        <v>68509500</v>
      </c>
      <c r="H61" s="205"/>
      <c r="I61" s="205"/>
      <c r="J61" s="205"/>
      <c r="K61" s="205"/>
      <c r="L61" s="205"/>
      <c r="M61" s="205"/>
      <c r="N61" s="205"/>
      <c r="O61" s="205"/>
      <c r="P61" s="205"/>
      <c r="Q61" s="205"/>
      <c r="R61" s="205"/>
      <c r="S61" s="205"/>
      <c r="T61" s="205"/>
      <c r="U61" s="205"/>
      <c r="V61" s="205"/>
      <c r="W61" s="205"/>
      <c r="X61" s="205"/>
      <c r="Y61" s="205"/>
      <c r="Z61" s="205"/>
      <c r="AA61" s="205"/>
      <c r="AB61" s="205"/>
    </row>
    <row r="62" spans="1:28" ht="50.25" customHeight="1" x14ac:dyDescent="0.25">
      <c r="A62" s="182">
        <v>22</v>
      </c>
      <c r="B62" s="211" t="s">
        <v>407</v>
      </c>
      <c r="C62" s="222" t="s">
        <v>409</v>
      </c>
      <c r="D62" s="89" t="s">
        <v>442</v>
      </c>
      <c r="E62" s="223"/>
      <c r="F62" s="223">
        <v>199600</v>
      </c>
      <c r="G62" s="184">
        <f t="shared" si="3"/>
        <v>68309900</v>
      </c>
      <c r="H62" s="205"/>
      <c r="I62" s="205"/>
      <c r="J62" s="205"/>
      <c r="K62" s="205"/>
      <c r="L62" s="205"/>
      <c r="M62" s="205"/>
      <c r="N62" s="205"/>
      <c r="O62" s="205"/>
      <c r="P62" s="205"/>
      <c r="Q62" s="205"/>
      <c r="R62" s="205"/>
      <c r="S62" s="205"/>
      <c r="T62" s="205"/>
      <c r="U62" s="205"/>
      <c r="V62" s="205"/>
      <c r="W62" s="205"/>
      <c r="X62" s="205"/>
      <c r="Y62" s="205"/>
      <c r="Z62" s="205"/>
      <c r="AA62" s="205"/>
      <c r="AB62" s="205"/>
    </row>
    <row r="63" spans="1:28" ht="65.099999999999994" customHeight="1" x14ac:dyDescent="0.25">
      <c r="A63" s="185">
        <v>23</v>
      </c>
      <c r="B63" s="215" t="s">
        <v>407</v>
      </c>
      <c r="C63" s="220" t="s">
        <v>410</v>
      </c>
      <c r="D63" s="188" t="s">
        <v>443</v>
      </c>
      <c r="E63" s="221"/>
      <c r="F63" s="194">
        <v>348000</v>
      </c>
      <c r="G63" s="189">
        <f t="shared" si="3"/>
        <v>67961900</v>
      </c>
    </row>
    <row r="64" spans="1:28" ht="55.5" customHeight="1" x14ac:dyDescent="0.25">
      <c r="A64" s="154">
        <v>24</v>
      </c>
      <c r="B64" s="160" t="s">
        <v>407</v>
      </c>
      <c r="C64" s="85" t="s">
        <v>411</v>
      </c>
      <c r="D64" s="68" t="s">
        <v>258</v>
      </c>
      <c r="E64" s="158"/>
      <c r="F64" s="126">
        <v>2000000</v>
      </c>
      <c r="G64" s="126">
        <f t="shared" si="3"/>
        <v>65961900</v>
      </c>
    </row>
    <row r="65" spans="1:10" x14ac:dyDescent="0.25">
      <c r="A65" s="154">
        <v>25</v>
      </c>
      <c r="B65" s="160" t="s">
        <v>380</v>
      </c>
      <c r="C65" s="172" t="s">
        <v>381</v>
      </c>
      <c r="D65" s="204"/>
      <c r="E65" s="167"/>
      <c r="F65" s="161"/>
      <c r="G65" s="126">
        <f>G64</f>
        <v>65961900</v>
      </c>
    </row>
    <row r="66" spans="1:10" x14ac:dyDescent="0.25">
      <c r="A66" s="154">
        <v>26</v>
      </c>
      <c r="B66" s="152"/>
      <c r="C66" s="155" t="s">
        <v>365</v>
      </c>
      <c r="D66" s="163"/>
      <c r="E66" s="161"/>
      <c r="F66" s="163"/>
      <c r="G66" s="126">
        <f t="shared" si="2"/>
        <v>65961900</v>
      </c>
    </row>
    <row r="67" spans="1:10" x14ac:dyDescent="0.25">
      <c r="A67" s="154">
        <v>27</v>
      </c>
      <c r="B67" s="152"/>
      <c r="C67" s="155" t="s">
        <v>11</v>
      </c>
      <c r="D67" s="163" t="s">
        <v>50</v>
      </c>
      <c r="E67" s="163">
        <v>87749600</v>
      </c>
      <c r="F67" s="163"/>
      <c r="G67" s="126">
        <f>G66+E67</f>
        <v>153711500</v>
      </c>
    </row>
    <row r="68" spans="1:10" x14ac:dyDescent="0.25">
      <c r="A68" s="154">
        <v>28</v>
      </c>
      <c r="B68" s="152"/>
      <c r="C68" s="155" t="s">
        <v>12</v>
      </c>
      <c r="D68" s="163" t="s">
        <v>51</v>
      </c>
      <c r="E68" s="163">
        <v>4448634</v>
      </c>
      <c r="F68" s="163"/>
      <c r="G68" s="126">
        <f t="shared" ref="G68:G80" si="4">G67+E68</f>
        <v>158160134</v>
      </c>
    </row>
    <row r="69" spans="1:10" x14ac:dyDescent="0.25">
      <c r="A69" s="154">
        <v>29</v>
      </c>
      <c r="B69" s="152"/>
      <c r="C69" s="155" t="s">
        <v>13</v>
      </c>
      <c r="D69" s="163"/>
      <c r="E69" s="163">
        <v>0</v>
      </c>
      <c r="F69" s="163"/>
      <c r="G69" s="126">
        <f t="shared" si="4"/>
        <v>158160134</v>
      </c>
    </row>
    <row r="70" spans="1:10" x14ac:dyDescent="0.25">
      <c r="A70" s="154">
        <v>30</v>
      </c>
      <c r="B70" s="152"/>
      <c r="C70" s="155" t="s">
        <v>14</v>
      </c>
      <c r="D70" s="163" t="s">
        <v>52</v>
      </c>
      <c r="E70" s="163">
        <v>8725000</v>
      </c>
      <c r="F70" s="163"/>
      <c r="G70" s="126">
        <f t="shared" si="4"/>
        <v>166885134</v>
      </c>
    </row>
    <row r="71" spans="1:10" x14ac:dyDescent="0.25">
      <c r="A71" s="154">
        <v>31</v>
      </c>
      <c r="B71" s="152"/>
      <c r="C71" s="155" t="s">
        <v>15</v>
      </c>
      <c r="D71" s="126" t="s">
        <v>53</v>
      </c>
      <c r="E71" s="126">
        <v>3240000</v>
      </c>
      <c r="F71" s="126"/>
      <c r="G71" s="126">
        <f t="shared" si="4"/>
        <v>170125134</v>
      </c>
    </row>
    <row r="72" spans="1:10" x14ac:dyDescent="0.25">
      <c r="A72" s="154">
        <v>32</v>
      </c>
      <c r="B72" s="152"/>
      <c r="C72" s="155" t="s">
        <v>16</v>
      </c>
      <c r="D72" s="126" t="s">
        <v>54</v>
      </c>
      <c r="E72" s="126">
        <v>1465000</v>
      </c>
      <c r="F72" s="126"/>
      <c r="G72" s="126">
        <f t="shared" si="4"/>
        <v>171590134</v>
      </c>
      <c r="J72" s="1"/>
    </row>
    <row r="73" spans="1:10" x14ac:dyDescent="0.25">
      <c r="A73" s="154">
        <v>33</v>
      </c>
      <c r="B73" s="152"/>
      <c r="C73" s="155" t="s">
        <v>17</v>
      </c>
      <c r="D73" s="126" t="s">
        <v>55</v>
      </c>
      <c r="E73" s="126">
        <v>0</v>
      </c>
      <c r="F73" s="126"/>
      <c r="G73" s="126">
        <f t="shared" si="4"/>
        <v>171590134</v>
      </c>
    </row>
    <row r="74" spans="1:10" x14ac:dyDescent="0.25">
      <c r="A74" s="154">
        <v>34</v>
      </c>
      <c r="B74" s="152"/>
      <c r="C74" s="155" t="s">
        <v>18</v>
      </c>
      <c r="D74" s="126" t="s">
        <v>56</v>
      </c>
      <c r="E74" s="126">
        <v>3331320</v>
      </c>
      <c r="F74" s="126"/>
      <c r="G74" s="126">
        <f t="shared" si="4"/>
        <v>174921454</v>
      </c>
    </row>
    <row r="75" spans="1:10" x14ac:dyDescent="0.25">
      <c r="A75" s="154">
        <v>35</v>
      </c>
      <c r="B75" s="152"/>
      <c r="C75" s="155" t="s">
        <v>19</v>
      </c>
      <c r="D75" s="126"/>
      <c r="E75" s="126"/>
      <c r="F75" s="126"/>
      <c r="G75" s="126">
        <f t="shared" si="4"/>
        <v>174921454</v>
      </c>
    </row>
    <row r="76" spans="1:10" x14ac:dyDescent="0.25">
      <c r="A76" s="154">
        <v>36</v>
      </c>
      <c r="B76" s="152"/>
      <c r="C76" s="155" t="s">
        <v>20</v>
      </c>
      <c r="D76" s="126"/>
      <c r="E76" s="126"/>
      <c r="F76" s="126"/>
      <c r="G76" s="126">
        <f t="shared" si="4"/>
        <v>174921454</v>
      </c>
    </row>
    <row r="77" spans="1:10" x14ac:dyDescent="0.25">
      <c r="A77" s="154">
        <v>37</v>
      </c>
      <c r="B77" s="152"/>
      <c r="C77" s="155" t="s">
        <v>21</v>
      </c>
      <c r="D77" s="126" t="s">
        <v>57</v>
      </c>
      <c r="E77" s="126">
        <v>182921</v>
      </c>
      <c r="F77" s="126"/>
      <c r="G77" s="126">
        <f>G76+E77</f>
        <v>175104375</v>
      </c>
    </row>
    <row r="78" spans="1:10" x14ac:dyDescent="0.25">
      <c r="A78" s="154">
        <v>38</v>
      </c>
      <c r="B78" s="152"/>
      <c r="C78" s="155" t="s">
        <v>22</v>
      </c>
      <c r="D78" s="126"/>
      <c r="E78" s="126"/>
      <c r="F78" s="126"/>
      <c r="G78" s="126">
        <f t="shared" si="4"/>
        <v>175104375</v>
      </c>
    </row>
    <row r="79" spans="1:10" x14ac:dyDescent="0.25">
      <c r="A79" s="154">
        <v>39</v>
      </c>
      <c r="B79" s="152"/>
      <c r="C79" s="155" t="s">
        <v>23</v>
      </c>
      <c r="D79" s="126" t="s">
        <v>59</v>
      </c>
      <c r="E79" s="126">
        <v>0</v>
      </c>
      <c r="F79" s="126"/>
      <c r="G79" s="126">
        <f t="shared" si="4"/>
        <v>175104375</v>
      </c>
    </row>
    <row r="80" spans="1:10" x14ac:dyDescent="0.25">
      <c r="A80" s="154">
        <v>40</v>
      </c>
      <c r="B80" s="152"/>
      <c r="C80" s="155" t="s">
        <v>24</v>
      </c>
      <c r="D80" s="126" t="s">
        <v>58</v>
      </c>
      <c r="E80" s="126">
        <v>0</v>
      </c>
      <c r="F80" s="126"/>
      <c r="G80" s="126">
        <f t="shared" si="4"/>
        <v>175104375</v>
      </c>
    </row>
    <row r="81" spans="1:7" x14ac:dyDescent="0.25">
      <c r="A81" s="154">
        <v>41</v>
      </c>
      <c r="B81" s="152"/>
      <c r="C81" s="155" t="s">
        <v>25</v>
      </c>
      <c r="D81" s="126" t="s">
        <v>60</v>
      </c>
      <c r="E81" s="126">
        <v>1646</v>
      </c>
      <c r="F81" s="126"/>
      <c r="G81" s="126">
        <f>G80+E81</f>
        <v>175106021</v>
      </c>
    </row>
    <row r="82" spans="1:7" x14ac:dyDescent="0.25">
      <c r="A82" s="154">
        <v>42</v>
      </c>
      <c r="B82" s="152"/>
      <c r="C82" s="155" t="s">
        <v>26</v>
      </c>
      <c r="D82" s="126" t="s">
        <v>27</v>
      </c>
      <c r="E82" s="126"/>
      <c r="F82" s="126"/>
      <c r="G82" s="126">
        <f>G81+E82</f>
        <v>175106021</v>
      </c>
    </row>
    <row r="83" spans="1:7" x14ac:dyDescent="0.25">
      <c r="A83" s="154">
        <v>43</v>
      </c>
      <c r="B83" s="152"/>
      <c r="C83" s="155" t="s">
        <v>48</v>
      </c>
      <c r="D83" s="126"/>
      <c r="E83" s="126"/>
      <c r="F83" s="126">
        <v>0</v>
      </c>
      <c r="G83" s="126">
        <f>G82-F83</f>
        <v>175106021</v>
      </c>
    </row>
    <row r="84" spans="1:7" x14ac:dyDescent="0.25">
      <c r="A84" s="154">
        <v>44</v>
      </c>
      <c r="B84" s="152"/>
      <c r="C84" s="155" t="s">
        <v>28</v>
      </c>
      <c r="D84" s="126"/>
      <c r="E84" s="126"/>
      <c r="F84" s="126">
        <f>E77</f>
        <v>182921</v>
      </c>
      <c r="G84" s="126">
        <f>G83-F84</f>
        <v>174923100</v>
      </c>
    </row>
    <row r="85" spans="1:7" x14ac:dyDescent="0.25">
      <c r="A85" s="154">
        <v>45</v>
      </c>
      <c r="B85" s="152"/>
      <c r="C85" s="155" t="s">
        <v>29</v>
      </c>
      <c r="D85" s="126"/>
      <c r="E85" s="126"/>
      <c r="F85" s="126">
        <v>0</v>
      </c>
      <c r="G85" s="126">
        <f>G84-F85</f>
        <v>174923100</v>
      </c>
    </row>
    <row r="86" spans="1:7" x14ac:dyDescent="0.25">
      <c r="A86" s="154">
        <v>46</v>
      </c>
      <c r="B86" s="152"/>
      <c r="C86" s="155" t="s">
        <v>30</v>
      </c>
      <c r="D86" s="126"/>
      <c r="E86" s="126"/>
      <c r="F86" s="126">
        <v>0</v>
      </c>
      <c r="G86" s="126">
        <f>G85-F86</f>
        <v>174923100</v>
      </c>
    </row>
    <row r="87" spans="1:7" x14ac:dyDescent="0.25">
      <c r="A87" s="154">
        <v>47</v>
      </c>
      <c r="B87" s="152"/>
      <c r="C87" s="155" t="s">
        <v>31</v>
      </c>
      <c r="D87" s="126"/>
      <c r="E87" s="126"/>
      <c r="F87" s="126">
        <v>0</v>
      </c>
      <c r="G87" s="126">
        <f t="shared" si="2"/>
        <v>174923100</v>
      </c>
    </row>
    <row r="88" spans="1:7" x14ac:dyDescent="0.25">
      <c r="A88" s="154">
        <v>48</v>
      </c>
      <c r="B88" s="152"/>
      <c r="C88" s="155" t="s">
        <v>17</v>
      </c>
      <c r="D88" s="126"/>
      <c r="E88" s="126"/>
      <c r="F88" s="126">
        <f>E73</f>
        <v>0</v>
      </c>
      <c r="G88" s="126">
        <f t="shared" si="2"/>
        <v>174923100</v>
      </c>
    </row>
    <row r="89" spans="1:7" x14ac:dyDescent="0.25">
      <c r="A89" s="154">
        <v>49</v>
      </c>
      <c r="B89" s="152"/>
      <c r="C89" s="155" t="s">
        <v>63</v>
      </c>
      <c r="D89" s="126"/>
      <c r="E89" s="126"/>
      <c r="F89" s="126">
        <v>0</v>
      </c>
      <c r="G89" s="126">
        <f t="shared" si="2"/>
        <v>174923100</v>
      </c>
    </row>
    <row r="90" spans="1:7" x14ac:dyDescent="0.25">
      <c r="A90" s="154">
        <v>50</v>
      </c>
      <c r="B90" s="152"/>
      <c r="C90" s="155" t="s">
        <v>32</v>
      </c>
      <c r="D90" s="126"/>
      <c r="E90" s="126"/>
      <c r="F90" s="126">
        <v>0</v>
      </c>
      <c r="G90" s="126">
        <f t="shared" si="2"/>
        <v>174923100</v>
      </c>
    </row>
    <row r="91" spans="1:7" x14ac:dyDescent="0.25">
      <c r="A91" s="154">
        <v>51</v>
      </c>
      <c r="B91" s="152"/>
      <c r="C91" s="155" t="s">
        <v>33</v>
      </c>
      <c r="D91" s="126"/>
      <c r="E91" s="126"/>
      <c r="F91" s="126">
        <f>E79</f>
        <v>0</v>
      </c>
      <c r="G91" s="125">
        <f t="shared" si="2"/>
        <v>174923100</v>
      </c>
    </row>
    <row r="92" spans="1:7" x14ac:dyDescent="0.25">
      <c r="A92" s="154">
        <v>52</v>
      </c>
      <c r="B92" s="152"/>
      <c r="C92" s="155" t="s">
        <v>34</v>
      </c>
      <c r="D92" s="126"/>
      <c r="E92" s="126"/>
      <c r="F92" s="126">
        <f>E80</f>
        <v>0</v>
      </c>
      <c r="G92" s="126">
        <f t="shared" si="2"/>
        <v>174923100</v>
      </c>
    </row>
    <row r="93" spans="1:7" x14ac:dyDescent="0.25">
      <c r="A93" s="154">
        <v>53</v>
      </c>
      <c r="B93" s="152"/>
      <c r="C93" s="155" t="s">
        <v>49</v>
      </c>
      <c r="D93" s="126"/>
      <c r="E93" s="126"/>
      <c r="F93" s="126">
        <v>0</v>
      </c>
      <c r="G93" s="126">
        <f>G92-F93</f>
        <v>174923100</v>
      </c>
    </row>
    <row r="94" spans="1:7" x14ac:dyDescent="0.25">
      <c r="A94" s="154">
        <v>54</v>
      </c>
      <c r="B94" s="152"/>
      <c r="C94" s="155" t="s">
        <v>35</v>
      </c>
      <c r="D94" s="126"/>
      <c r="E94" s="126"/>
      <c r="F94" s="126">
        <v>0</v>
      </c>
      <c r="G94" s="126">
        <f>G93+E94</f>
        <v>174923100</v>
      </c>
    </row>
    <row r="95" spans="1:7" x14ac:dyDescent="0.25">
      <c r="A95" s="154">
        <v>55</v>
      </c>
      <c r="B95" s="152"/>
      <c r="C95" s="155" t="s">
        <v>36</v>
      </c>
      <c r="D95" s="126"/>
      <c r="E95" s="126"/>
      <c r="F95" s="126">
        <v>0</v>
      </c>
      <c r="G95" s="126">
        <f t="shared" ref="G95:G101" si="5">G94-F95</f>
        <v>174923100</v>
      </c>
    </row>
    <row r="96" spans="1:7" x14ac:dyDescent="0.25">
      <c r="A96" s="154">
        <v>56</v>
      </c>
      <c r="B96" s="152"/>
      <c r="C96" s="155" t="s">
        <v>37</v>
      </c>
      <c r="D96" s="126"/>
      <c r="E96" s="126"/>
      <c r="F96" s="126">
        <v>0</v>
      </c>
      <c r="G96" s="126">
        <f t="shared" si="5"/>
        <v>174923100</v>
      </c>
    </row>
    <row r="97" spans="1:10" x14ac:dyDescent="0.25">
      <c r="A97" s="154">
        <v>57</v>
      </c>
      <c r="B97" s="152"/>
      <c r="C97" s="155" t="s">
        <v>37</v>
      </c>
      <c r="D97" s="126"/>
      <c r="E97" s="126"/>
      <c r="F97" s="126">
        <v>0</v>
      </c>
      <c r="G97" s="126">
        <f t="shared" si="5"/>
        <v>174923100</v>
      </c>
    </row>
    <row r="98" spans="1:10" x14ac:dyDescent="0.25">
      <c r="A98" s="154">
        <v>58</v>
      </c>
      <c r="B98" s="152"/>
      <c r="C98" s="155" t="s">
        <v>39</v>
      </c>
      <c r="D98" s="126"/>
      <c r="E98" s="126" t="s">
        <v>38</v>
      </c>
      <c r="F98" s="126">
        <v>0</v>
      </c>
      <c r="G98" s="126">
        <f t="shared" si="5"/>
        <v>174923100</v>
      </c>
    </row>
    <row r="99" spans="1:10" x14ac:dyDescent="0.25">
      <c r="A99" s="154">
        <v>59</v>
      </c>
      <c r="B99" s="160" t="s">
        <v>382</v>
      </c>
      <c r="C99" s="170" t="s">
        <v>72</v>
      </c>
      <c r="D99" s="171"/>
      <c r="E99" s="171"/>
      <c r="F99" s="153">
        <v>108961200</v>
      </c>
      <c r="G99" s="126">
        <f t="shared" si="5"/>
        <v>65961900</v>
      </c>
      <c r="J99" s="1"/>
    </row>
    <row r="100" spans="1:10" ht="60" customHeight="1" x14ac:dyDescent="0.25">
      <c r="A100" s="154">
        <v>60</v>
      </c>
      <c r="B100" s="160" t="s">
        <v>412</v>
      </c>
      <c r="C100" s="63" t="s">
        <v>413</v>
      </c>
      <c r="D100" s="87" t="s">
        <v>122</v>
      </c>
      <c r="E100" s="126"/>
      <c r="F100" s="126">
        <v>1201600</v>
      </c>
      <c r="G100" s="126">
        <f t="shared" si="5"/>
        <v>64760300</v>
      </c>
      <c r="J100" s="1"/>
    </row>
    <row r="101" spans="1:10" ht="60" customHeight="1" x14ac:dyDescent="0.25">
      <c r="A101" s="154">
        <v>61</v>
      </c>
      <c r="B101" s="160" t="s">
        <v>412</v>
      </c>
      <c r="C101" s="63" t="s">
        <v>413</v>
      </c>
      <c r="D101" s="87" t="s">
        <v>122</v>
      </c>
      <c r="E101" s="126"/>
      <c r="F101" s="126">
        <v>2798000</v>
      </c>
      <c r="G101" s="126">
        <f t="shared" si="5"/>
        <v>61962300</v>
      </c>
      <c r="J101" s="1"/>
    </row>
    <row r="102" spans="1:10" ht="60" customHeight="1" x14ac:dyDescent="0.25">
      <c r="A102" s="154">
        <v>62</v>
      </c>
      <c r="B102" s="160" t="s">
        <v>412</v>
      </c>
      <c r="C102" s="85" t="s">
        <v>414</v>
      </c>
      <c r="D102" s="66" t="s">
        <v>98</v>
      </c>
      <c r="E102" s="126"/>
      <c r="F102" s="126">
        <v>458000</v>
      </c>
      <c r="G102" s="126">
        <f t="shared" ref="G102:G114" si="6">G101-F102</f>
        <v>61504300</v>
      </c>
      <c r="J102" s="1"/>
    </row>
    <row r="103" spans="1:10" ht="51.75" customHeight="1" x14ac:dyDescent="0.25">
      <c r="A103" s="154">
        <v>63</v>
      </c>
      <c r="B103" s="160" t="s">
        <v>412</v>
      </c>
      <c r="C103" s="85" t="s">
        <v>415</v>
      </c>
      <c r="D103" s="68" t="s">
        <v>101</v>
      </c>
      <c r="E103" s="125"/>
      <c r="F103" s="126">
        <v>1000000</v>
      </c>
      <c r="G103" s="126">
        <f t="shared" si="6"/>
        <v>60504300</v>
      </c>
      <c r="J103" s="1"/>
    </row>
    <row r="104" spans="1:10" ht="47.25" customHeight="1" x14ac:dyDescent="0.25">
      <c r="A104" s="154">
        <v>64</v>
      </c>
      <c r="B104" s="160" t="s">
        <v>412</v>
      </c>
      <c r="C104" s="85" t="s">
        <v>415</v>
      </c>
      <c r="D104" s="68" t="s">
        <v>101</v>
      </c>
      <c r="E104" s="125"/>
      <c r="F104" s="126">
        <v>1327500</v>
      </c>
      <c r="G104" s="126">
        <f t="shared" si="6"/>
        <v>59176800</v>
      </c>
      <c r="J104" s="1"/>
    </row>
    <row r="105" spans="1:10" ht="48.75" customHeight="1" x14ac:dyDescent="0.25">
      <c r="A105" s="154">
        <v>65</v>
      </c>
      <c r="B105" s="160" t="s">
        <v>412</v>
      </c>
      <c r="C105" s="86" t="s">
        <v>418</v>
      </c>
      <c r="D105" s="71" t="s">
        <v>103</v>
      </c>
      <c r="E105" s="125"/>
      <c r="F105" s="126">
        <v>846400</v>
      </c>
      <c r="G105" s="126">
        <f t="shared" si="6"/>
        <v>58330400</v>
      </c>
      <c r="J105" s="1"/>
    </row>
    <row r="106" spans="1:10" ht="47.25" customHeight="1" x14ac:dyDescent="0.25">
      <c r="A106" s="154">
        <v>66</v>
      </c>
      <c r="B106" s="160" t="s">
        <v>416</v>
      </c>
      <c r="C106" s="63" t="s">
        <v>417</v>
      </c>
      <c r="D106" s="178" t="s">
        <v>255</v>
      </c>
      <c r="E106" s="62"/>
      <c r="F106" s="38">
        <v>500000</v>
      </c>
      <c r="G106" s="126">
        <f t="shared" si="6"/>
        <v>57830400</v>
      </c>
      <c r="J106" s="1"/>
    </row>
    <row r="107" spans="1:10" ht="70.5" customHeight="1" x14ac:dyDescent="0.25">
      <c r="A107" s="154">
        <v>67</v>
      </c>
      <c r="B107" s="160" t="s">
        <v>416</v>
      </c>
      <c r="C107" s="86" t="s">
        <v>419</v>
      </c>
      <c r="D107" s="87" t="s">
        <v>420</v>
      </c>
      <c r="E107" s="125"/>
      <c r="F107" s="126">
        <v>27500000</v>
      </c>
      <c r="G107" s="126">
        <f t="shared" si="6"/>
        <v>30330400</v>
      </c>
      <c r="J107" s="1"/>
    </row>
    <row r="108" spans="1:10" ht="48.75" customHeight="1" x14ac:dyDescent="0.25">
      <c r="A108" s="154">
        <v>68</v>
      </c>
      <c r="B108" s="160" t="s">
        <v>383</v>
      </c>
      <c r="C108" s="86" t="s">
        <v>421</v>
      </c>
      <c r="D108" s="87" t="s">
        <v>422</v>
      </c>
      <c r="E108" s="125"/>
      <c r="F108" s="126">
        <v>432000</v>
      </c>
      <c r="G108" s="126">
        <f t="shared" si="6"/>
        <v>29898400</v>
      </c>
      <c r="J108" s="1"/>
    </row>
    <row r="109" spans="1:10" ht="46.5" customHeight="1" x14ac:dyDescent="0.25">
      <c r="A109" s="154">
        <v>69</v>
      </c>
      <c r="B109" s="160" t="s">
        <v>383</v>
      </c>
      <c r="C109" s="86" t="s">
        <v>426</v>
      </c>
      <c r="D109" s="87" t="s">
        <v>423</v>
      </c>
      <c r="E109" s="125"/>
      <c r="F109" s="126">
        <v>576800</v>
      </c>
      <c r="G109" s="126">
        <f t="shared" si="6"/>
        <v>29321600</v>
      </c>
      <c r="J109" s="1"/>
    </row>
    <row r="110" spans="1:10" ht="46.5" customHeight="1" x14ac:dyDescent="0.25">
      <c r="A110" s="154">
        <v>70</v>
      </c>
      <c r="B110" s="160" t="s">
        <v>383</v>
      </c>
      <c r="C110" s="86" t="s">
        <v>427</v>
      </c>
      <c r="D110" s="87" t="s">
        <v>424</v>
      </c>
      <c r="E110" s="125"/>
      <c r="F110" s="126">
        <v>972600</v>
      </c>
      <c r="G110" s="126">
        <f t="shared" si="6"/>
        <v>28349000</v>
      </c>
      <c r="J110" s="1"/>
    </row>
    <row r="111" spans="1:10" ht="45.75" customHeight="1" x14ac:dyDescent="0.25">
      <c r="A111" s="154">
        <v>71</v>
      </c>
      <c r="B111" s="160" t="s">
        <v>383</v>
      </c>
      <c r="C111" s="86" t="s">
        <v>428</v>
      </c>
      <c r="D111" s="87" t="s">
        <v>425</v>
      </c>
      <c r="E111" s="125"/>
      <c r="F111" s="126">
        <v>572500</v>
      </c>
      <c r="G111" s="126">
        <f t="shared" si="6"/>
        <v>27776500</v>
      </c>
      <c r="J111" s="1"/>
    </row>
    <row r="112" spans="1:10" ht="32.25" customHeight="1" x14ac:dyDescent="0.25">
      <c r="A112" s="154">
        <v>72</v>
      </c>
      <c r="B112" s="160" t="s">
        <v>383</v>
      </c>
      <c r="C112" s="63" t="s">
        <v>430</v>
      </c>
      <c r="D112" s="87" t="s">
        <v>429</v>
      </c>
      <c r="E112" s="125"/>
      <c r="F112" s="126">
        <v>1000000</v>
      </c>
      <c r="G112" s="126">
        <f t="shared" si="6"/>
        <v>26776500</v>
      </c>
      <c r="J112" s="1"/>
    </row>
    <row r="113" spans="1:10" ht="35.25" customHeight="1" x14ac:dyDescent="0.25">
      <c r="A113" s="154">
        <v>73</v>
      </c>
      <c r="B113" s="160" t="s">
        <v>383</v>
      </c>
      <c r="C113" s="63" t="s">
        <v>431</v>
      </c>
      <c r="D113" s="87" t="s">
        <v>429</v>
      </c>
      <c r="E113" s="125"/>
      <c r="F113" s="126">
        <v>2000000</v>
      </c>
      <c r="G113" s="126">
        <f t="shared" si="6"/>
        <v>24776500</v>
      </c>
      <c r="J113" s="1"/>
    </row>
    <row r="114" spans="1:10" ht="60" customHeight="1" x14ac:dyDescent="0.25">
      <c r="A114" s="154">
        <v>74</v>
      </c>
      <c r="B114" s="160" t="s">
        <v>383</v>
      </c>
      <c r="C114" s="63" t="s">
        <v>432</v>
      </c>
      <c r="D114" s="87" t="s">
        <v>158</v>
      </c>
      <c r="E114" s="125"/>
      <c r="F114" s="126">
        <v>1740000</v>
      </c>
      <c r="G114" s="126">
        <f t="shared" si="6"/>
        <v>23036500</v>
      </c>
      <c r="J114" s="1"/>
    </row>
    <row r="115" spans="1:10" ht="69.75" customHeight="1" x14ac:dyDescent="0.25">
      <c r="A115" s="182">
        <v>75</v>
      </c>
      <c r="B115" s="211" t="s">
        <v>383</v>
      </c>
      <c r="C115" s="88" t="s">
        <v>433</v>
      </c>
      <c r="D115" s="89" t="s">
        <v>158</v>
      </c>
      <c r="E115" s="191"/>
      <c r="F115" s="184">
        <v>855100</v>
      </c>
      <c r="G115" s="184">
        <f>G114-F115</f>
        <v>22181400</v>
      </c>
      <c r="J115" s="1"/>
    </row>
    <row r="116" spans="1:10" ht="60" customHeight="1" x14ac:dyDescent="0.25">
      <c r="A116" s="212"/>
      <c r="B116" s="213"/>
      <c r="C116" s="144"/>
      <c r="D116" s="217"/>
      <c r="E116" s="214"/>
      <c r="F116" s="214"/>
      <c r="G116" s="214"/>
      <c r="J116" s="1"/>
    </row>
    <row r="117" spans="1:10" ht="60" customHeight="1" x14ac:dyDescent="0.25">
      <c r="A117" s="212"/>
      <c r="B117" s="213"/>
      <c r="C117" s="144"/>
      <c r="D117" s="217"/>
      <c r="E117" s="214"/>
      <c r="F117" s="214"/>
      <c r="G117" s="214"/>
      <c r="J117" s="1"/>
    </row>
    <row r="118" spans="1:10" ht="21.75" customHeight="1" x14ac:dyDescent="0.25">
      <c r="A118" s="185">
        <v>76</v>
      </c>
      <c r="B118" s="215" t="s">
        <v>383</v>
      </c>
      <c r="C118" s="216" t="s">
        <v>384</v>
      </c>
      <c r="D118" s="123"/>
      <c r="E118" s="218">
        <v>12750000</v>
      </c>
      <c r="F118" s="219"/>
      <c r="G118" s="189">
        <f>G115+E118</f>
        <v>34931400</v>
      </c>
    </row>
    <row r="119" spans="1:10" ht="69.95" customHeight="1" x14ac:dyDescent="0.25">
      <c r="A119" s="154">
        <v>77</v>
      </c>
      <c r="B119" s="160" t="s">
        <v>383</v>
      </c>
      <c r="C119" s="103" t="s">
        <v>389</v>
      </c>
      <c r="D119" s="68" t="s">
        <v>388</v>
      </c>
      <c r="E119" s="202"/>
      <c r="F119" s="91">
        <v>2380000</v>
      </c>
      <c r="G119" s="126">
        <f>G118-F119+E119</f>
        <v>32551400</v>
      </c>
    </row>
    <row r="120" spans="1:10" ht="69.95" customHeight="1" x14ac:dyDescent="0.25">
      <c r="A120" s="154">
        <v>78</v>
      </c>
      <c r="B120" s="160" t="s">
        <v>383</v>
      </c>
      <c r="C120" s="103" t="s">
        <v>390</v>
      </c>
      <c r="D120" s="68" t="s">
        <v>388</v>
      </c>
      <c r="E120" s="202"/>
      <c r="F120" s="91">
        <v>510000</v>
      </c>
      <c r="G120" s="126">
        <f t="shared" ref="G120:G127" si="7">G119-F120+E120</f>
        <v>32041400</v>
      </c>
    </row>
    <row r="121" spans="1:10" ht="69.95" customHeight="1" x14ac:dyDescent="0.25">
      <c r="A121" s="154">
        <v>79</v>
      </c>
      <c r="B121" s="160" t="s">
        <v>383</v>
      </c>
      <c r="C121" s="103" t="s">
        <v>391</v>
      </c>
      <c r="D121" s="68" t="s">
        <v>388</v>
      </c>
      <c r="E121" s="202"/>
      <c r="F121" s="91">
        <v>340000</v>
      </c>
      <c r="G121" s="126">
        <f t="shared" si="7"/>
        <v>31701400</v>
      </c>
    </row>
    <row r="122" spans="1:10" ht="69.95" customHeight="1" x14ac:dyDescent="0.25">
      <c r="A122" s="154">
        <v>80</v>
      </c>
      <c r="B122" s="160" t="s">
        <v>383</v>
      </c>
      <c r="C122" s="103" t="s">
        <v>392</v>
      </c>
      <c r="D122" s="68" t="s">
        <v>388</v>
      </c>
      <c r="E122" s="202"/>
      <c r="F122" s="91">
        <v>850000</v>
      </c>
      <c r="G122" s="126">
        <f t="shared" si="7"/>
        <v>30851400</v>
      </c>
    </row>
    <row r="123" spans="1:10" ht="69.95" customHeight="1" x14ac:dyDescent="0.25">
      <c r="A123" s="154">
        <v>81</v>
      </c>
      <c r="B123" s="160" t="s">
        <v>383</v>
      </c>
      <c r="C123" s="103" t="s">
        <v>393</v>
      </c>
      <c r="D123" s="68" t="s">
        <v>388</v>
      </c>
      <c r="E123" s="202"/>
      <c r="F123" s="91">
        <v>510000</v>
      </c>
      <c r="G123" s="126">
        <f>G122-F123+E123</f>
        <v>30341400</v>
      </c>
    </row>
    <row r="124" spans="1:10" ht="69.95" customHeight="1" x14ac:dyDescent="0.25">
      <c r="A124" s="154">
        <v>82</v>
      </c>
      <c r="B124" s="160" t="s">
        <v>383</v>
      </c>
      <c r="C124" s="103" t="s">
        <v>394</v>
      </c>
      <c r="D124" s="68" t="s">
        <v>388</v>
      </c>
      <c r="E124" s="202"/>
      <c r="F124" s="91">
        <v>1190000</v>
      </c>
      <c r="G124" s="126">
        <f t="shared" si="7"/>
        <v>29151400</v>
      </c>
    </row>
    <row r="125" spans="1:10" ht="69.95" customHeight="1" x14ac:dyDescent="0.25">
      <c r="A125" s="154">
        <v>83</v>
      </c>
      <c r="B125" s="160" t="s">
        <v>383</v>
      </c>
      <c r="C125" s="103" t="s">
        <v>395</v>
      </c>
      <c r="D125" s="68" t="s">
        <v>388</v>
      </c>
      <c r="E125" s="202"/>
      <c r="F125" s="91">
        <v>2380000</v>
      </c>
      <c r="G125" s="126">
        <f t="shared" si="7"/>
        <v>26771400</v>
      </c>
    </row>
    <row r="126" spans="1:10" ht="69.95" customHeight="1" x14ac:dyDescent="0.25">
      <c r="A126" s="154">
        <v>84</v>
      </c>
      <c r="B126" s="160" t="s">
        <v>383</v>
      </c>
      <c r="C126" s="103" t="s">
        <v>396</v>
      </c>
      <c r="D126" s="68" t="s">
        <v>388</v>
      </c>
      <c r="E126" s="202"/>
      <c r="F126" s="91">
        <v>2380000</v>
      </c>
      <c r="G126" s="126">
        <f t="shared" si="7"/>
        <v>24391400</v>
      </c>
    </row>
    <row r="127" spans="1:10" ht="69.95" customHeight="1" x14ac:dyDescent="0.25">
      <c r="A127" s="154">
        <v>85</v>
      </c>
      <c r="B127" s="160" t="s">
        <v>383</v>
      </c>
      <c r="C127" s="103" t="s">
        <v>397</v>
      </c>
      <c r="D127" s="68" t="s">
        <v>388</v>
      </c>
      <c r="E127" s="202"/>
      <c r="F127" s="91">
        <v>340000</v>
      </c>
      <c r="G127" s="126">
        <f t="shared" si="7"/>
        <v>24051400</v>
      </c>
    </row>
    <row r="128" spans="1:10" ht="69.95" customHeight="1" x14ac:dyDescent="0.25">
      <c r="A128" s="154">
        <v>86</v>
      </c>
      <c r="B128" s="160" t="s">
        <v>383</v>
      </c>
      <c r="C128" s="103" t="s">
        <v>398</v>
      </c>
      <c r="D128" s="68" t="s">
        <v>388</v>
      </c>
      <c r="E128" s="202"/>
      <c r="F128" s="91">
        <v>1870000</v>
      </c>
      <c r="G128" s="126">
        <f>G127-F128+E128</f>
        <v>22181400</v>
      </c>
      <c r="J128" s="1"/>
    </row>
    <row r="129" spans="1:7" ht="21" customHeight="1" x14ac:dyDescent="0.25">
      <c r="A129" s="154">
        <v>87</v>
      </c>
      <c r="B129" s="160" t="s">
        <v>383</v>
      </c>
      <c r="C129" s="172" t="s">
        <v>385</v>
      </c>
      <c r="D129" s="68"/>
      <c r="E129" s="202">
        <v>27450000</v>
      </c>
      <c r="F129" s="126"/>
      <c r="G129" s="126">
        <f>G128+E129</f>
        <v>49631400</v>
      </c>
    </row>
    <row r="130" spans="1:7" ht="60" customHeight="1" x14ac:dyDescent="0.25">
      <c r="A130" s="154">
        <v>88</v>
      </c>
      <c r="B130" s="160" t="s">
        <v>383</v>
      </c>
      <c r="C130" s="63" t="s">
        <v>386</v>
      </c>
      <c r="D130" s="157" t="s">
        <v>387</v>
      </c>
      <c r="E130" s="125"/>
      <c r="F130" s="126">
        <v>27450000</v>
      </c>
      <c r="G130" s="126">
        <f>G129-F130</f>
        <v>22181400</v>
      </c>
    </row>
    <row r="131" spans="1:7" ht="21.75" customHeight="1" x14ac:dyDescent="0.25">
      <c r="A131" s="154">
        <v>89</v>
      </c>
      <c r="B131" s="160" t="s">
        <v>448</v>
      </c>
      <c r="C131" s="172" t="s">
        <v>447</v>
      </c>
      <c r="D131" s="66"/>
      <c r="E131" s="153">
        <v>61240800</v>
      </c>
      <c r="F131" s="126"/>
      <c r="G131" s="126">
        <f>G130+E131</f>
        <v>83422200</v>
      </c>
    </row>
    <row r="132" spans="1:7" x14ac:dyDescent="0.25">
      <c r="A132" s="131"/>
      <c r="B132" s="132"/>
      <c r="C132" s="135" t="s">
        <v>40</v>
      </c>
      <c r="D132" s="136"/>
      <c r="E132" s="136">
        <f>SUM(E9:E131)</f>
        <v>429842614</v>
      </c>
      <c r="F132" s="136">
        <f>SUM(F9:F131)</f>
        <v>346420414</v>
      </c>
      <c r="G132" s="134">
        <f>E132-F132</f>
        <v>83422200</v>
      </c>
    </row>
    <row r="133" spans="1:7" x14ac:dyDescent="0.25">
      <c r="A133" s="131"/>
      <c r="B133" s="132"/>
      <c r="C133" s="135" t="s">
        <v>41</v>
      </c>
      <c r="D133" s="136"/>
      <c r="E133" s="134">
        <f>E132</f>
        <v>429842614</v>
      </c>
      <c r="F133" s="137">
        <f>F132</f>
        <v>346420414</v>
      </c>
      <c r="G133" s="134">
        <f>E133-F133</f>
        <v>83422200</v>
      </c>
    </row>
    <row r="134" spans="1:7" x14ac:dyDescent="0.25">
      <c r="A134" s="138" t="s">
        <v>192</v>
      </c>
      <c r="B134" s="139"/>
      <c r="C134" s="140"/>
      <c r="D134" s="141"/>
      <c r="E134" s="142"/>
      <c r="F134" s="142"/>
      <c r="G134" s="142"/>
    </row>
    <row r="135" spans="1:7" x14ac:dyDescent="0.25">
      <c r="A135" s="138" t="s">
        <v>478</v>
      </c>
      <c r="B135" s="143"/>
      <c r="C135" s="144"/>
      <c r="D135" s="145"/>
      <c r="E135" s="145"/>
      <c r="F135" s="145"/>
      <c r="G135" s="145"/>
    </row>
    <row r="136" spans="1:7" x14ac:dyDescent="0.25">
      <c r="A136" s="82"/>
      <c r="B136" s="143"/>
      <c r="C136" s="144"/>
      <c r="D136" s="145"/>
      <c r="E136" s="145"/>
      <c r="F136" s="145"/>
      <c r="G136" s="145"/>
    </row>
    <row r="137" spans="1:7" x14ac:dyDescent="0.25">
      <c r="A137" s="82"/>
      <c r="B137" s="81"/>
      <c r="C137" s="114"/>
      <c r="D137" s="146"/>
      <c r="E137" s="146"/>
      <c r="F137" s="146"/>
      <c r="G137" s="146"/>
    </row>
    <row r="138" spans="1:7" x14ac:dyDescent="0.25">
      <c r="A138" s="82"/>
      <c r="B138" s="82"/>
      <c r="C138" s="147" t="s">
        <v>42</v>
      </c>
      <c r="D138" s="148" t="s">
        <v>43</v>
      </c>
      <c r="E138" s="148">
        <v>0</v>
      </c>
      <c r="F138" s="148"/>
      <c r="G138" s="148"/>
    </row>
    <row r="139" spans="1:7" x14ac:dyDescent="0.25">
      <c r="A139" s="82"/>
      <c r="B139" s="82"/>
      <c r="C139" s="147" t="s">
        <v>44</v>
      </c>
      <c r="D139" s="148" t="s">
        <v>45</v>
      </c>
      <c r="E139" s="148">
        <v>83422200</v>
      </c>
      <c r="F139" s="148"/>
      <c r="G139" s="148"/>
    </row>
    <row r="140" spans="1:7" x14ac:dyDescent="0.25">
      <c r="A140" s="82"/>
      <c r="B140" s="82"/>
      <c r="C140" s="147"/>
      <c r="D140" s="149" t="s">
        <v>46</v>
      </c>
      <c r="E140" s="149">
        <f>E139+E138</f>
        <v>83422200</v>
      </c>
      <c r="F140" s="148"/>
      <c r="G140" s="148"/>
    </row>
    <row r="141" spans="1:7" x14ac:dyDescent="0.25">
      <c r="A141" s="82"/>
      <c r="B141" s="82"/>
      <c r="C141" s="114"/>
      <c r="D141" s="148"/>
      <c r="E141" s="148"/>
      <c r="F141" s="148"/>
      <c r="G141" s="148"/>
    </row>
    <row r="142" spans="1:7" x14ac:dyDescent="0.25">
      <c r="A142" s="82"/>
      <c r="B142" s="82"/>
      <c r="C142" s="147"/>
      <c r="D142" s="148"/>
      <c r="E142" s="148" t="s">
        <v>434</v>
      </c>
      <c r="F142" s="148"/>
      <c r="G142" s="148"/>
    </row>
    <row r="143" spans="1:7" x14ac:dyDescent="0.25">
      <c r="A143" s="82"/>
      <c r="B143" s="82" t="s">
        <v>435</v>
      </c>
      <c r="C143" s="147"/>
      <c r="D143" s="148"/>
      <c r="E143" s="274" t="s">
        <v>47</v>
      </c>
      <c r="F143" s="274"/>
      <c r="G143" s="148"/>
    </row>
    <row r="144" spans="1:7" x14ac:dyDescent="0.25">
      <c r="A144" s="82"/>
      <c r="B144" s="82"/>
      <c r="C144" s="147"/>
      <c r="D144" s="148"/>
      <c r="E144" s="148"/>
      <c r="F144" s="148"/>
      <c r="G144" s="148"/>
    </row>
    <row r="145" spans="1:7" x14ac:dyDescent="0.25">
      <c r="A145" s="82"/>
      <c r="B145" s="82"/>
      <c r="C145" s="147"/>
      <c r="D145" s="148"/>
      <c r="E145" s="148"/>
      <c r="F145" s="148"/>
      <c r="G145" s="148"/>
    </row>
    <row r="146" spans="1:7" x14ac:dyDescent="0.25">
      <c r="A146" s="82"/>
      <c r="B146" s="82"/>
      <c r="C146" s="147"/>
      <c r="D146" s="148"/>
      <c r="E146" s="148"/>
      <c r="F146" s="148"/>
      <c r="G146" s="148"/>
    </row>
    <row r="147" spans="1:7" x14ac:dyDescent="0.25">
      <c r="A147" s="82"/>
      <c r="B147" s="82"/>
      <c r="C147" s="114"/>
      <c r="D147" s="148"/>
      <c r="E147" s="148"/>
      <c r="F147" s="148"/>
      <c r="G147" s="148"/>
    </row>
    <row r="148" spans="1:7" x14ac:dyDescent="0.25">
      <c r="A148" s="82"/>
      <c r="B148" s="150" t="s">
        <v>64</v>
      </c>
      <c r="C148" s="114"/>
      <c r="D148" s="148"/>
      <c r="E148" s="151" t="s">
        <v>69</v>
      </c>
      <c r="F148" s="151"/>
      <c r="G148" s="148"/>
    </row>
    <row r="149" spans="1:7" x14ac:dyDescent="0.25">
      <c r="A149" s="80"/>
      <c r="B149" s="82" t="s">
        <v>65</v>
      </c>
      <c r="C149" s="114"/>
      <c r="D149" s="148"/>
      <c r="E149" s="210" t="s">
        <v>446</v>
      </c>
      <c r="F149" s="210"/>
      <c r="G149" s="148"/>
    </row>
    <row r="150" spans="1:7" x14ac:dyDescent="0.25">
      <c r="A150" s="203"/>
      <c r="B150" s="164"/>
      <c r="C150" s="164"/>
      <c r="D150" s="164"/>
      <c r="E150" s="164"/>
      <c r="F150" s="164"/>
      <c r="G150" s="164"/>
    </row>
    <row r="151" spans="1:7" x14ac:dyDescent="0.25">
      <c r="A151" s="203"/>
      <c r="B151" s="164"/>
      <c r="C151" s="164"/>
      <c r="D151" s="164"/>
      <c r="E151" s="164"/>
      <c r="F151" s="164"/>
      <c r="G151" s="164"/>
    </row>
    <row r="152" spans="1:7" x14ac:dyDescent="0.25">
      <c r="A152" s="203"/>
      <c r="B152" s="164"/>
      <c r="C152" s="164"/>
      <c r="D152" s="164"/>
      <c r="E152" s="164"/>
      <c r="F152" s="164"/>
      <c r="G152" s="164"/>
    </row>
    <row r="153" spans="1:7" x14ac:dyDescent="0.25">
      <c r="A153" s="203"/>
      <c r="B153" s="164"/>
      <c r="C153" s="164"/>
      <c r="D153" s="164"/>
      <c r="E153" s="164"/>
      <c r="F153" s="164"/>
      <c r="G153" s="164"/>
    </row>
    <row r="154" spans="1:7" x14ac:dyDescent="0.25">
      <c r="A154" s="203"/>
      <c r="B154" s="164"/>
      <c r="C154" s="164"/>
      <c r="D154" s="164"/>
      <c r="E154" s="164"/>
      <c r="F154" s="164"/>
      <c r="G154" s="164"/>
    </row>
    <row r="155" spans="1:7" x14ac:dyDescent="0.25">
      <c r="A155" s="203"/>
      <c r="B155" s="164"/>
      <c r="C155" s="164"/>
      <c r="D155" s="164"/>
      <c r="E155" s="164"/>
      <c r="F155" s="164"/>
      <c r="G155" s="164"/>
    </row>
    <row r="156" spans="1:7" x14ac:dyDescent="0.25">
      <c r="A156" s="203"/>
      <c r="B156" s="164"/>
      <c r="C156" s="164"/>
      <c r="D156" s="164"/>
      <c r="E156" s="164"/>
      <c r="F156" s="164"/>
      <c r="G156" s="164"/>
    </row>
    <row r="157" spans="1:7" x14ac:dyDescent="0.25">
      <c r="A157" s="203"/>
      <c r="B157" s="164"/>
      <c r="C157" s="164"/>
      <c r="D157" s="164"/>
      <c r="E157" s="164"/>
      <c r="F157" s="164"/>
      <c r="G157" s="164"/>
    </row>
  </sheetData>
  <mergeCells count="3">
    <mergeCell ref="A2:G2"/>
    <mergeCell ref="A3:G3"/>
    <mergeCell ref="E143:F143"/>
  </mergeCells>
  <pageMargins left="0.70866141732283472" right="0.70866141732283472" top="0.74803149606299213" bottom="0.74803149606299213" header="0.31496062992125984" footer="0.31496062992125984"/>
  <pageSetup paperSize="5" scale="60"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0A5AC-4C30-469E-A458-573E72D16582}">
  <sheetPr>
    <tabColor rgb="FFFF0000"/>
  </sheetPr>
  <dimension ref="A1:M140"/>
  <sheetViews>
    <sheetView view="pageBreakPreview" topLeftCell="A88" zoomScaleNormal="100" zoomScaleSheetLayoutView="100" workbookViewId="0">
      <selection activeCell="D97" sqref="D97:E97"/>
    </sheetView>
  </sheetViews>
  <sheetFormatPr defaultRowHeight="15" x14ac:dyDescent="0.25"/>
  <cols>
    <col min="1" max="1" width="3" customWidth="1"/>
    <col min="2" max="2" width="9.7109375" customWidth="1"/>
    <col min="3" max="3" width="9.140625" customWidth="1"/>
    <col min="4" max="4" width="26.28515625" customWidth="1"/>
    <col min="5" max="5" width="57.5703125" customWidth="1"/>
    <col min="6" max="6" width="14.28515625" customWidth="1"/>
    <col min="7" max="7" width="14" customWidth="1"/>
    <col min="8" max="8" width="11.85546875" customWidth="1"/>
    <col min="12" max="12" width="13.28515625" bestFit="1" customWidth="1"/>
  </cols>
  <sheetData>
    <row r="1" spans="1:8" x14ac:dyDescent="0.25">
      <c r="A1" s="245"/>
      <c r="B1" s="245"/>
      <c r="C1" s="245"/>
      <c r="D1" s="245"/>
      <c r="E1" s="243" t="s">
        <v>0</v>
      </c>
      <c r="F1" s="245"/>
      <c r="G1" s="245"/>
      <c r="H1" s="245"/>
    </row>
    <row r="2" spans="1:8" x14ac:dyDescent="0.25">
      <c r="A2" s="245"/>
      <c r="B2" s="245"/>
      <c r="C2" s="245"/>
      <c r="D2" s="245"/>
      <c r="E2" s="243" t="s">
        <v>1</v>
      </c>
      <c r="F2" s="245"/>
      <c r="G2" s="245"/>
      <c r="H2" s="245"/>
    </row>
    <row r="3" spans="1:8" x14ac:dyDescent="0.25">
      <c r="A3" s="109"/>
      <c r="B3" s="110"/>
      <c r="C3" s="112"/>
      <c r="D3" s="112"/>
      <c r="E3" s="111"/>
      <c r="F3" s="112"/>
      <c r="G3" s="112"/>
      <c r="H3" s="112"/>
    </row>
    <row r="4" spans="1:8" x14ac:dyDescent="0.25">
      <c r="A4" s="113" t="s">
        <v>2</v>
      </c>
      <c r="B4" s="113"/>
      <c r="C4" s="112"/>
      <c r="D4" s="112"/>
      <c r="E4" s="111" t="s">
        <v>164</v>
      </c>
      <c r="F4" s="112"/>
      <c r="G4" s="112"/>
      <c r="H4" s="112"/>
    </row>
    <row r="5" spans="1:8" x14ac:dyDescent="0.25">
      <c r="A5" s="80"/>
      <c r="B5" s="82"/>
      <c r="C5" s="115"/>
      <c r="D5" s="115"/>
      <c r="E5" s="114"/>
      <c r="F5" s="115"/>
      <c r="G5" s="115"/>
      <c r="H5" s="115"/>
    </row>
    <row r="6" spans="1:8" x14ac:dyDescent="0.25">
      <c r="A6" s="116" t="s">
        <v>3</v>
      </c>
      <c r="B6" s="117" t="s">
        <v>4</v>
      </c>
      <c r="C6" s="119" t="s">
        <v>494</v>
      </c>
      <c r="D6" s="119" t="s">
        <v>6</v>
      </c>
      <c r="E6" s="118" t="s">
        <v>5</v>
      </c>
      <c r="F6" s="119" t="s">
        <v>7</v>
      </c>
      <c r="G6" s="119" t="s">
        <v>8</v>
      </c>
      <c r="H6" s="119" t="s">
        <v>9</v>
      </c>
    </row>
    <row r="7" spans="1:8" x14ac:dyDescent="0.25">
      <c r="A7" s="120">
        <v>1</v>
      </c>
      <c r="B7" s="121">
        <v>2</v>
      </c>
      <c r="C7" s="121">
        <v>3</v>
      </c>
      <c r="D7" s="121">
        <v>4</v>
      </c>
      <c r="E7" s="121">
        <v>5</v>
      </c>
      <c r="F7" s="121">
        <v>6</v>
      </c>
      <c r="G7" s="121">
        <v>7</v>
      </c>
      <c r="H7" s="121">
        <v>8</v>
      </c>
    </row>
    <row r="8" spans="1:8" x14ac:dyDescent="0.25">
      <c r="A8" s="122"/>
      <c r="B8" s="123"/>
      <c r="C8" s="91"/>
      <c r="D8" s="91"/>
      <c r="E8" s="85" t="s">
        <v>10</v>
      </c>
      <c r="F8" s="124">
        <v>83422200</v>
      </c>
      <c r="G8" s="124"/>
      <c r="H8" s="166">
        <f>F8</f>
        <v>83422200</v>
      </c>
    </row>
    <row r="9" spans="1:8" ht="24" x14ac:dyDescent="0.25">
      <c r="A9" s="159">
        <v>1</v>
      </c>
      <c r="B9" s="160" t="s">
        <v>450</v>
      </c>
      <c r="C9" s="231">
        <v>1</v>
      </c>
      <c r="D9" s="161"/>
      <c r="E9" s="172" t="s">
        <v>451</v>
      </c>
      <c r="F9" s="161"/>
      <c r="G9" s="161"/>
      <c r="H9" s="167"/>
    </row>
    <row r="10" spans="1:8" x14ac:dyDescent="0.25">
      <c r="A10" s="162"/>
      <c r="B10" s="162"/>
      <c r="C10" s="231"/>
      <c r="D10" s="163"/>
      <c r="E10" s="155" t="s">
        <v>365</v>
      </c>
      <c r="F10" s="161"/>
      <c r="G10" s="163"/>
      <c r="H10" s="168"/>
    </row>
    <row r="11" spans="1:8" x14ac:dyDescent="0.25">
      <c r="A11" s="162"/>
      <c r="B11" s="162"/>
      <c r="C11" s="231">
        <v>2</v>
      </c>
      <c r="D11" s="163" t="s">
        <v>50</v>
      </c>
      <c r="E11" s="155" t="s">
        <v>11</v>
      </c>
      <c r="F11" s="163">
        <v>88521800</v>
      </c>
      <c r="G11" s="163"/>
      <c r="H11" s="163">
        <f>H8+F11</f>
        <v>171944000</v>
      </c>
    </row>
    <row r="12" spans="1:8" x14ac:dyDescent="0.25">
      <c r="A12" s="162"/>
      <c r="B12" s="162"/>
      <c r="C12" s="231">
        <v>3</v>
      </c>
      <c r="D12" s="163" t="s">
        <v>51</v>
      </c>
      <c r="E12" s="155" t="s">
        <v>12</v>
      </c>
      <c r="F12" s="163">
        <v>4479448</v>
      </c>
      <c r="G12" s="163"/>
      <c r="H12" s="163">
        <f t="shared" ref="H12:H25" si="0">H11+F12</f>
        <v>176423448</v>
      </c>
    </row>
    <row r="13" spans="1:8" x14ac:dyDescent="0.25">
      <c r="A13" s="162"/>
      <c r="B13" s="162"/>
      <c r="C13" s="231"/>
      <c r="D13" s="163"/>
      <c r="E13" s="155" t="s">
        <v>13</v>
      </c>
      <c r="F13" s="163">
        <v>0</v>
      </c>
      <c r="G13" s="163"/>
      <c r="H13" s="163">
        <f t="shared" si="0"/>
        <v>176423448</v>
      </c>
    </row>
    <row r="14" spans="1:8" x14ac:dyDescent="0.25">
      <c r="A14" s="162"/>
      <c r="B14" s="162"/>
      <c r="C14" s="231">
        <v>4</v>
      </c>
      <c r="D14" s="163" t="s">
        <v>52</v>
      </c>
      <c r="E14" s="155" t="s">
        <v>14</v>
      </c>
      <c r="F14" s="163">
        <v>8725000</v>
      </c>
      <c r="G14" s="163"/>
      <c r="H14" s="163">
        <f t="shared" si="0"/>
        <v>185148448</v>
      </c>
    </row>
    <row r="15" spans="1:8" x14ac:dyDescent="0.25">
      <c r="A15" s="154"/>
      <c r="B15" s="154"/>
      <c r="C15" s="232">
        <v>5</v>
      </c>
      <c r="D15" s="126" t="s">
        <v>53</v>
      </c>
      <c r="E15" s="155" t="s">
        <v>15</v>
      </c>
      <c r="F15" s="126">
        <v>3240000</v>
      </c>
      <c r="G15" s="126"/>
      <c r="H15" s="126">
        <f t="shared" si="0"/>
        <v>188388448</v>
      </c>
    </row>
    <row r="16" spans="1:8" x14ac:dyDescent="0.25">
      <c r="A16" s="154"/>
      <c r="B16" s="154"/>
      <c r="C16" s="231">
        <v>6</v>
      </c>
      <c r="D16" s="126" t="s">
        <v>54</v>
      </c>
      <c r="E16" s="155" t="s">
        <v>16</v>
      </c>
      <c r="F16" s="126">
        <v>1465000</v>
      </c>
      <c r="G16" s="126"/>
      <c r="H16" s="126">
        <f t="shared" si="0"/>
        <v>189853448</v>
      </c>
    </row>
    <row r="17" spans="1:8" x14ac:dyDescent="0.25">
      <c r="A17" s="154"/>
      <c r="B17" s="154"/>
      <c r="C17" s="232">
        <v>7</v>
      </c>
      <c r="D17" s="126" t="s">
        <v>55</v>
      </c>
      <c r="E17" s="155" t="s">
        <v>17</v>
      </c>
      <c r="F17" s="126">
        <v>4257250</v>
      </c>
      <c r="G17" s="126"/>
      <c r="H17" s="126">
        <f t="shared" si="0"/>
        <v>194110698</v>
      </c>
    </row>
    <row r="18" spans="1:8" x14ac:dyDescent="0.25">
      <c r="A18" s="154"/>
      <c r="B18" s="154"/>
      <c r="C18" s="231">
        <v>8</v>
      </c>
      <c r="D18" s="126" t="s">
        <v>56</v>
      </c>
      <c r="E18" s="155" t="s">
        <v>18</v>
      </c>
      <c r="F18" s="126">
        <v>3331320</v>
      </c>
      <c r="G18" s="126"/>
      <c r="H18" s="126">
        <f t="shared" si="0"/>
        <v>197442018</v>
      </c>
    </row>
    <row r="19" spans="1:8" x14ac:dyDescent="0.25">
      <c r="A19" s="154"/>
      <c r="B19" s="154"/>
      <c r="C19" s="232"/>
      <c r="D19" s="126"/>
      <c r="E19" s="155" t="s">
        <v>19</v>
      </c>
      <c r="F19" s="126"/>
      <c r="G19" s="126"/>
      <c r="H19" s="126">
        <f t="shared" si="0"/>
        <v>197442018</v>
      </c>
    </row>
    <row r="20" spans="1:8" x14ac:dyDescent="0.25">
      <c r="A20" s="154"/>
      <c r="B20" s="154"/>
      <c r="C20" s="232"/>
      <c r="D20" s="126"/>
      <c r="E20" s="155" t="s">
        <v>20</v>
      </c>
      <c r="F20" s="126"/>
      <c r="G20" s="126"/>
      <c r="H20" s="126">
        <f t="shared" si="0"/>
        <v>197442018</v>
      </c>
    </row>
    <row r="21" spans="1:8" x14ac:dyDescent="0.25">
      <c r="A21" s="154"/>
      <c r="B21" s="154"/>
      <c r="C21" s="232">
        <v>9</v>
      </c>
      <c r="D21" s="126" t="s">
        <v>57</v>
      </c>
      <c r="E21" s="155" t="s">
        <v>21</v>
      </c>
      <c r="F21" s="126">
        <v>196625</v>
      </c>
      <c r="G21" s="126"/>
      <c r="H21" s="126">
        <f t="shared" si="0"/>
        <v>197638643</v>
      </c>
    </row>
    <row r="22" spans="1:8" x14ac:dyDescent="0.25">
      <c r="A22" s="154"/>
      <c r="B22" s="154"/>
      <c r="C22" s="232"/>
      <c r="D22" s="126"/>
      <c r="E22" s="155" t="s">
        <v>22</v>
      </c>
      <c r="F22" s="126"/>
      <c r="G22" s="126"/>
      <c r="H22" s="126">
        <f t="shared" si="0"/>
        <v>197638643</v>
      </c>
    </row>
    <row r="23" spans="1:8" x14ac:dyDescent="0.25">
      <c r="A23" s="154"/>
      <c r="B23" s="154"/>
      <c r="C23" s="232">
        <v>10</v>
      </c>
      <c r="D23" s="126" t="s">
        <v>59</v>
      </c>
      <c r="E23" s="155" t="s">
        <v>23</v>
      </c>
      <c r="F23" s="126">
        <v>212450</v>
      </c>
      <c r="G23" s="126"/>
      <c r="H23" s="126">
        <f t="shared" si="0"/>
        <v>197851093</v>
      </c>
    </row>
    <row r="24" spans="1:8" x14ac:dyDescent="0.25">
      <c r="A24" s="154"/>
      <c r="B24" s="154"/>
      <c r="C24" s="232">
        <v>11</v>
      </c>
      <c r="D24" s="126" t="s">
        <v>58</v>
      </c>
      <c r="E24" s="155" t="s">
        <v>24</v>
      </c>
      <c r="F24" s="126">
        <v>637356</v>
      </c>
      <c r="G24" s="126"/>
      <c r="H24" s="126">
        <f t="shared" si="0"/>
        <v>198488449</v>
      </c>
    </row>
    <row r="25" spans="1:8" x14ac:dyDescent="0.25">
      <c r="A25" s="154"/>
      <c r="B25" s="154"/>
      <c r="C25" s="232">
        <v>12</v>
      </c>
      <c r="D25" s="126" t="s">
        <v>60</v>
      </c>
      <c r="E25" s="155" t="s">
        <v>25</v>
      </c>
      <c r="F25" s="126">
        <v>1244</v>
      </c>
      <c r="G25" s="126"/>
      <c r="H25" s="126">
        <f t="shared" si="0"/>
        <v>198489693</v>
      </c>
    </row>
    <row r="26" spans="1:8" x14ac:dyDescent="0.25">
      <c r="A26" s="154"/>
      <c r="B26" s="154"/>
      <c r="C26" s="232"/>
      <c r="D26" s="126" t="s">
        <v>27</v>
      </c>
      <c r="E26" s="155" t="s">
        <v>26</v>
      </c>
      <c r="F26" s="126"/>
      <c r="G26" s="126"/>
      <c r="H26" s="126"/>
    </row>
    <row r="27" spans="1:8" x14ac:dyDescent="0.25">
      <c r="A27" s="154"/>
      <c r="B27" s="154"/>
      <c r="C27" s="232"/>
      <c r="D27" s="126"/>
      <c r="E27" s="155" t="s">
        <v>48</v>
      </c>
      <c r="F27" s="126"/>
      <c r="G27" s="126">
        <v>7440100</v>
      </c>
      <c r="H27" s="126">
        <f>H25-G27</f>
        <v>191049593</v>
      </c>
    </row>
    <row r="28" spans="1:8" x14ac:dyDescent="0.25">
      <c r="A28" s="154"/>
      <c r="B28" s="154"/>
      <c r="C28" s="232"/>
      <c r="D28" s="126"/>
      <c r="E28" s="155" t="s">
        <v>28</v>
      </c>
      <c r="F28" s="126"/>
      <c r="G28" s="126">
        <f>F21</f>
        <v>196625</v>
      </c>
      <c r="H28" s="126">
        <f t="shared" ref="H28:H41" si="1">H27-G28</f>
        <v>190852968</v>
      </c>
    </row>
    <row r="29" spans="1:8" x14ac:dyDescent="0.25">
      <c r="A29" s="154"/>
      <c r="B29" s="154"/>
      <c r="C29" s="232"/>
      <c r="D29" s="126"/>
      <c r="E29" s="155" t="s">
        <v>29</v>
      </c>
      <c r="F29" s="126"/>
      <c r="G29" s="126">
        <v>0</v>
      </c>
      <c r="H29" s="126">
        <f t="shared" si="1"/>
        <v>190852968</v>
      </c>
    </row>
    <row r="30" spans="1:8" x14ac:dyDescent="0.25">
      <c r="A30" s="154"/>
      <c r="B30" s="154"/>
      <c r="C30" s="232"/>
      <c r="D30" s="126"/>
      <c r="E30" s="155" t="s">
        <v>30</v>
      </c>
      <c r="F30" s="126"/>
      <c r="G30" s="126">
        <v>0</v>
      </c>
      <c r="H30" s="126">
        <f t="shared" si="1"/>
        <v>190852968</v>
      </c>
    </row>
    <row r="31" spans="1:8" x14ac:dyDescent="0.25">
      <c r="A31" s="154"/>
      <c r="B31" s="154"/>
      <c r="C31" s="232"/>
      <c r="D31" s="126"/>
      <c r="E31" s="155" t="s">
        <v>31</v>
      </c>
      <c r="F31" s="126"/>
      <c r="G31" s="126">
        <v>0</v>
      </c>
      <c r="H31" s="126">
        <f t="shared" si="1"/>
        <v>190852968</v>
      </c>
    </row>
    <row r="32" spans="1:8" x14ac:dyDescent="0.25">
      <c r="A32" s="154"/>
      <c r="B32" s="154"/>
      <c r="C32" s="232"/>
      <c r="D32" s="126"/>
      <c r="E32" s="155" t="s">
        <v>17</v>
      </c>
      <c r="F32" s="126"/>
      <c r="G32" s="126">
        <f>F17</f>
        <v>4257250</v>
      </c>
      <c r="H32" s="126">
        <f t="shared" si="1"/>
        <v>186595718</v>
      </c>
    </row>
    <row r="33" spans="1:8" x14ac:dyDescent="0.25">
      <c r="A33" s="154"/>
      <c r="B33" s="154"/>
      <c r="C33" s="232"/>
      <c r="D33" s="126"/>
      <c r="E33" s="155" t="s">
        <v>63</v>
      </c>
      <c r="F33" s="126"/>
      <c r="G33" s="126">
        <v>0</v>
      </c>
      <c r="H33" s="126">
        <f t="shared" si="1"/>
        <v>186595718</v>
      </c>
    </row>
    <row r="34" spans="1:8" x14ac:dyDescent="0.25">
      <c r="A34" s="154"/>
      <c r="B34" s="154"/>
      <c r="C34" s="232"/>
      <c r="D34" s="126"/>
      <c r="E34" s="155" t="s">
        <v>32</v>
      </c>
      <c r="F34" s="126"/>
      <c r="G34" s="126">
        <v>0</v>
      </c>
      <c r="H34" s="126">
        <f t="shared" si="1"/>
        <v>186595718</v>
      </c>
    </row>
    <row r="35" spans="1:8" x14ac:dyDescent="0.25">
      <c r="A35" s="154"/>
      <c r="B35" s="154"/>
      <c r="C35" s="232"/>
      <c r="D35" s="126"/>
      <c r="E35" s="155" t="s">
        <v>33</v>
      </c>
      <c r="F35" s="126"/>
      <c r="G35" s="126">
        <f>F23</f>
        <v>212450</v>
      </c>
      <c r="H35" s="126">
        <f t="shared" si="1"/>
        <v>186383268</v>
      </c>
    </row>
    <row r="36" spans="1:8" x14ac:dyDescent="0.25">
      <c r="A36" s="154"/>
      <c r="B36" s="154"/>
      <c r="C36" s="232"/>
      <c r="D36" s="126"/>
      <c r="E36" s="155" t="s">
        <v>34</v>
      </c>
      <c r="F36" s="126"/>
      <c r="G36" s="126">
        <f>F24</f>
        <v>637356</v>
      </c>
      <c r="H36" s="126">
        <f t="shared" si="1"/>
        <v>185745912</v>
      </c>
    </row>
    <row r="37" spans="1:8" x14ac:dyDescent="0.25">
      <c r="A37" s="154"/>
      <c r="B37" s="154"/>
      <c r="C37" s="232"/>
      <c r="D37" s="126"/>
      <c r="E37" s="155" t="s">
        <v>49</v>
      </c>
      <c r="F37" s="126"/>
      <c r="G37" s="126">
        <v>1064312</v>
      </c>
      <c r="H37" s="126">
        <f t="shared" si="1"/>
        <v>184681600</v>
      </c>
    </row>
    <row r="38" spans="1:8" x14ac:dyDescent="0.25">
      <c r="A38" s="154"/>
      <c r="B38" s="154"/>
      <c r="C38" s="232"/>
      <c r="D38" s="126"/>
      <c r="E38" s="155" t="s">
        <v>35</v>
      </c>
      <c r="F38" s="126"/>
      <c r="G38" s="126">
        <v>0</v>
      </c>
      <c r="H38" s="126">
        <f t="shared" si="1"/>
        <v>184681600</v>
      </c>
    </row>
    <row r="39" spans="1:8" x14ac:dyDescent="0.25">
      <c r="A39" s="154"/>
      <c r="B39" s="154"/>
      <c r="C39" s="232"/>
      <c r="D39" s="126"/>
      <c r="E39" s="155" t="s">
        <v>36</v>
      </c>
      <c r="F39" s="126"/>
      <c r="G39" s="126">
        <v>0</v>
      </c>
      <c r="H39" s="126">
        <f t="shared" si="1"/>
        <v>184681600</v>
      </c>
    </row>
    <row r="40" spans="1:8" x14ac:dyDescent="0.25">
      <c r="A40" s="154"/>
      <c r="B40" s="154"/>
      <c r="C40" s="232"/>
      <c r="D40" s="126"/>
      <c r="E40" s="155" t="s">
        <v>37</v>
      </c>
      <c r="F40" s="126"/>
      <c r="G40" s="126">
        <v>0</v>
      </c>
      <c r="H40" s="126">
        <f t="shared" si="1"/>
        <v>184681600</v>
      </c>
    </row>
    <row r="41" spans="1:8" x14ac:dyDescent="0.25">
      <c r="A41" s="154">
        <v>2</v>
      </c>
      <c r="B41" s="160" t="s">
        <v>450</v>
      </c>
      <c r="C41" s="233">
        <v>13</v>
      </c>
      <c r="D41" s="126"/>
      <c r="E41" s="155" t="s">
        <v>37</v>
      </c>
      <c r="F41" s="126"/>
      <c r="G41" s="126">
        <v>0</v>
      </c>
      <c r="H41" s="126">
        <f t="shared" si="1"/>
        <v>184681600</v>
      </c>
    </row>
    <row r="42" spans="1:8" x14ac:dyDescent="0.25">
      <c r="A42" s="154">
        <v>3</v>
      </c>
      <c r="B42" s="160" t="s">
        <v>450</v>
      </c>
      <c r="C42" s="233">
        <v>14</v>
      </c>
      <c r="D42" s="126"/>
      <c r="E42" s="155" t="s">
        <v>39</v>
      </c>
      <c r="F42" s="126" t="s">
        <v>38</v>
      </c>
      <c r="G42" s="126" t="s">
        <v>38</v>
      </c>
      <c r="H42" s="126"/>
    </row>
    <row r="43" spans="1:8" x14ac:dyDescent="0.25">
      <c r="A43" s="154">
        <v>4</v>
      </c>
      <c r="B43" s="160" t="s">
        <v>450</v>
      </c>
      <c r="C43" s="234">
        <v>15</v>
      </c>
      <c r="D43" s="171"/>
      <c r="E43" s="170" t="s">
        <v>72</v>
      </c>
      <c r="F43" s="171"/>
      <c r="G43" s="153">
        <v>101259400</v>
      </c>
      <c r="H43" s="153">
        <f>H41-G43</f>
        <v>83422200</v>
      </c>
    </row>
    <row r="44" spans="1:8" ht="51" x14ac:dyDescent="0.25">
      <c r="A44" s="154"/>
      <c r="B44" s="160" t="s">
        <v>450</v>
      </c>
      <c r="C44" s="235">
        <v>16</v>
      </c>
      <c r="D44" s="224" t="s">
        <v>475</v>
      </c>
      <c r="E44" s="227" t="s">
        <v>465</v>
      </c>
      <c r="F44" s="126"/>
      <c r="G44" s="126">
        <v>3075000</v>
      </c>
      <c r="H44" s="126">
        <f t="shared" ref="H44" si="2">H43-G44</f>
        <v>80347200</v>
      </c>
    </row>
    <row r="45" spans="1:8" x14ac:dyDescent="0.25">
      <c r="A45" s="154"/>
      <c r="B45" s="160"/>
      <c r="C45" s="238"/>
      <c r="D45" s="224"/>
      <c r="E45" s="63"/>
      <c r="F45" s="126"/>
      <c r="G45" s="126"/>
      <c r="H45" s="126"/>
    </row>
    <row r="46" spans="1:8" ht="51" x14ac:dyDescent="0.25">
      <c r="A46" s="154"/>
      <c r="B46" s="160" t="s">
        <v>450</v>
      </c>
      <c r="C46" s="234">
        <v>17</v>
      </c>
      <c r="D46" s="68" t="s">
        <v>476</v>
      </c>
      <c r="E46" s="228" t="s">
        <v>464</v>
      </c>
      <c r="F46" s="125"/>
      <c r="G46" s="126">
        <v>2000000</v>
      </c>
      <c r="H46" s="126">
        <f>H44-G46</f>
        <v>78347200</v>
      </c>
    </row>
    <row r="47" spans="1:8" x14ac:dyDescent="0.25">
      <c r="A47" s="154"/>
      <c r="B47" s="160"/>
      <c r="C47" s="233"/>
      <c r="D47" s="68"/>
      <c r="E47" s="228"/>
      <c r="F47" s="125"/>
      <c r="G47" s="126"/>
      <c r="H47" s="126"/>
    </row>
    <row r="48" spans="1:8" ht="51" x14ac:dyDescent="0.25">
      <c r="A48" s="154"/>
      <c r="B48" s="160" t="s">
        <v>450</v>
      </c>
      <c r="C48" s="235">
        <v>18</v>
      </c>
      <c r="D48" s="68" t="s">
        <v>477</v>
      </c>
      <c r="E48" s="228" t="s">
        <v>469</v>
      </c>
      <c r="F48" s="125"/>
      <c r="G48" s="126">
        <v>2750000</v>
      </c>
      <c r="H48" s="126">
        <f>H46-G48</f>
        <v>75597200</v>
      </c>
    </row>
    <row r="49" spans="1:12" x14ac:dyDescent="0.25">
      <c r="A49" s="154"/>
      <c r="B49" s="160"/>
      <c r="C49" s="238"/>
      <c r="D49" s="68"/>
      <c r="E49" s="228"/>
      <c r="F49" s="126"/>
      <c r="G49" s="126"/>
      <c r="H49" s="126"/>
    </row>
    <row r="50" spans="1:12" ht="63.75" x14ac:dyDescent="0.25">
      <c r="A50" s="154"/>
      <c r="B50" s="160" t="s">
        <v>450</v>
      </c>
      <c r="C50" s="234">
        <v>19</v>
      </c>
      <c r="D50" s="224" t="s">
        <v>474</v>
      </c>
      <c r="E50" s="63" t="s">
        <v>466</v>
      </c>
      <c r="F50" s="126"/>
      <c r="G50" s="126">
        <v>1990000</v>
      </c>
      <c r="H50" s="126">
        <f>H48-G50</f>
        <v>73607200</v>
      </c>
    </row>
    <row r="51" spans="1:12" x14ac:dyDescent="0.25">
      <c r="A51" s="154"/>
      <c r="B51" s="160"/>
      <c r="C51" s="233"/>
      <c r="D51" s="224"/>
      <c r="E51" s="63"/>
      <c r="F51" s="126"/>
      <c r="G51" s="126"/>
      <c r="H51" s="126"/>
    </row>
    <row r="52" spans="1:12" ht="63.75" x14ac:dyDescent="0.25">
      <c r="A52" s="154"/>
      <c r="B52" s="160" t="s">
        <v>450</v>
      </c>
      <c r="C52" s="235">
        <v>20</v>
      </c>
      <c r="D52" s="87" t="s">
        <v>474</v>
      </c>
      <c r="E52" s="63" t="s">
        <v>467</v>
      </c>
      <c r="F52" s="126"/>
      <c r="G52" s="126">
        <v>1950000</v>
      </c>
      <c r="H52" s="126">
        <f>H50-G52</f>
        <v>71657200</v>
      </c>
    </row>
    <row r="53" spans="1:12" x14ac:dyDescent="0.25">
      <c r="A53" s="154"/>
      <c r="B53" s="160"/>
      <c r="C53" s="238"/>
      <c r="D53" s="87"/>
      <c r="E53" s="63"/>
      <c r="F53" s="126"/>
      <c r="G53" s="126"/>
      <c r="H53" s="126"/>
    </row>
    <row r="54" spans="1:12" ht="63.75" x14ac:dyDescent="0.25">
      <c r="A54" s="154"/>
      <c r="B54" s="160" t="s">
        <v>450</v>
      </c>
      <c r="C54" s="234">
        <v>21</v>
      </c>
      <c r="D54" s="87" t="s">
        <v>474</v>
      </c>
      <c r="E54" s="63" t="s">
        <v>467</v>
      </c>
      <c r="F54" s="126"/>
      <c r="G54" s="126">
        <v>1950000</v>
      </c>
      <c r="H54" s="126">
        <f>H52-G54</f>
        <v>69707200</v>
      </c>
    </row>
    <row r="55" spans="1:12" x14ac:dyDescent="0.25">
      <c r="A55" s="154"/>
      <c r="B55" s="160"/>
      <c r="C55" s="233"/>
      <c r="D55" s="224"/>
      <c r="E55" s="63"/>
      <c r="F55" s="126"/>
      <c r="G55" s="126"/>
      <c r="H55" s="126"/>
    </row>
    <row r="56" spans="1:12" ht="63.75" x14ac:dyDescent="0.25">
      <c r="A56" s="154"/>
      <c r="B56" s="160" t="s">
        <v>450</v>
      </c>
      <c r="C56" s="235">
        <v>22</v>
      </c>
      <c r="D56" s="68" t="s">
        <v>473</v>
      </c>
      <c r="E56" s="228" t="s">
        <v>468</v>
      </c>
      <c r="F56" s="125"/>
      <c r="G56" s="126">
        <v>5500000</v>
      </c>
      <c r="H56" s="126">
        <f>H54-G56</f>
        <v>64207200</v>
      </c>
    </row>
    <row r="57" spans="1:12" x14ac:dyDescent="0.25">
      <c r="A57" s="154"/>
      <c r="B57" s="160"/>
      <c r="C57" s="238"/>
      <c r="D57" s="68"/>
      <c r="E57" s="85"/>
      <c r="F57" s="126"/>
      <c r="G57" s="126"/>
      <c r="H57" s="126"/>
    </row>
    <row r="58" spans="1:12" ht="63.75" x14ac:dyDescent="0.25">
      <c r="A58" s="154"/>
      <c r="B58" s="160" t="s">
        <v>450</v>
      </c>
      <c r="C58" s="234">
        <v>23</v>
      </c>
      <c r="D58" s="66" t="s">
        <v>472</v>
      </c>
      <c r="E58" s="85" t="s">
        <v>537</v>
      </c>
      <c r="F58" s="126"/>
      <c r="G58" s="126">
        <v>10000000</v>
      </c>
      <c r="H58" s="126">
        <f>H56-G58</f>
        <v>54207200</v>
      </c>
    </row>
    <row r="59" spans="1:12" ht="24" x14ac:dyDescent="0.25">
      <c r="A59" s="154"/>
      <c r="B59" s="160" t="s">
        <v>453</v>
      </c>
      <c r="C59" s="236">
        <v>24</v>
      </c>
      <c r="D59" s="66"/>
      <c r="E59" s="172" t="s">
        <v>452</v>
      </c>
      <c r="F59" s="153">
        <v>7140000</v>
      </c>
      <c r="G59" s="126"/>
      <c r="H59" s="126">
        <f>H58+F59</f>
        <v>61347200</v>
      </c>
    </row>
    <row r="60" spans="1:12" ht="89.25" x14ac:dyDescent="0.25">
      <c r="A60" s="154"/>
      <c r="B60" s="160" t="s">
        <v>453</v>
      </c>
      <c r="C60" s="237">
        <v>25</v>
      </c>
      <c r="D60" s="68" t="s">
        <v>457</v>
      </c>
      <c r="E60" s="225" t="s">
        <v>456</v>
      </c>
      <c r="F60" s="126"/>
      <c r="G60" s="126">
        <v>1360000</v>
      </c>
      <c r="H60" s="126">
        <f>H59-G60</f>
        <v>59987200</v>
      </c>
      <c r="L60" s="1">
        <f>SUM(G60:G69)</f>
        <v>7140000</v>
      </c>
    </row>
    <row r="61" spans="1:12" x14ac:dyDescent="0.25">
      <c r="A61" s="154"/>
      <c r="B61" s="160"/>
      <c r="C61" s="237"/>
      <c r="D61" s="68"/>
      <c r="E61" s="225"/>
      <c r="F61" s="126"/>
      <c r="G61" s="126"/>
      <c r="H61" s="126"/>
      <c r="L61" s="1"/>
    </row>
    <row r="62" spans="1:12" ht="89.25" x14ac:dyDescent="0.25">
      <c r="A62" s="154"/>
      <c r="B62" s="160" t="s">
        <v>453</v>
      </c>
      <c r="C62" s="237">
        <v>26</v>
      </c>
      <c r="D62" s="68" t="s">
        <v>470</v>
      </c>
      <c r="E62" s="225" t="s">
        <v>458</v>
      </c>
      <c r="F62" s="126"/>
      <c r="G62" s="126">
        <v>1360000</v>
      </c>
      <c r="H62" s="126">
        <f>H60-G62</f>
        <v>58627200</v>
      </c>
    </row>
    <row r="63" spans="1:12" x14ac:dyDescent="0.25">
      <c r="A63" s="154"/>
      <c r="B63" s="160"/>
      <c r="C63" s="237"/>
      <c r="D63" s="68"/>
      <c r="E63" s="225"/>
      <c r="F63" s="126"/>
      <c r="G63" s="126"/>
      <c r="H63" s="126"/>
    </row>
    <row r="64" spans="1:12" x14ac:dyDescent="0.25">
      <c r="A64" s="154"/>
      <c r="B64" s="160"/>
      <c r="C64" s="237"/>
      <c r="D64" s="68"/>
      <c r="E64" s="225"/>
      <c r="F64" s="126"/>
      <c r="G64" s="126"/>
      <c r="H64" s="126"/>
    </row>
    <row r="65" spans="1:11" ht="89.25" x14ac:dyDescent="0.25">
      <c r="A65" s="154"/>
      <c r="B65" s="160" t="s">
        <v>453</v>
      </c>
      <c r="C65" s="237">
        <v>27</v>
      </c>
      <c r="D65" s="68" t="s">
        <v>470</v>
      </c>
      <c r="E65" s="225" t="s">
        <v>459</v>
      </c>
      <c r="F65" s="126"/>
      <c r="G65" s="126">
        <v>1700000</v>
      </c>
      <c r="H65" s="126">
        <f>H62-G65</f>
        <v>56927200</v>
      </c>
    </row>
    <row r="66" spans="1:11" x14ac:dyDescent="0.25">
      <c r="A66" s="154"/>
      <c r="B66" s="160"/>
      <c r="C66" s="237"/>
      <c r="D66" s="68"/>
      <c r="E66" s="225"/>
      <c r="F66" s="126"/>
      <c r="G66" s="126"/>
      <c r="H66" s="126"/>
    </row>
    <row r="67" spans="1:11" ht="89.25" x14ac:dyDescent="0.25">
      <c r="A67" s="154"/>
      <c r="B67" s="160" t="s">
        <v>453</v>
      </c>
      <c r="C67" s="237">
        <v>28</v>
      </c>
      <c r="D67" s="68" t="s">
        <v>470</v>
      </c>
      <c r="E67" s="225" t="s">
        <v>460</v>
      </c>
      <c r="F67" s="126"/>
      <c r="G67" s="126">
        <v>1360000</v>
      </c>
      <c r="H67" s="126">
        <f>H65-G67</f>
        <v>55567200</v>
      </c>
    </row>
    <row r="68" spans="1:11" x14ac:dyDescent="0.25">
      <c r="A68" s="154"/>
      <c r="B68" s="160"/>
      <c r="C68" s="237"/>
      <c r="D68" s="68"/>
      <c r="E68" s="225"/>
      <c r="F68" s="126"/>
      <c r="G68" s="126"/>
      <c r="H68" s="126"/>
    </row>
    <row r="69" spans="1:11" ht="89.25" x14ac:dyDescent="0.25">
      <c r="A69" s="154"/>
      <c r="B69" s="160" t="s">
        <v>453</v>
      </c>
      <c r="C69" s="237">
        <v>29</v>
      </c>
      <c r="D69" s="68" t="s">
        <v>470</v>
      </c>
      <c r="E69" s="225" t="s">
        <v>461</v>
      </c>
      <c r="F69" s="126"/>
      <c r="G69" s="126">
        <v>1360000</v>
      </c>
      <c r="H69" s="126">
        <f>H67-G69</f>
        <v>54207200</v>
      </c>
    </row>
    <row r="70" spans="1:11" ht="24" x14ac:dyDescent="0.25">
      <c r="A70" s="154"/>
      <c r="B70" s="160" t="s">
        <v>453</v>
      </c>
      <c r="C70" s="237">
        <v>30</v>
      </c>
      <c r="D70" s="68"/>
      <c r="E70" s="226" t="s">
        <v>454</v>
      </c>
      <c r="F70" s="153">
        <v>8250000</v>
      </c>
      <c r="G70" s="126"/>
      <c r="H70" s="126">
        <f>H69+F70</f>
        <v>62457200</v>
      </c>
    </row>
    <row r="71" spans="1:11" ht="89.25" customHeight="1" x14ac:dyDescent="0.25">
      <c r="A71" s="154"/>
      <c r="B71" s="160" t="s">
        <v>453</v>
      </c>
      <c r="C71" s="237">
        <v>31</v>
      </c>
      <c r="D71" s="66" t="s">
        <v>471</v>
      </c>
      <c r="E71" s="228" t="s">
        <v>463</v>
      </c>
      <c r="F71" s="153"/>
      <c r="G71" s="126">
        <v>8250000</v>
      </c>
      <c r="H71" s="126">
        <f>H70-G71</f>
        <v>54207200</v>
      </c>
    </row>
    <row r="72" spans="1:11" ht="24" x14ac:dyDescent="0.25">
      <c r="A72" s="154"/>
      <c r="B72" s="160" t="s">
        <v>453</v>
      </c>
      <c r="C72" s="237">
        <v>32</v>
      </c>
      <c r="D72" s="68"/>
      <c r="E72" s="226" t="s">
        <v>455</v>
      </c>
      <c r="F72" s="153">
        <v>5000000</v>
      </c>
      <c r="G72" s="126"/>
      <c r="H72" s="126">
        <f>H71+F72</f>
        <v>59207200</v>
      </c>
    </row>
    <row r="73" spans="1:11" ht="38.25" customHeight="1" x14ac:dyDescent="0.25">
      <c r="A73" s="154"/>
      <c r="B73" s="160" t="s">
        <v>453</v>
      </c>
      <c r="C73" s="237">
        <v>33</v>
      </c>
      <c r="D73" s="177" t="s">
        <v>85</v>
      </c>
      <c r="E73" s="169" t="s">
        <v>462</v>
      </c>
      <c r="F73" s="153"/>
      <c r="G73" s="126">
        <v>5000000</v>
      </c>
      <c r="H73" s="126">
        <f>H72-G73</f>
        <v>54207200</v>
      </c>
    </row>
    <row r="74" spans="1:11" ht="38.25" customHeight="1" x14ac:dyDescent="0.25">
      <c r="A74" s="154"/>
      <c r="B74" s="160"/>
      <c r="C74" s="237"/>
      <c r="D74" s="239"/>
      <c r="E74" s="228"/>
      <c r="F74" s="153"/>
      <c r="G74" s="126"/>
      <c r="H74" s="126"/>
    </row>
    <row r="75" spans="1:11" ht="51" x14ac:dyDescent="0.25">
      <c r="A75" s="154"/>
      <c r="B75" s="160" t="s">
        <v>453</v>
      </c>
      <c r="C75" s="237">
        <v>34</v>
      </c>
      <c r="D75" s="68" t="s">
        <v>479</v>
      </c>
      <c r="E75" s="228" t="s">
        <v>481</v>
      </c>
      <c r="F75" s="126"/>
      <c r="G75" s="126">
        <v>8250000</v>
      </c>
      <c r="H75" s="126">
        <f>H73-G75</f>
        <v>45957200</v>
      </c>
    </row>
    <row r="76" spans="1:11" x14ac:dyDescent="0.25">
      <c r="A76" s="154"/>
      <c r="B76" s="160"/>
      <c r="C76" s="237"/>
      <c r="D76" s="68"/>
      <c r="E76" s="228"/>
      <c r="F76" s="126"/>
      <c r="G76" s="126"/>
      <c r="H76" s="126"/>
    </row>
    <row r="77" spans="1:11" ht="51" x14ac:dyDescent="0.25">
      <c r="A77" s="154"/>
      <c r="B77" s="160" t="s">
        <v>453</v>
      </c>
      <c r="C77" s="237">
        <v>35</v>
      </c>
      <c r="D77" s="68" t="s">
        <v>479</v>
      </c>
      <c r="E77" s="228" t="s">
        <v>480</v>
      </c>
      <c r="F77" s="126"/>
      <c r="G77" s="126">
        <v>22000000</v>
      </c>
      <c r="H77" s="126">
        <f>H75-G77</f>
        <v>23957200</v>
      </c>
      <c r="K77">
        <f>400*55000</f>
        <v>22000000</v>
      </c>
    </row>
    <row r="78" spans="1:11" x14ac:dyDescent="0.25">
      <c r="A78" s="154"/>
      <c r="B78" s="160"/>
      <c r="C78" s="237"/>
      <c r="D78" s="68"/>
      <c r="E78" s="228"/>
      <c r="F78" s="126"/>
      <c r="G78" s="126"/>
      <c r="H78" s="126"/>
    </row>
    <row r="79" spans="1:11" ht="51" x14ac:dyDescent="0.25">
      <c r="A79" s="154"/>
      <c r="B79" s="160" t="s">
        <v>453</v>
      </c>
      <c r="C79" s="237">
        <v>36</v>
      </c>
      <c r="D79" s="68" t="s">
        <v>483</v>
      </c>
      <c r="E79" s="228" t="s">
        <v>482</v>
      </c>
      <c r="F79" s="126"/>
      <c r="G79" s="126">
        <v>405500</v>
      </c>
      <c r="H79" s="126">
        <f>H77-G79</f>
        <v>23551700</v>
      </c>
    </row>
    <row r="80" spans="1:11" ht="51" x14ac:dyDescent="0.25">
      <c r="A80" s="154"/>
      <c r="B80" s="160" t="s">
        <v>453</v>
      </c>
      <c r="C80" s="237">
        <v>37</v>
      </c>
      <c r="D80" s="68" t="s">
        <v>484</v>
      </c>
      <c r="E80" s="228" t="s">
        <v>487</v>
      </c>
      <c r="F80" s="126"/>
      <c r="G80" s="126">
        <v>824000</v>
      </c>
      <c r="H80" s="126">
        <f t="shared" ref="H80:H81" si="3">H79-G80</f>
        <v>22727700</v>
      </c>
    </row>
    <row r="81" spans="1:13" ht="38.25" x14ac:dyDescent="0.25">
      <c r="A81" s="154"/>
      <c r="B81" s="160" t="s">
        <v>453</v>
      </c>
      <c r="C81" s="237">
        <v>38</v>
      </c>
      <c r="D81" s="68" t="s">
        <v>485</v>
      </c>
      <c r="E81" s="228" t="s">
        <v>488</v>
      </c>
      <c r="F81" s="126"/>
      <c r="G81" s="126">
        <v>1429500</v>
      </c>
      <c r="H81" s="126">
        <f t="shared" si="3"/>
        <v>21298200</v>
      </c>
    </row>
    <row r="82" spans="1:13" x14ac:dyDescent="0.25">
      <c r="A82" s="154"/>
      <c r="B82" s="160"/>
      <c r="C82" s="237"/>
      <c r="D82" s="68"/>
      <c r="E82" s="228"/>
      <c r="F82" s="126"/>
      <c r="G82" s="126"/>
      <c r="H82" s="126"/>
    </row>
    <row r="83" spans="1:13" ht="51" x14ac:dyDescent="0.25">
      <c r="A83" s="154"/>
      <c r="B83" s="160" t="s">
        <v>453</v>
      </c>
      <c r="C83" s="237">
        <v>39</v>
      </c>
      <c r="D83" s="68" t="s">
        <v>485</v>
      </c>
      <c r="E83" s="228" t="s">
        <v>489</v>
      </c>
      <c r="F83" s="126"/>
      <c r="G83" s="126">
        <v>572500</v>
      </c>
      <c r="H83" s="126">
        <f>H81-G83</f>
        <v>20725700</v>
      </c>
    </row>
    <row r="84" spans="1:13" x14ac:dyDescent="0.25">
      <c r="A84" s="154"/>
      <c r="B84" s="160"/>
      <c r="C84" s="237"/>
      <c r="D84" s="68"/>
      <c r="E84" s="228"/>
      <c r="F84" s="126"/>
      <c r="G84" s="126"/>
      <c r="H84" s="126"/>
    </row>
    <row r="85" spans="1:13" ht="51" x14ac:dyDescent="0.25">
      <c r="A85" s="154"/>
      <c r="B85" s="160" t="s">
        <v>453</v>
      </c>
      <c r="C85" s="237">
        <v>40</v>
      </c>
      <c r="D85" s="68" t="s">
        <v>486</v>
      </c>
      <c r="E85" s="228" t="s">
        <v>490</v>
      </c>
      <c r="F85" s="126"/>
      <c r="G85" s="126">
        <v>572600</v>
      </c>
      <c r="H85" s="126">
        <f>H83-G85</f>
        <v>20153100</v>
      </c>
    </row>
    <row r="86" spans="1:13" ht="38.25" x14ac:dyDescent="0.25">
      <c r="A86" s="154"/>
      <c r="B86" s="160" t="s">
        <v>453</v>
      </c>
      <c r="C86" s="237">
        <v>41</v>
      </c>
      <c r="D86" s="66" t="s">
        <v>491</v>
      </c>
      <c r="E86" s="85" t="s">
        <v>539</v>
      </c>
      <c r="F86" s="126"/>
      <c r="G86" s="126">
        <v>1000000</v>
      </c>
      <c r="H86" s="126">
        <f>H85-G86</f>
        <v>19153100</v>
      </c>
    </row>
    <row r="87" spans="1:13" x14ac:dyDescent="0.25">
      <c r="A87" s="154"/>
      <c r="B87" s="160"/>
      <c r="C87" s="237"/>
      <c r="D87" s="66"/>
      <c r="E87" s="85"/>
      <c r="F87" s="126"/>
      <c r="G87" s="126"/>
      <c r="H87" s="126"/>
    </row>
    <row r="88" spans="1:13" ht="51" x14ac:dyDescent="0.25">
      <c r="A88" s="154"/>
      <c r="B88" s="160" t="s">
        <v>453</v>
      </c>
      <c r="C88" s="237">
        <v>42</v>
      </c>
      <c r="D88" s="66" t="s">
        <v>492</v>
      </c>
      <c r="E88" s="85" t="s">
        <v>540</v>
      </c>
      <c r="F88" s="126"/>
      <c r="G88" s="126">
        <v>1000000</v>
      </c>
      <c r="H88" s="126">
        <f>H86-G88</f>
        <v>18153100</v>
      </c>
    </row>
    <row r="89" spans="1:13" x14ac:dyDescent="0.25">
      <c r="A89" s="154"/>
      <c r="B89" s="160"/>
      <c r="C89" s="237"/>
      <c r="D89" s="66"/>
      <c r="E89" s="85"/>
      <c r="F89" s="126"/>
      <c r="G89" s="126"/>
      <c r="H89" s="126"/>
    </row>
    <row r="90" spans="1:13" ht="51" x14ac:dyDescent="0.25">
      <c r="A90" s="154"/>
      <c r="B90" s="160" t="s">
        <v>453</v>
      </c>
      <c r="C90" s="237">
        <v>43</v>
      </c>
      <c r="D90" s="66" t="s">
        <v>493</v>
      </c>
      <c r="E90" s="228" t="s">
        <v>538</v>
      </c>
      <c r="F90" s="126"/>
      <c r="G90" s="126">
        <v>9400000</v>
      </c>
      <c r="H90" s="126">
        <f>H88-G90</f>
        <v>8753100</v>
      </c>
      <c r="L90" s="2">
        <v>3203600</v>
      </c>
      <c r="M90" s="2"/>
    </row>
    <row r="91" spans="1:13" ht="24" x14ac:dyDescent="0.25">
      <c r="A91" s="154"/>
      <c r="B91" s="160" t="s">
        <v>498</v>
      </c>
      <c r="C91" s="237">
        <v>44</v>
      </c>
      <c r="D91" s="66"/>
      <c r="E91" s="226" t="s">
        <v>499</v>
      </c>
      <c r="F91" s="153">
        <v>12000000</v>
      </c>
      <c r="G91" s="126"/>
      <c r="H91" s="126">
        <f>H90+F91</f>
        <v>20753100</v>
      </c>
      <c r="L91" s="2"/>
      <c r="M91" s="2"/>
    </row>
    <row r="92" spans="1:13" ht="38.25" x14ac:dyDescent="0.25">
      <c r="A92" s="154"/>
      <c r="B92" s="160"/>
      <c r="C92" s="237">
        <v>45</v>
      </c>
      <c r="D92" s="66" t="s">
        <v>500</v>
      </c>
      <c r="E92" s="228" t="s">
        <v>501</v>
      </c>
      <c r="F92" s="126"/>
      <c r="G92" s="126">
        <v>12000000</v>
      </c>
      <c r="H92" s="126">
        <f>H91-G92</f>
        <v>8753100</v>
      </c>
      <c r="L92" s="2"/>
      <c r="M92" s="2"/>
    </row>
    <row r="93" spans="1:13" x14ac:dyDescent="0.25">
      <c r="A93" s="154"/>
      <c r="B93" s="160"/>
      <c r="C93" s="237"/>
      <c r="D93" s="66"/>
      <c r="E93" s="228"/>
      <c r="F93" s="126"/>
      <c r="G93" s="126"/>
      <c r="H93" s="126"/>
      <c r="L93" s="2"/>
      <c r="M93" s="2"/>
    </row>
    <row r="94" spans="1:13" ht="63.75" x14ac:dyDescent="0.25">
      <c r="A94" s="154"/>
      <c r="B94" s="160" t="s">
        <v>496</v>
      </c>
      <c r="C94" s="237">
        <v>46</v>
      </c>
      <c r="D94" s="207" t="s">
        <v>495</v>
      </c>
      <c r="E94" s="207" t="s">
        <v>497</v>
      </c>
      <c r="F94" s="126"/>
      <c r="G94" s="126">
        <v>2200000</v>
      </c>
      <c r="H94" s="126">
        <f>H92-G94</f>
        <v>6553100</v>
      </c>
      <c r="L94" s="2"/>
      <c r="M94" s="2"/>
    </row>
    <row r="95" spans="1:13" x14ac:dyDescent="0.25">
      <c r="A95" s="154"/>
      <c r="B95" s="160"/>
      <c r="C95" s="240"/>
      <c r="D95" s="207"/>
      <c r="E95" s="207"/>
      <c r="F95" s="126"/>
      <c r="G95" s="126"/>
      <c r="H95" s="126"/>
      <c r="L95" s="2"/>
      <c r="M95" s="2"/>
    </row>
    <row r="96" spans="1:13" ht="24" x14ac:dyDescent="0.25">
      <c r="A96" s="154"/>
      <c r="B96" s="160" t="s">
        <v>502</v>
      </c>
      <c r="C96" s="237"/>
      <c r="D96" s="66"/>
      <c r="E96" s="226" t="s">
        <v>503</v>
      </c>
      <c r="F96" s="153">
        <v>6720000</v>
      </c>
      <c r="G96" s="126"/>
      <c r="H96" s="126">
        <f>H94+F96</f>
        <v>13273100</v>
      </c>
      <c r="L96" s="2">
        <f>H90-L90</f>
        <v>5549500</v>
      </c>
      <c r="M96" s="2"/>
    </row>
    <row r="97" spans="1:13" ht="51" x14ac:dyDescent="0.25">
      <c r="A97" s="154"/>
      <c r="B97" s="160" t="s">
        <v>502</v>
      </c>
      <c r="C97" s="240">
        <v>47</v>
      </c>
      <c r="D97" s="125" t="s">
        <v>513</v>
      </c>
      <c r="E97" s="162" t="s">
        <v>519</v>
      </c>
      <c r="F97" s="126"/>
      <c r="G97" s="126">
        <v>6720000</v>
      </c>
      <c r="H97" s="126">
        <f>H96-G97</f>
        <v>6553100</v>
      </c>
      <c r="L97" s="2"/>
      <c r="M97" s="2"/>
    </row>
    <row r="98" spans="1:13" ht="24" x14ac:dyDescent="0.25">
      <c r="A98" s="154"/>
      <c r="B98" s="160" t="s">
        <v>502</v>
      </c>
      <c r="C98" s="237">
        <v>48</v>
      </c>
      <c r="D98" s="66"/>
      <c r="E98" s="226" t="s">
        <v>504</v>
      </c>
      <c r="F98" s="153">
        <v>4200000</v>
      </c>
      <c r="G98" s="126"/>
      <c r="H98" s="126">
        <f>H97+F98</f>
        <v>10753100</v>
      </c>
    </row>
    <row r="99" spans="1:13" ht="51" x14ac:dyDescent="0.25">
      <c r="A99" s="154"/>
      <c r="B99" s="160" t="s">
        <v>506</v>
      </c>
      <c r="C99" s="240">
        <v>49</v>
      </c>
      <c r="D99" s="125" t="s">
        <v>511</v>
      </c>
      <c r="E99" s="162" t="s">
        <v>512</v>
      </c>
      <c r="F99" s="126"/>
      <c r="G99" s="126">
        <v>4200000</v>
      </c>
      <c r="H99" s="126">
        <f t="shared" ref="H99:H116" si="4">H98-G99</f>
        <v>6553100</v>
      </c>
    </row>
    <row r="100" spans="1:13" ht="24" x14ac:dyDescent="0.25">
      <c r="A100" s="154"/>
      <c r="B100" s="160" t="s">
        <v>506</v>
      </c>
      <c r="C100" s="236">
        <v>50</v>
      </c>
      <c r="D100" s="82"/>
      <c r="E100" s="226" t="s">
        <v>505</v>
      </c>
      <c r="F100" s="153">
        <v>8250000</v>
      </c>
      <c r="G100" s="126"/>
      <c r="H100" s="126">
        <f>H99+F100</f>
        <v>14803100</v>
      </c>
    </row>
    <row r="101" spans="1:13" ht="51" x14ac:dyDescent="0.25">
      <c r="A101" s="154"/>
      <c r="B101" s="160" t="s">
        <v>506</v>
      </c>
      <c r="C101" s="236">
        <v>51</v>
      </c>
      <c r="D101" s="68" t="s">
        <v>509</v>
      </c>
      <c r="E101" s="228" t="s">
        <v>510</v>
      </c>
      <c r="F101" s="126"/>
      <c r="G101" s="126">
        <v>8250000</v>
      </c>
      <c r="H101" s="126">
        <f t="shared" si="4"/>
        <v>6553100</v>
      </c>
    </row>
    <row r="102" spans="1:13" x14ac:dyDescent="0.25">
      <c r="A102" s="154"/>
      <c r="B102" s="160"/>
      <c r="C102" s="236"/>
      <c r="D102" s="82"/>
      <c r="E102" s="228"/>
      <c r="F102" s="126"/>
      <c r="G102" s="126"/>
      <c r="H102" s="126"/>
    </row>
    <row r="103" spans="1:13" x14ac:dyDescent="0.25">
      <c r="A103" s="154"/>
      <c r="B103" s="160"/>
      <c r="C103" s="236"/>
      <c r="D103" s="82"/>
      <c r="E103" s="228"/>
      <c r="F103" s="126"/>
      <c r="G103" s="126"/>
      <c r="H103" s="126"/>
    </row>
    <row r="104" spans="1:13" x14ac:dyDescent="0.25">
      <c r="A104" s="154"/>
      <c r="B104" s="160"/>
      <c r="C104" s="236"/>
      <c r="D104" s="82"/>
      <c r="E104" s="228"/>
      <c r="F104" s="126"/>
      <c r="G104" s="126"/>
      <c r="H104" s="126"/>
    </row>
    <row r="105" spans="1:13" ht="24" x14ac:dyDescent="0.25">
      <c r="A105" s="154"/>
      <c r="B105" s="160" t="s">
        <v>506</v>
      </c>
      <c r="C105" s="241">
        <v>52</v>
      </c>
      <c r="D105" s="82"/>
      <c r="E105" s="226" t="s">
        <v>507</v>
      </c>
      <c r="F105" s="153">
        <v>5460000</v>
      </c>
      <c r="G105" s="126"/>
      <c r="H105" s="126">
        <f>H101+F105</f>
        <v>12013100</v>
      </c>
    </row>
    <row r="106" spans="1:13" ht="51" x14ac:dyDescent="0.25">
      <c r="A106" s="154"/>
      <c r="B106" s="160" t="s">
        <v>506</v>
      </c>
      <c r="C106" s="236">
        <v>53</v>
      </c>
      <c r="D106" s="68" t="s">
        <v>521</v>
      </c>
      <c r="E106" s="228" t="s">
        <v>520</v>
      </c>
      <c r="F106" s="125"/>
      <c r="G106" s="126">
        <v>5460000</v>
      </c>
      <c r="H106" s="126">
        <f t="shared" si="4"/>
        <v>6553100</v>
      </c>
    </row>
    <row r="107" spans="1:13" x14ac:dyDescent="0.25">
      <c r="A107" s="154"/>
      <c r="B107" s="160"/>
      <c r="C107" s="236"/>
      <c r="D107" s="82"/>
      <c r="E107" s="228"/>
      <c r="F107" s="126"/>
      <c r="G107" s="126"/>
      <c r="H107" s="126"/>
    </row>
    <row r="108" spans="1:13" ht="24" x14ac:dyDescent="0.25">
      <c r="A108" s="154"/>
      <c r="B108" s="160" t="s">
        <v>506</v>
      </c>
      <c r="C108" s="236">
        <v>54</v>
      </c>
      <c r="D108" s="82"/>
      <c r="E108" s="226" t="s">
        <v>508</v>
      </c>
      <c r="F108" s="153">
        <v>76869100</v>
      </c>
      <c r="G108" s="126"/>
      <c r="H108" s="126">
        <f>H106+F108</f>
        <v>83422200</v>
      </c>
    </row>
    <row r="109" spans="1:13" ht="72" x14ac:dyDescent="0.25">
      <c r="A109" s="154"/>
      <c r="B109" s="160" t="s">
        <v>506</v>
      </c>
      <c r="C109" s="241">
        <v>55</v>
      </c>
      <c r="D109" s="82" t="s">
        <v>522</v>
      </c>
      <c r="E109" s="229" t="s">
        <v>523</v>
      </c>
      <c r="F109" s="153"/>
      <c r="G109" s="126">
        <v>11622600</v>
      </c>
      <c r="H109" s="126">
        <f>H108-G109</f>
        <v>71799600</v>
      </c>
    </row>
    <row r="110" spans="1:13" ht="60" x14ac:dyDescent="0.25">
      <c r="A110" s="154"/>
      <c r="B110" s="160" t="s">
        <v>514</v>
      </c>
      <c r="C110" s="236">
        <v>56</v>
      </c>
      <c r="D110" s="82" t="s">
        <v>524</v>
      </c>
      <c r="E110" s="229" t="s">
        <v>525</v>
      </c>
      <c r="F110" s="153"/>
      <c r="G110" s="126">
        <v>5000000</v>
      </c>
      <c r="H110" s="126">
        <f>H109-G110</f>
        <v>66799600</v>
      </c>
    </row>
    <row r="111" spans="1:13" ht="60" x14ac:dyDescent="0.25">
      <c r="A111" s="154"/>
      <c r="B111" s="160" t="s">
        <v>514</v>
      </c>
      <c r="C111" s="236">
        <v>57</v>
      </c>
      <c r="D111" s="82" t="s">
        <v>526</v>
      </c>
      <c r="E111" s="229" t="s">
        <v>527</v>
      </c>
      <c r="F111" s="153"/>
      <c r="G111" s="126">
        <v>1650000</v>
      </c>
      <c r="H111" s="126">
        <f>H110-G111</f>
        <v>65149600</v>
      </c>
    </row>
    <row r="112" spans="1:13" x14ac:dyDescent="0.25">
      <c r="A112" s="154"/>
      <c r="B112" s="160"/>
      <c r="C112" s="236"/>
      <c r="D112" s="82"/>
      <c r="E112" s="229"/>
      <c r="F112" s="153"/>
      <c r="G112" s="126"/>
      <c r="H112" s="126"/>
    </row>
    <row r="113" spans="1:8" ht="60" x14ac:dyDescent="0.25">
      <c r="A113" s="154"/>
      <c r="B113" s="160" t="s">
        <v>514</v>
      </c>
      <c r="C113" s="241">
        <v>58</v>
      </c>
      <c r="D113" s="82" t="s">
        <v>526</v>
      </c>
      <c r="E113" s="229" t="s">
        <v>528</v>
      </c>
      <c r="F113" s="153"/>
      <c r="G113" s="126">
        <v>2750000</v>
      </c>
      <c r="H113" s="126">
        <f>H111-G113</f>
        <v>62399600</v>
      </c>
    </row>
    <row r="114" spans="1:8" ht="60" x14ac:dyDescent="0.25">
      <c r="A114" s="154"/>
      <c r="B114" s="160" t="s">
        <v>514</v>
      </c>
      <c r="C114" s="236">
        <v>59</v>
      </c>
      <c r="D114" s="82" t="s">
        <v>529</v>
      </c>
      <c r="E114" s="229" t="s">
        <v>530</v>
      </c>
      <c r="F114" s="153"/>
      <c r="G114" s="126">
        <v>2400000</v>
      </c>
      <c r="H114" s="126">
        <f>H113-G114</f>
        <v>59999600</v>
      </c>
    </row>
    <row r="115" spans="1:8" ht="24" x14ac:dyDescent="0.25">
      <c r="A115" s="154"/>
      <c r="B115" s="160" t="s">
        <v>514</v>
      </c>
      <c r="C115" s="241">
        <v>60</v>
      </c>
      <c r="D115" s="82"/>
      <c r="E115" s="226" t="s">
        <v>515</v>
      </c>
      <c r="F115" s="153">
        <v>22500000</v>
      </c>
      <c r="G115" s="126"/>
      <c r="H115" s="126">
        <f>H114+F115</f>
        <v>82499600</v>
      </c>
    </row>
    <row r="116" spans="1:8" ht="63.75" x14ac:dyDescent="0.25">
      <c r="A116" s="154"/>
      <c r="B116" s="160" t="s">
        <v>514</v>
      </c>
      <c r="C116" s="236">
        <v>61</v>
      </c>
      <c r="D116" s="87" t="s">
        <v>531</v>
      </c>
      <c r="E116" s="86" t="s">
        <v>532</v>
      </c>
      <c r="F116" s="125"/>
      <c r="G116" s="126">
        <v>22500000</v>
      </c>
      <c r="H116" s="126">
        <f t="shared" si="4"/>
        <v>59999600</v>
      </c>
    </row>
    <row r="117" spans="1:8" ht="24" x14ac:dyDescent="0.25">
      <c r="A117" s="154"/>
      <c r="B117" s="160" t="s">
        <v>516</v>
      </c>
      <c r="C117" s="236">
        <v>62</v>
      </c>
      <c r="D117" s="82"/>
      <c r="E117" s="226" t="s">
        <v>517</v>
      </c>
      <c r="F117" s="153">
        <v>7128000</v>
      </c>
      <c r="G117" s="126"/>
      <c r="H117" s="126">
        <f>H116+F117</f>
        <v>67127600</v>
      </c>
    </row>
    <row r="118" spans="1:8" ht="51" x14ac:dyDescent="0.25">
      <c r="A118" s="154"/>
      <c r="B118" s="160" t="s">
        <v>516</v>
      </c>
      <c r="C118" s="241">
        <v>63</v>
      </c>
      <c r="D118" s="87" t="s">
        <v>533</v>
      </c>
      <c r="E118" s="162" t="s">
        <v>536</v>
      </c>
      <c r="F118" s="125"/>
      <c r="G118" s="126">
        <v>7128000</v>
      </c>
      <c r="H118" s="126">
        <f>H117-G118</f>
        <v>59999600</v>
      </c>
    </row>
    <row r="119" spans="1:8" ht="24" x14ac:dyDescent="0.25">
      <c r="A119" s="154"/>
      <c r="B119" s="160" t="s">
        <v>516</v>
      </c>
      <c r="C119" s="236">
        <v>64</v>
      </c>
      <c r="D119" s="82"/>
      <c r="E119" s="226" t="s">
        <v>518</v>
      </c>
      <c r="F119" s="153">
        <v>4320000</v>
      </c>
      <c r="G119" s="91"/>
      <c r="H119" s="126">
        <f>H118+F119</f>
        <v>64319600</v>
      </c>
    </row>
    <row r="120" spans="1:8" ht="63.75" x14ac:dyDescent="0.25">
      <c r="A120" s="154"/>
      <c r="B120" s="160" t="s">
        <v>516</v>
      </c>
      <c r="C120" s="236">
        <v>65</v>
      </c>
      <c r="D120" s="87" t="s">
        <v>534</v>
      </c>
      <c r="E120" s="162" t="s">
        <v>535</v>
      </c>
      <c r="F120" s="202"/>
      <c r="G120" s="91">
        <v>4320000</v>
      </c>
      <c r="H120" s="126">
        <f>H119-G120+F120</f>
        <v>59999600</v>
      </c>
    </row>
    <row r="121" spans="1:8" x14ac:dyDescent="0.25">
      <c r="A121" s="154"/>
      <c r="B121" s="160"/>
      <c r="C121" s="237"/>
      <c r="D121" s="68"/>
      <c r="E121" s="225"/>
      <c r="F121" s="202"/>
      <c r="G121" s="91"/>
      <c r="H121" s="126"/>
    </row>
    <row r="122" spans="1:8" x14ac:dyDescent="0.25">
      <c r="A122" s="131"/>
      <c r="B122" s="132"/>
      <c r="C122" s="230"/>
      <c r="D122" s="136"/>
      <c r="E122" s="135" t="s">
        <v>40</v>
      </c>
      <c r="F122" s="136">
        <f>SUM(F8:F121)</f>
        <v>366326793</v>
      </c>
      <c r="G122" s="136">
        <f>SUM(G8:G121)</f>
        <v>306327193</v>
      </c>
      <c r="H122" s="134">
        <f>F122-G122</f>
        <v>59999600</v>
      </c>
    </row>
    <row r="123" spans="1:8" x14ac:dyDescent="0.25">
      <c r="A123" s="131"/>
      <c r="B123" s="132"/>
      <c r="C123" s="136"/>
      <c r="D123" s="136"/>
      <c r="E123" s="135" t="s">
        <v>41</v>
      </c>
      <c r="F123" s="134">
        <f>F122</f>
        <v>366326793</v>
      </c>
      <c r="G123" s="137">
        <f>G122</f>
        <v>306327193</v>
      </c>
      <c r="H123" s="134">
        <f>F123-G123</f>
        <v>59999600</v>
      </c>
    </row>
    <row r="124" spans="1:8" x14ac:dyDescent="0.25">
      <c r="A124" s="138" t="s">
        <v>644</v>
      </c>
      <c r="B124" s="139"/>
      <c r="C124" s="141"/>
      <c r="D124" s="141"/>
      <c r="E124" s="140"/>
      <c r="F124" s="142"/>
      <c r="G124" s="142"/>
      <c r="H124" s="142"/>
    </row>
    <row r="125" spans="1:8" x14ac:dyDescent="0.25">
      <c r="A125" s="138" t="s">
        <v>645</v>
      </c>
      <c r="B125" s="143"/>
      <c r="C125" s="145"/>
      <c r="D125" s="145"/>
      <c r="E125" s="144"/>
      <c r="F125" s="145"/>
      <c r="G125" s="145"/>
      <c r="H125" s="145"/>
    </row>
    <row r="126" spans="1:8" x14ac:dyDescent="0.25">
      <c r="A126" s="82"/>
      <c r="B126" s="143"/>
      <c r="C126" s="145"/>
      <c r="D126" s="145"/>
      <c r="E126" s="144"/>
      <c r="F126" s="145"/>
      <c r="G126" s="145"/>
      <c r="H126" s="145"/>
    </row>
    <row r="127" spans="1:8" x14ac:dyDescent="0.25">
      <c r="A127" s="82"/>
      <c r="B127" s="81"/>
      <c r="C127" s="146"/>
      <c r="D127" s="146"/>
      <c r="E127" s="114"/>
      <c r="F127" s="146"/>
      <c r="G127" s="146"/>
      <c r="H127" s="146"/>
    </row>
    <row r="128" spans="1:8" x14ac:dyDescent="0.25">
      <c r="A128" s="82"/>
      <c r="B128" s="82"/>
      <c r="C128" s="148"/>
      <c r="D128" s="148" t="s">
        <v>43</v>
      </c>
      <c r="E128" s="147" t="s">
        <v>42</v>
      </c>
      <c r="F128" s="148">
        <v>8384600</v>
      </c>
      <c r="G128" s="148"/>
      <c r="H128" s="148"/>
    </row>
    <row r="129" spans="1:8" x14ac:dyDescent="0.25">
      <c r="A129" s="82"/>
      <c r="B129" s="82"/>
      <c r="C129" s="148"/>
      <c r="D129" s="148" t="s">
        <v>45</v>
      </c>
      <c r="E129" s="147" t="s">
        <v>44</v>
      </c>
      <c r="F129" s="148">
        <v>51615000</v>
      </c>
      <c r="G129" s="148"/>
      <c r="H129" s="148"/>
    </row>
    <row r="130" spans="1:8" x14ac:dyDescent="0.25">
      <c r="A130" s="82"/>
      <c r="B130" s="82"/>
      <c r="C130" s="149"/>
      <c r="D130" s="149" t="s">
        <v>46</v>
      </c>
      <c r="E130" s="147"/>
      <c r="F130" s="149">
        <f>F129+F128</f>
        <v>59999600</v>
      </c>
      <c r="G130" s="148"/>
      <c r="H130" s="148"/>
    </row>
    <row r="131" spans="1:8" x14ac:dyDescent="0.25">
      <c r="A131" s="82"/>
      <c r="B131" s="82"/>
      <c r="C131" s="148"/>
      <c r="D131" s="148"/>
      <c r="E131" s="114"/>
      <c r="F131" s="148"/>
      <c r="G131" s="148"/>
      <c r="H131" s="148"/>
    </row>
    <row r="132" spans="1:8" x14ac:dyDescent="0.25">
      <c r="A132" s="82"/>
      <c r="B132" s="82"/>
      <c r="C132" s="148"/>
      <c r="D132" s="148"/>
      <c r="E132" s="147"/>
      <c r="F132" s="148" t="s">
        <v>449</v>
      </c>
      <c r="G132" s="148"/>
      <c r="H132" s="148"/>
    </row>
    <row r="133" spans="1:8" x14ac:dyDescent="0.25">
      <c r="A133" s="82"/>
      <c r="B133" s="82" t="s">
        <v>435</v>
      </c>
      <c r="C133" s="148"/>
      <c r="D133" s="148"/>
      <c r="E133" s="147"/>
      <c r="F133" s="148" t="s">
        <v>47</v>
      </c>
      <c r="G133" s="148"/>
      <c r="H133" s="148"/>
    </row>
    <row r="134" spans="1:8" x14ac:dyDescent="0.25">
      <c r="A134" s="82"/>
      <c r="B134" s="82"/>
      <c r="C134" s="148"/>
      <c r="D134" s="148"/>
      <c r="E134" s="147"/>
      <c r="F134" s="148"/>
      <c r="G134" s="148"/>
      <c r="H134" s="148"/>
    </row>
    <row r="135" spans="1:8" x14ac:dyDescent="0.25">
      <c r="A135" s="82"/>
      <c r="B135" s="82"/>
      <c r="C135" s="148"/>
      <c r="D135" s="148"/>
      <c r="E135" s="147"/>
      <c r="F135" s="148"/>
      <c r="G135" s="148"/>
      <c r="H135" s="148"/>
    </row>
    <row r="136" spans="1:8" x14ac:dyDescent="0.25">
      <c r="A136" s="82"/>
      <c r="B136" s="82"/>
      <c r="C136" s="148"/>
      <c r="D136" s="148"/>
      <c r="E136" s="147"/>
      <c r="F136" s="148"/>
      <c r="G136" s="148"/>
      <c r="H136" s="148"/>
    </row>
    <row r="137" spans="1:8" x14ac:dyDescent="0.25">
      <c r="A137" s="82"/>
      <c r="B137" s="82"/>
      <c r="C137" s="148"/>
      <c r="D137" s="148"/>
      <c r="E137" s="114"/>
      <c r="F137" s="148"/>
      <c r="G137" s="148"/>
      <c r="H137" s="148"/>
    </row>
    <row r="138" spans="1:8" x14ac:dyDescent="0.25">
      <c r="A138" s="82"/>
      <c r="B138" s="150" t="s">
        <v>64</v>
      </c>
      <c r="C138" s="148"/>
      <c r="D138" s="148"/>
      <c r="E138" s="114"/>
      <c r="F138" s="151" t="s">
        <v>69</v>
      </c>
      <c r="G138" s="151"/>
      <c r="H138" s="148"/>
    </row>
    <row r="139" spans="1:8" x14ac:dyDescent="0.25">
      <c r="A139" s="80"/>
      <c r="B139" s="82" t="s">
        <v>65</v>
      </c>
      <c r="C139" s="148"/>
      <c r="D139" s="148"/>
      <c r="E139" s="114"/>
      <c r="F139" s="210" t="s">
        <v>446</v>
      </c>
      <c r="G139" s="210"/>
      <c r="H139" s="148"/>
    </row>
    <row r="140" spans="1:8" x14ac:dyDescent="0.25">
      <c r="A140" s="203"/>
      <c r="B140" s="164"/>
      <c r="C140" s="164"/>
      <c r="D140" s="164"/>
      <c r="E140" s="164"/>
      <c r="F140" s="164"/>
      <c r="G140" s="164"/>
      <c r="H140" s="164"/>
    </row>
  </sheetData>
  <pageMargins left="0.70866141732283472" right="0.70866141732283472" top="0.74803149606299213" bottom="0.74803149606299213" header="0.31496062992125984" footer="0.31496062992125984"/>
  <pageSetup paperSize="5" scale="60" orientation="portrait" horizontalDpi="0" verticalDpi="0" r:id="rId1"/>
  <rowBreaks count="2" manualBreakCount="2">
    <brk id="64" max="7" man="1"/>
    <brk id="104"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41058-BECE-47D2-8859-3316C9791D6B}">
  <sheetPr>
    <tabColor rgb="FF92D050"/>
  </sheetPr>
  <dimension ref="A1:K165"/>
  <sheetViews>
    <sheetView topLeftCell="A140" zoomScaleNormal="100" workbookViewId="0">
      <selection activeCell="D128" sqref="D128:G128"/>
    </sheetView>
  </sheetViews>
  <sheetFormatPr defaultRowHeight="15" x14ac:dyDescent="0.25"/>
  <cols>
    <col min="1" max="1" width="3.5703125" customWidth="1"/>
    <col min="2" max="2" width="11.7109375" customWidth="1"/>
    <col min="3" max="3" width="6.140625" customWidth="1"/>
    <col min="4" max="4" width="27.85546875" customWidth="1"/>
    <col min="5" max="5" width="64.5703125" customWidth="1"/>
    <col min="6" max="6" width="15.42578125" customWidth="1"/>
    <col min="7" max="7" width="14.7109375" customWidth="1"/>
    <col min="8" max="8" width="14" customWidth="1"/>
    <col min="11" max="11" width="14.7109375" customWidth="1"/>
  </cols>
  <sheetData>
    <row r="1" spans="1:11" x14ac:dyDescent="0.25">
      <c r="A1" s="245"/>
      <c r="B1" s="245"/>
      <c r="C1" s="245"/>
      <c r="D1" s="245"/>
      <c r="E1" s="243" t="s">
        <v>0</v>
      </c>
      <c r="F1" s="245"/>
      <c r="G1" s="245"/>
      <c r="H1" s="245"/>
    </row>
    <row r="2" spans="1:11" x14ac:dyDescent="0.25">
      <c r="A2" s="245"/>
      <c r="B2" s="245"/>
      <c r="C2" s="245"/>
      <c r="D2" s="245"/>
      <c r="E2" s="243" t="s">
        <v>1</v>
      </c>
      <c r="F2" s="245"/>
      <c r="G2" s="245"/>
      <c r="H2" s="245"/>
    </row>
    <row r="3" spans="1:11" x14ac:dyDescent="0.25">
      <c r="A3" s="22"/>
      <c r="B3" s="23"/>
      <c r="C3" s="25"/>
      <c r="D3" s="25"/>
      <c r="E3" s="24"/>
      <c r="F3" s="25"/>
      <c r="G3" s="25"/>
      <c r="H3" s="25"/>
    </row>
    <row r="4" spans="1:11" x14ac:dyDescent="0.25">
      <c r="A4" s="94" t="s">
        <v>2</v>
      </c>
      <c r="B4" s="94"/>
      <c r="C4" s="25"/>
      <c r="D4" s="25"/>
      <c r="E4" s="24" t="s">
        <v>164</v>
      </c>
      <c r="F4" s="25"/>
      <c r="G4" s="25"/>
      <c r="H4" s="25"/>
    </row>
    <row r="5" spans="1:11" x14ac:dyDescent="0.25">
      <c r="A5" s="26"/>
      <c r="B5" s="27"/>
      <c r="C5" s="29"/>
      <c r="D5" s="29"/>
      <c r="E5" s="28"/>
      <c r="F5" s="29"/>
      <c r="G5" s="29"/>
      <c r="H5" s="29"/>
      <c r="K5" s="2">
        <v>2511500</v>
      </c>
    </row>
    <row r="6" spans="1:11" ht="25.5" x14ac:dyDescent="0.25">
      <c r="A6" s="30" t="s">
        <v>3</v>
      </c>
      <c r="B6" s="31" t="s">
        <v>4</v>
      </c>
      <c r="C6" s="266" t="s">
        <v>494</v>
      </c>
      <c r="D6" s="33" t="s">
        <v>6</v>
      </c>
      <c r="E6" s="32" t="s">
        <v>5</v>
      </c>
      <c r="F6" s="33" t="s">
        <v>7</v>
      </c>
      <c r="G6" s="33" t="s">
        <v>8</v>
      </c>
      <c r="H6" s="33" t="s">
        <v>9</v>
      </c>
      <c r="K6" s="2">
        <v>1674333</v>
      </c>
    </row>
    <row r="7" spans="1:11" x14ac:dyDescent="0.25">
      <c r="A7" s="61">
        <v>1</v>
      </c>
      <c r="B7" s="34">
        <v>2</v>
      </c>
      <c r="C7" s="34">
        <v>3</v>
      </c>
      <c r="D7" s="34">
        <v>4</v>
      </c>
      <c r="E7" s="34">
        <v>5</v>
      </c>
      <c r="F7" s="34">
        <v>6</v>
      </c>
      <c r="G7" s="34">
        <v>7</v>
      </c>
      <c r="H7" s="34">
        <v>8</v>
      </c>
      <c r="K7" s="2"/>
    </row>
    <row r="8" spans="1:11" x14ac:dyDescent="0.25">
      <c r="A8" s="35"/>
      <c r="B8" s="36"/>
      <c r="C8" s="38"/>
      <c r="D8" s="38"/>
      <c r="E8" s="37" t="s">
        <v>10</v>
      </c>
      <c r="F8" s="39">
        <v>59999600</v>
      </c>
      <c r="G8" s="39"/>
      <c r="H8" s="246">
        <f>F8</f>
        <v>59999600</v>
      </c>
      <c r="K8" s="2">
        <v>2655400</v>
      </c>
    </row>
    <row r="9" spans="1:11" ht="25.5" x14ac:dyDescent="0.25">
      <c r="A9" s="247">
        <v>1</v>
      </c>
      <c r="B9" s="248" t="s">
        <v>544</v>
      </c>
      <c r="C9" s="233">
        <v>1</v>
      </c>
      <c r="D9" s="249"/>
      <c r="E9" s="250" t="s">
        <v>545</v>
      </c>
      <c r="F9" s="249"/>
      <c r="G9" s="249"/>
      <c r="H9" s="251"/>
      <c r="K9" s="2"/>
    </row>
    <row r="10" spans="1:11" x14ac:dyDescent="0.25">
      <c r="A10" s="252"/>
      <c r="B10" s="252"/>
      <c r="C10" s="233"/>
      <c r="D10" s="253"/>
      <c r="E10" s="254" t="s">
        <v>543</v>
      </c>
      <c r="F10" s="249"/>
      <c r="G10" s="253"/>
      <c r="H10" s="255"/>
      <c r="K10" s="2">
        <f>K8-K6</f>
        <v>981067</v>
      </c>
    </row>
    <row r="11" spans="1:11" x14ac:dyDescent="0.25">
      <c r="A11" s="252"/>
      <c r="B11" s="252"/>
      <c r="C11" s="233">
        <v>2</v>
      </c>
      <c r="D11" s="253" t="s">
        <v>50</v>
      </c>
      <c r="E11" s="254" t="s">
        <v>11</v>
      </c>
      <c r="F11" s="253">
        <v>88676000</v>
      </c>
      <c r="G11" s="253"/>
      <c r="H11" s="253">
        <f>H8+F11</f>
        <v>148675600</v>
      </c>
      <c r="K11" s="2">
        <v>1842700</v>
      </c>
    </row>
    <row r="12" spans="1:11" x14ac:dyDescent="0.25">
      <c r="A12" s="252"/>
      <c r="B12" s="252"/>
      <c r="C12" s="233">
        <v>3</v>
      </c>
      <c r="D12" s="253" t="s">
        <v>51</v>
      </c>
      <c r="E12" s="254" t="s">
        <v>12</v>
      </c>
      <c r="F12" s="253">
        <v>4497952</v>
      </c>
      <c r="G12" s="253"/>
      <c r="H12" s="253">
        <f t="shared" ref="H12:H25" si="0">H11+F12</f>
        <v>153173552</v>
      </c>
    </row>
    <row r="13" spans="1:11" x14ac:dyDescent="0.25">
      <c r="A13" s="252"/>
      <c r="B13" s="252"/>
      <c r="C13" s="233"/>
      <c r="D13" s="253"/>
      <c r="E13" s="254" t="s">
        <v>13</v>
      </c>
      <c r="F13" s="253">
        <v>0</v>
      </c>
      <c r="G13" s="253"/>
      <c r="H13" s="253">
        <f t="shared" si="0"/>
        <v>153173552</v>
      </c>
      <c r="K13" s="1">
        <f>K8-K11</f>
        <v>812700</v>
      </c>
    </row>
    <row r="14" spans="1:11" x14ac:dyDescent="0.25">
      <c r="A14" s="252"/>
      <c r="B14" s="252"/>
      <c r="C14" s="233">
        <v>4</v>
      </c>
      <c r="D14" s="253" t="s">
        <v>52</v>
      </c>
      <c r="E14" s="254" t="s">
        <v>14</v>
      </c>
      <c r="F14" s="253">
        <v>8725000</v>
      </c>
      <c r="G14" s="253"/>
      <c r="H14" s="253">
        <f t="shared" si="0"/>
        <v>161898552</v>
      </c>
    </row>
    <row r="15" spans="1:11" x14ac:dyDescent="0.25">
      <c r="A15" s="256"/>
      <c r="B15" s="256"/>
      <c r="C15" s="233">
        <v>5</v>
      </c>
      <c r="D15" s="105" t="s">
        <v>53</v>
      </c>
      <c r="E15" s="254" t="s">
        <v>15</v>
      </c>
      <c r="F15" s="105">
        <v>3240000</v>
      </c>
      <c r="G15" s="105"/>
      <c r="H15" s="105">
        <f t="shared" si="0"/>
        <v>165138552</v>
      </c>
    </row>
    <row r="16" spans="1:11" x14ac:dyDescent="0.25">
      <c r="A16" s="256"/>
      <c r="B16" s="256"/>
      <c r="C16" s="233">
        <v>6</v>
      </c>
      <c r="D16" s="105" t="s">
        <v>54</v>
      </c>
      <c r="E16" s="254" t="s">
        <v>16</v>
      </c>
      <c r="F16" s="105">
        <v>1465000</v>
      </c>
      <c r="G16" s="105"/>
      <c r="H16" s="105">
        <f t="shared" si="0"/>
        <v>166603552</v>
      </c>
    </row>
    <row r="17" spans="1:11" x14ac:dyDescent="0.25">
      <c r="A17" s="256"/>
      <c r="B17" s="256"/>
      <c r="C17" s="233">
        <v>7</v>
      </c>
      <c r="D17" s="105" t="s">
        <v>55</v>
      </c>
      <c r="E17" s="254" t="s">
        <v>17</v>
      </c>
      <c r="F17" s="105">
        <v>4264158</v>
      </c>
      <c r="G17" s="105"/>
      <c r="H17" s="105">
        <f t="shared" si="0"/>
        <v>170867710</v>
      </c>
    </row>
    <row r="18" spans="1:11" x14ac:dyDescent="0.25">
      <c r="A18" s="256"/>
      <c r="B18" s="256"/>
      <c r="C18" s="233">
        <v>8</v>
      </c>
      <c r="D18" s="105" t="s">
        <v>56</v>
      </c>
      <c r="E18" s="254" t="s">
        <v>18</v>
      </c>
      <c r="F18" s="105">
        <v>3331320</v>
      </c>
      <c r="G18" s="105"/>
      <c r="H18" s="105">
        <f t="shared" si="0"/>
        <v>174199030</v>
      </c>
    </row>
    <row r="19" spans="1:11" x14ac:dyDescent="0.25">
      <c r="A19" s="256"/>
      <c r="B19" s="256"/>
      <c r="C19" s="233"/>
      <c r="D19" s="105"/>
      <c r="E19" s="254" t="s">
        <v>19</v>
      </c>
      <c r="F19" s="105"/>
      <c r="G19" s="105"/>
      <c r="H19" s="105">
        <f t="shared" si="0"/>
        <v>174199030</v>
      </c>
    </row>
    <row r="20" spans="1:11" x14ac:dyDescent="0.25">
      <c r="A20" s="256"/>
      <c r="B20" s="256"/>
      <c r="C20" s="233"/>
      <c r="D20" s="105"/>
      <c r="E20" s="254" t="s">
        <v>20</v>
      </c>
      <c r="F20" s="105"/>
      <c r="G20" s="105"/>
      <c r="H20" s="105">
        <f t="shared" si="0"/>
        <v>174199030</v>
      </c>
      <c r="K20" s="242" t="s">
        <v>541</v>
      </c>
    </row>
    <row r="21" spans="1:11" x14ac:dyDescent="0.25">
      <c r="A21" s="256"/>
      <c r="B21" s="256"/>
      <c r="C21" s="233">
        <v>9</v>
      </c>
      <c r="D21" s="105" t="s">
        <v>57</v>
      </c>
      <c r="E21" s="254" t="s">
        <v>21</v>
      </c>
      <c r="F21" s="105">
        <v>196625</v>
      </c>
      <c r="G21" s="105"/>
      <c r="H21" s="105">
        <f t="shared" si="0"/>
        <v>174395655</v>
      </c>
      <c r="K21" s="242" t="s">
        <v>542</v>
      </c>
    </row>
    <row r="22" spans="1:11" x14ac:dyDescent="0.25">
      <c r="A22" s="256"/>
      <c r="B22" s="256"/>
      <c r="C22" s="233"/>
      <c r="D22" s="105"/>
      <c r="E22" s="254" t="s">
        <v>22</v>
      </c>
      <c r="F22" s="105"/>
      <c r="G22" s="105"/>
      <c r="H22" s="105">
        <f t="shared" si="0"/>
        <v>174395655</v>
      </c>
    </row>
    <row r="23" spans="1:11" x14ac:dyDescent="0.25">
      <c r="A23" s="256"/>
      <c r="B23" s="256"/>
      <c r="C23" s="233">
        <v>10</v>
      </c>
      <c r="D23" s="105" t="s">
        <v>59</v>
      </c>
      <c r="E23" s="254" t="s">
        <v>23</v>
      </c>
      <c r="F23" s="105">
        <v>212821</v>
      </c>
      <c r="G23" s="105"/>
      <c r="H23" s="105">
        <f t="shared" si="0"/>
        <v>174608476</v>
      </c>
    </row>
    <row r="24" spans="1:11" x14ac:dyDescent="0.25">
      <c r="A24" s="256"/>
      <c r="B24" s="256"/>
      <c r="C24" s="233">
        <v>11</v>
      </c>
      <c r="D24" s="105" t="s">
        <v>58</v>
      </c>
      <c r="E24" s="254" t="s">
        <v>24</v>
      </c>
      <c r="F24" s="105">
        <v>638467</v>
      </c>
      <c r="G24" s="105"/>
      <c r="H24" s="105">
        <f t="shared" si="0"/>
        <v>175246943</v>
      </c>
      <c r="K24" s="2">
        <f>18*1300000</f>
        <v>23400000</v>
      </c>
    </row>
    <row r="25" spans="1:11" x14ac:dyDescent="0.25">
      <c r="A25" s="256"/>
      <c r="B25" s="256"/>
      <c r="C25" s="233">
        <v>12</v>
      </c>
      <c r="D25" s="105" t="s">
        <v>60</v>
      </c>
      <c r="E25" s="254" t="s">
        <v>25</v>
      </c>
      <c r="F25" s="105">
        <v>1283</v>
      </c>
      <c r="G25" s="105"/>
      <c r="H25" s="105">
        <f t="shared" si="0"/>
        <v>175248226</v>
      </c>
      <c r="K25" s="2"/>
    </row>
    <row r="26" spans="1:11" x14ac:dyDescent="0.25">
      <c r="A26" s="256"/>
      <c r="B26" s="256"/>
      <c r="C26" s="233"/>
      <c r="D26" s="105" t="s">
        <v>27</v>
      </c>
      <c r="E26" s="254" t="s">
        <v>26</v>
      </c>
      <c r="F26" s="105"/>
      <c r="G26" s="105"/>
      <c r="H26" s="105"/>
      <c r="K26" s="2"/>
    </row>
    <row r="27" spans="1:11" x14ac:dyDescent="0.25">
      <c r="A27" s="256"/>
      <c r="B27" s="256"/>
      <c r="C27" s="233"/>
      <c r="D27" s="105"/>
      <c r="E27" s="254" t="s">
        <v>48</v>
      </c>
      <c r="F27" s="105"/>
      <c r="G27" s="105">
        <v>7453916</v>
      </c>
      <c r="H27" s="105">
        <f>H25-G27</f>
        <v>167794310</v>
      </c>
      <c r="K27" s="2"/>
    </row>
    <row r="28" spans="1:11" x14ac:dyDescent="0.25">
      <c r="A28" s="256"/>
      <c r="B28" s="256"/>
      <c r="C28" s="233"/>
      <c r="D28" s="105"/>
      <c r="E28" s="254" t="s">
        <v>28</v>
      </c>
      <c r="F28" s="105"/>
      <c r="G28" s="105">
        <f>F21</f>
        <v>196625</v>
      </c>
      <c r="H28" s="105">
        <f t="shared" ref="H28:H41" si="1">H27-G28</f>
        <v>167597685</v>
      </c>
      <c r="K28" s="2"/>
    </row>
    <row r="29" spans="1:11" x14ac:dyDescent="0.25">
      <c r="A29" s="256"/>
      <c r="B29" s="256"/>
      <c r="C29" s="233"/>
      <c r="D29" s="105"/>
      <c r="E29" s="254" t="s">
        <v>29</v>
      </c>
      <c r="F29" s="105"/>
      <c r="G29" s="105">
        <v>0</v>
      </c>
      <c r="H29" s="105">
        <f t="shared" si="1"/>
        <v>167597685</v>
      </c>
    </row>
    <row r="30" spans="1:11" x14ac:dyDescent="0.25">
      <c r="A30" s="256"/>
      <c r="B30" s="256"/>
      <c r="C30" s="233"/>
      <c r="D30" s="105"/>
      <c r="E30" s="254" t="s">
        <v>30</v>
      </c>
      <c r="F30" s="105"/>
      <c r="G30" s="105">
        <v>0</v>
      </c>
      <c r="H30" s="105">
        <f t="shared" si="1"/>
        <v>167597685</v>
      </c>
    </row>
    <row r="31" spans="1:11" x14ac:dyDescent="0.25">
      <c r="A31" s="256"/>
      <c r="B31" s="256"/>
      <c r="C31" s="233"/>
      <c r="D31" s="105"/>
      <c r="E31" s="254" t="s">
        <v>31</v>
      </c>
      <c r="F31" s="105"/>
      <c r="G31" s="105">
        <v>0</v>
      </c>
      <c r="H31" s="105">
        <f t="shared" si="1"/>
        <v>167597685</v>
      </c>
    </row>
    <row r="32" spans="1:11" x14ac:dyDescent="0.25">
      <c r="A32" s="256"/>
      <c r="B32" s="256"/>
      <c r="C32" s="233"/>
      <c r="D32" s="105"/>
      <c r="E32" s="254" t="s">
        <v>17</v>
      </c>
      <c r="F32" s="105"/>
      <c r="G32" s="105">
        <f>F17</f>
        <v>4264158</v>
      </c>
      <c r="H32" s="105">
        <f t="shared" si="1"/>
        <v>163333527</v>
      </c>
    </row>
    <row r="33" spans="1:8" x14ac:dyDescent="0.25">
      <c r="A33" s="256"/>
      <c r="B33" s="256"/>
      <c r="C33" s="233"/>
      <c r="D33" s="105"/>
      <c r="E33" s="254" t="s">
        <v>63</v>
      </c>
      <c r="F33" s="105"/>
      <c r="G33" s="105">
        <v>0</v>
      </c>
      <c r="H33" s="105">
        <f t="shared" si="1"/>
        <v>163333527</v>
      </c>
    </row>
    <row r="34" spans="1:8" x14ac:dyDescent="0.25">
      <c r="A34" s="256"/>
      <c r="B34" s="256"/>
      <c r="C34" s="233"/>
      <c r="D34" s="105"/>
      <c r="E34" s="254" t="s">
        <v>32</v>
      </c>
      <c r="F34" s="105"/>
      <c r="G34" s="105">
        <v>0</v>
      </c>
      <c r="H34" s="105">
        <f t="shared" si="1"/>
        <v>163333527</v>
      </c>
    </row>
    <row r="35" spans="1:8" x14ac:dyDescent="0.25">
      <c r="A35" s="256"/>
      <c r="B35" s="256"/>
      <c r="C35" s="233"/>
      <c r="D35" s="105"/>
      <c r="E35" s="254" t="s">
        <v>33</v>
      </c>
      <c r="F35" s="105"/>
      <c r="G35" s="105">
        <f>F23</f>
        <v>212821</v>
      </c>
      <c r="H35" s="105">
        <f t="shared" si="1"/>
        <v>163120706</v>
      </c>
    </row>
    <row r="36" spans="1:8" x14ac:dyDescent="0.25">
      <c r="A36" s="256"/>
      <c r="B36" s="256"/>
      <c r="C36" s="233"/>
      <c r="D36" s="105"/>
      <c r="E36" s="254" t="s">
        <v>34</v>
      </c>
      <c r="F36" s="105"/>
      <c r="G36" s="105">
        <f>F24</f>
        <v>638467</v>
      </c>
      <c r="H36" s="105">
        <f t="shared" si="1"/>
        <v>162482239</v>
      </c>
    </row>
    <row r="37" spans="1:8" x14ac:dyDescent="0.25">
      <c r="A37" s="256"/>
      <c r="B37" s="256"/>
      <c r="C37" s="233"/>
      <c r="D37" s="105"/>
      <c r="E37" s="254" t="s">
        <v>49</v>
      </c>
      <c r="F37" s="105"/>
      <c r="G37" s="105">
        <v>1066039</v>
      </c>
      <c r="H37" s="105">
        <f t="shared" si="1"/>
        <v>161416200</v>
      </c>
    </row>
    <row r="38" spans="1:8" x14ac:dyDescent="0.25">
      <c r="A38" s="256"/>
      <c r="B38" s="256"/>
      <c r="C38" s="233"/>
      <c r="D38" s="105"/>
      <c r="E38" s="254" t="s">
        <v>35</v>
      </c>
      <c r="F38" s="105"/>
      <c r="G38" s="105">
        <v>0</v>
      </c>
      <c r="H38" s="105">
        <f t="shared" si="1"/>
        <v>161416200</v>
      </c>
    </row>
    <row r="39" spans="1:8" x14ac:dyDescent="0.25">
      <c r="A39" s="256"/>
      <c r="B39" s="256"/>
      <c r="C39" s="233"/>
      <c r="D39" s="105"/>
      <c r="E39" s="254" t="s">
        <v>36</v>
      </c>
      <c r="F39" s="105"/>
      <c r="G39" s="105">
        <v>0</v>
      </c>
      <c r="H39" s="105">
        <f t="shared" si="1"/>
        <v>161416200</v>
      </c>
    </row>
    <row r="40" spans="1:8" x14ac:dyDescent="0.25">
      <c r="A40" s="256"/>
      <c r="B40" s="256"/>
      <c r="C40" s="233"/>
      <c r="D40" s="105"/>
      <c r="E40" s="254" t="s">
        <v>37</v>
      </c>
      <c r="F40" s="105"/>
      <c r="G40" s="105">
        <v>0</v>
      </c>
      <c r="H40" s="105">
        <f t="shared" si="1"/>
        <v>161416200</v>
      </c>
    </row>
    <row r="41" spans="1:8" x14ac:dyDescent="0.25">
      <c r="A41" s="256">
        <v>2</v>
      </c>
      <c r="B41" s="248" t="s">
        <v>544</v>
      </c>
      <c r="C41" s="232">
        <v>13</v>
      </c>
      <c r="D41" s="105"/>
      <c r="E41" s="254" t="s">
        <v>37</v>
      </c>
      <c r="F41" s="105"/>
      <c r="G41" s="105">
        <v>0</v>
      </c>
      <c r="H41" s="105">
        <f t="shared" si="1"/>
        <v>161416200</v>
      </c>
    </row>
    <row r="42" spans="1:8" x14ac:dyDescent="0.25">
      <c r="A42" s="256">
        <v>3</v>
      </c>
      <c r="B42" s="248" t="s">
        <v>544</v>
      </c>
      <c r="C42" s="232">
        <v>14</v>
      </c>
      <c r="D42" s="105"/>
      <c r="E42" s="254" t="s">
        <v>39</v>
      </c>
      <c r="F42" s="105" t="s">
        <v>38</v>
      </c>
      <c r="G42" s="105" t="s">
        <v>38</v>
      </c>
      <c r="H42" s="105"/>
    </row>
    <row r="43" spans="1:8" x14ac:dyDescent="0.25">
      <c r="A43" s="256">
        <v>4</v>
      </c>
      <c r="B43" s="248" t="s">
        <v>544</v>
      </c>
      <c r="C43" s="257">
        <v>15</v>
      </c>
      <c r="D43" s="258"/>
      <c r="E43" s="259" t="s">
        <v>72</v>
      </c>
      <c r="F43" s="258"/>
      <c r="G43" s="260">
        <v>101416600</v>
      </c>
      <c r="H43" s="260">
        <f>H41-G43</f>
        <v>59999600</v>
      </c>
    </row>
    <row r="44" spans="1:8" x14ac:dyDescent="0.25">
      <c r="A44" s="256"/>
      <c r="B44" s="248" t="s">
        <v>546</v>
      </c>
      <c r="C44" s="264">
        <v>16</v>
      </c>
      <c r="D44" s="178"/>
      <c r="E44" s="226" t="s">
        <v>547</v>
      </c>
      <c r="F44" s="260">
        <v>23422600</v>
      </c>
      <c r="G44" s="105"/>
      <c r="H44" s="260">
        <f>H43+F44</f>
        <v>83422200</v>
      </c>
    </row>
    <row r="45" spans="1:8" ht="51" x14ac:dyDescent="0.25">
      <c r="A45" s="256"/>
      <c r="B45" s="160" t="s">
        <v>546</v>
      </c>
      <c r="C45" s="265">
        <v>17</v>
      </c>
      <c r="D45" s="224" t="s">
        <v>643</v>
      </c>
      <c r="E45" s="175" t="s">
        <v>550</v>
      </c>
      <c r="F45" s="105"/>
      <c r="G45" s="105">
        <v>9800000</v>
      </c>
      <c r="H45" s="105">
        <f>H44-G45</f>
        <v>73622200</v>
      </c>
    </row>
    <row r="46" spans="1:8" x14ac:dyDescent="0.25">
      <c r="A46" s="256"/>
      <c r="B46" s="160"/>
      <c r="C46" s="265"/>
      <c r="D46" s="224"/>
      <c r="E46" s="175"/>
      <c r="F46" s="105"/>
      <c r="G46" s="105"/>
      <c r="H46" s="105"/>
    </row>
    <row r="47" spans="1:8" ht="51" x14ac:dyDescent="0.25">
      <c r="A47" s="256"/>
      <c r="B47" s="160" t="s">
        <v>546</v>
      </c>
      <c r="C47" s="234">
        <v>18</v>
      </c>
      <c r="D47" s="224" t="s">
        <v>475</v>
      </c>
      <c r="E47" s="227" t="s">
        <v>551</v>
      </c>
      <c r="F47" s="126"/>
      <c r="G47" s="126">
        <v>3075000</v>
      </c>
      <c r="H47" s="105">
        <f>H45-G47</f>
        <v>70547200</v>
      </c>
    </row>
    <row r="48" spans="1:8" x14ac:dyDescent="0.25">
      <c r="A48" s="256"/>
      <c r="B48" s="248"/>
      <c r="C48" s="233"/>
      <c r="D48" s="224"/>
      <c r="E48" s="63"/>
      <c r="F48" s="126"/>
      <c r="G48" s="126"/>
      <c r="H48" s="105"/>
    </row>
    <row r="49" spans="1:8" ht="51" x14ac:dyDescent="0.25">
      <c r="A49" s="256"/>
      <c r="B49" s="160" t="s">
        <v>546</v>
      </c>
      <c r="C49" s="264">
        <v>19</v>
      </c>
      <c r="D49" s="68" t="s">
        <v>476</v>
      </c>
      <c r="E49" s="228" t="s">
        <v>552</v>
      </c>
      <c r="F49" s="125"/>
      <c r="G49" s="126">
        <v>2000000</v>
      </c>
      <c r="H49" s="105">
        <f>H47-G49</f>
        <v>68547200</v>
      </c>
    </row>
    <row r="50" spans="1:8" ht="51" x14ac:dyDescent="0.25">
      <c r="A50" s="256"/>
      <c r="B50" s="160" t="s">
        <v>546</v>
      </c>
      <c r="C50" s="265">
        <v>20</v>
      </c>
      <c r="D50" s="68" t="s">
        <v>554</v>
      </c>
      <c r="E50" s="175" t="s">
        <v>553</v>
      </c>
      <c r="F50" s="105"/>
      <c r="G50" s="105">
        <v>9050000</v>
      </c>
      <c r="H50" s="105">
        <f>H49-G50</f>
        <v>59497200</v>
      </c>
    </row>
    <row r="51" spans="1:8" ht="63.75" x14ac:dyDescent="0.25">
      <c r="A51" s="256"/>
      <c r="B51" s="160" t="s">
        <v>546</v>
      </c>
      <c r="C51" s="234">
        <v>21</v>
      </c>
      <c r="D51" s="68" t="s">
        <v>556</v>
      </c>
      <c r="E51" s="175" t="s">
        <v>555</v>
      </c>
      <c r="F51" s="105"/>
      <c r="G51" s="105">
        <v>7327100</v>
      </c>
      <c r="H51" s="105">
        <f t="shared" ref="H51" si="2">H50-G51</f>
        <v>52170100</v>
      </c>
    </row>
    <row r="52" spans="1:8" x14ac:dyDescent="0.25">
      <c r="A52" s="256"/>
      <c r="B52" s="160"/>
      <c r="C52" s="233"/>
      <c r="D52" s="82"/>
      <c r="E52" s="175"/>
      <c r="F52" s="105"/>
      <c r="G52" s="105"/>
      <c r="H52" s="105"/>
    </row>
    <row r="53" spans="1:8" ht="51" x14ac:dyDescent="0.25">
      <c r="A53" s="256"/>
      <c r="B53" s="160" t="s">
        <v>546</v>
      </c>
      <c r="C53" s="233">
        <v>22</v>
      </c>
      <c r="D53" s="82" t="s">
        <v>272</v>
      </c>
      <c r="E53" s="228" t="s">
        <v>557</v>
      </c>
      <c r="F53" s="105"/>
      <c r="G53" s="105">
        <v>458000</v>
      </c>
      <c r="H53" s="105">
        <f>H51-G53</f>
        <v>51712100</v>
      </c>
    </row>
    <row r="54" spans="1:8" x14ac:dyDescent="0.25">
      <c r="A54" s="256"/>
      <c r="B54" s="160"/>
      <c r="C54" s="233"/>
      <c r="D54" s="82"/>
      <c r="E54" s="228"/>
      <c r="F54" s="105"/>
      <c r="G54" s="105"/>
      <c r="H54" s="105"/>
    </row>
    <row r="55" spans="1:8" ht="63.75" x14ac:dyDescent="0.25">
      <c r="A55" s="256"/>
      <c r="B55" s="160" t="s">
        <v>546</v>
      </c>
      <c r="C55" s="264">
        <v>23</v>
      </c>
      <c r="D55" s="224" t="s">
        <v>558</v>
      </c>
      <c r="E55" s="175" t="s">
        <v>560</v>
      </c>
      <c r="F55" s="105"/>
      <c r="G55" s="105">
        <v>2940000</v>
      </c>
      <c r="H55" s="105">
        <f>H53-G55</f>
        <v>48772100</v>
      </c>
    </row>
    <row r="56" spans="1:8" x14ac:dyDescent="0.25">
      <c r="A56" s="256"/>
      <c r="B56" s="160"/>
      <c r="C56" s="265"/>
      <c r="D56" s="224"/>
      <c r="E56" s="175"/>
      <c r="F56" s="105"/>
      <c r="G56" s="105"/>
      <c r="H56" s="105"/>
    </row>
    <row r="57" spans="1:8" ht="51" x14ac:dyDescent="0.25">
      <c r="A57" s="256"/>
      <c r="B57" s="160" t="s">
        <v>546</v>
      </c>
      <c r="C57" s="265">
        <v>24</v>
      </c>
      <c r="D57" s="224" t="s">
        <v>558</v>
      </c>
      <c r="E57" s="175" t="s">
        <v>559</v>
      </c>
      <c r="F57" s="105"/>
      <c r="G57" s="105">
        <v>9050000</v>
      </c>
      <c r="H57" s="105">
        <f>H55-G57</f>
        <v>39722100</v>
      </c>
    </row>
    <row r="58" spans="1:8" x14ac:dyDescent="0.25">
      <c r="A58" s="256"/>
      <c r="B58" s="160"/>
      <c r="C58" s="265"/>
      <c r="D58" s="224"/>
      <c r="E58" s="175"/>
      <c r="F58" s="105"/>
      <c r="G58" s="105"/>
      <c r="H58" s="105"/>
    </row>
    <row r="59" spans="1:8" ht="51" x14ac:dyDescent="0.25">
      <c r="A59" s="256"/>
      <c r="B59" s="160" t="s">
        <v>546</v>
      </c>
      <c r="C59" s="234">
        <v>25</v>
      </c>
      <c r="D59" s="224" t="s">
        <v>558</v>
      </c>
      <c r="E59" s="175" t="s">
        <v>561</v>
      </c>
      <c r="F59" s="105"/>
      <c r="G59" s="105">
        <v>7277100</v>
      </c>
      <c r="H59" s="105">
        <f>H57-G59</f>
        <v>32445000</v>
      </c>
    </row>
    <row r="60" spans="1:8" x14ac:dyDescent="0.25">
      <c r="A60" s="256"/>
      <c r="B60" s="160"/>
      <c r="C60" s="233"/>
      <c r="D60" s="224"/>
      <c r="E60" s="175"/>
      <c r="F60" s="105"/>
      <c r="G60" s="105"/>
      <c r="H60" s="105"/>
    </row>
    <row r="61" spans="1:8" ht="51" x14ac:dyDescent="0.25">
      <c r="A61" s="256"/>
      <c r="B61" s="160" t="s">
        <v>546</v>
      </c>
      <c r="C61" s="233">
        <v>26</v>
      </c>
      <c r="D61" s="224" t="s">
        <v>562</v>
      </c>
      <c r="E61" s="228" t="s">
        <v>563</v>
      </c>
      <c r="F61" s="105"/>
      <c r="G61" s="105">
        <v>793000</v>
      </c>
      <c r="H61" s="105">
        <f>H59-G61</f>
        <v>31652000</v>
      </c>
    </row>
    <row r="62" spans="1:8" x14ac:dyDescent="0.25">
      <c r="A62" s="256"/>
      <c r="B62" s="160"/>
      <c r="C62" s="233"/>
      <c r="D62" s="224"/>
      <c r="E62" s="228"/>
      <c r="F62" s="105"/>
      <c r="G62" s="105"/>
      <c r="H62" s="105"/>
    </row>
    <row r="63" spans="1:8" ht="51" x14ac:dyDescent="0.25">
      <c r="A63" s="256"/>
      <c r="B63" s="160" t="s">
        <v>546</v>
      </c>
      <c r="C63" s="264">
        <v>27</v>
      </c>
      <c r="D63" s="224" t="s">
        <v>564</v>
      </c>
      <c r="E63" s="228" t="s">
        <v>565</v>
      </c>
      <c r="F63" s="107"/>
      <c r="G63" s="105">
        <v>1316900</v>
      </c>
      <c r="H63" s="105">
        <f>H61-G63</f>
        <v>30335100</v>
      </c>
    </row>
    <row r="64" spans="1:8" x14ac:dyDescent="0.25">
      <c r="A64" s="256"/>
      <c r="B64" s="160"/>
      <c r="C64" s="265"/>
      <c r="D64" s="224"/>
      <c r="E64" s="228"/>
      <c r="F64" s="105"/>
      <c r="G64" s="105"/>
      <c r="H64" s="105"/>
    </row>
    <row r="65" spans="1:11" ht="51" x14ac:dyDescent="0.25">
      <c r="A65" s="256"/>
      <c r="B65" s="160" t="s">
        <v>546</v>
      </c>
      <c r="C65" s="265">
        <v>28</v>
      </c>
      <c r="D65" s="224" t="s">
        <v>566</v>
      </c>
      <c r="E65" s="228" t="s">
        <v>567</v>
      </c>
      <c r="F65" s="105"/>
      <c r="G65" s="105">
        <v>370700</v>
      </c>
      <c r="H65" s="105">
        <f>H63-G65</f>
        <v>29964400</v>
      </c>
    </row>
    <row r="66" spans="1:11" x14ac:dyDescent="0.25">
      <c r="A66" s="256"/>
      <c r="B66" s="160"/>
      <c r="C66" s="265"/>
      <c r="D66" s="224"/>
      <c r="E66" s="228"/>
      <c r="F66" s="105"/>
      <c r="G66" s="105"/>
      <c r="H66" s="105"/>
    </row>
    <row r="67" spans="1:11" ht="51" x14ac:dyDescent="0.25">
      <c r="A67" s="256"/>
      <c r="B67" s="160" t="s">
        <v>546</v>
      </c>
      <c r="C67" s="265">
        <v>29</v>
      </c>
      <c r="D67" s="224" t="s">
        <v>568</v>
      </c>
      <c r="E67" s="228" t="s">
        <v>569</v>
      </c>
      <c r="F67" s="105"/>
      <c r="G67" s="105">
        <v>544700</v>
      </c>
      <c r="H67" s="105">
        <f>H65-G67</f>
        <v>29419700</v>
      </c>
    </row>
    <row r="68" spans="1:11" x14ac:dyDescent="0.25">
      <c r="A68" s="256"/>
      <c r="B68" s="160"/>
      <c r="C68" s="265"/>
      <c r="D68" s="224"/>
      <c r="E68" s="228"/>
      <c r="F68" s="105"/>
      <c r="G68" s="105"/>
      <c r="H68" s="105"/>
    </row>
    <row r="69" spans="1:11" ht="51" x14ac:dyDescent="0.25">
      <c r="A69" s="256"/>
      <c r="B69" s="160" t="s">
        <v>546</v>
      </c>
      <c r="C69" s="265">
        <v>30</v>
      </c>
      <c r="D69" s="224" t="s">
        <v>570</v>
      </c>
      <c r="E69" s="228" t="s">
        <v>571</v>
      </c>
      <c r="F69" s="105"/>
      <c r="G69" s="105">
        <v>335100</v>
      </c>
      <c r="H69" s="105">
        <f>H67-G69</f>
        <v>29084600</v>
      </c>
    </row>
    <row r="70" spans="1:11" x14ac:dyDescent="0.25">
      <c r="A70" s="256"/>
      <c r="B70" s="160"/>
      <c r="C70" s="265"/>
      <c r="D70" s="224"/>
      <c r="E70" s="228"/>
      <c r="F70" s="105"/>
      <c r="G70" s="105"/>
      <c r="H70" s="105"/>
    </row>
    <row r="71" spans="1:11" ht="48" x14ac:dyDescent="0.25">
      <c r="A71" s="256"/>
      <c r="B71" s="160" t="s">
        <v>546</v>
      </c>
      <c r="C71" s="265">
        <v>31</v>
      </c>
      <c r="D71" s="68" t="s">
        <v>572</v>
      </c>
      <c r="E71" s="229" t="s">
        <v>573</v>
      </c>
      <c r="F71" s="105"/>
      <c r="G71" s="105">
        <v>3300000</v>
      </c>
      <c r="H71" s="105">
        <f>H69-G71</f>
        <v>25784600</v>
      </c>
    </row>
    <row r="72" spans="1:11" x14ac:dyDescent="0.25">
      <c r="A72" s="256"/>
      <c r="B72" s="160"/>
      <c r="C72" s="265"/>
      <c r="D72" s="68"/>
      <c r="E72" s="229"/>
      <c r="F72" s="105"/>
      <c r="G72" s="105"/>
      <c r="H72" s="105"/>
    </row>
    <row r="73" spans="1:11" ht="51" x14ac:dyDescent="0.25">
      <c r="A73" s="256"/>
      <c r="B73" s="160" t="s">
        <v>546</v>
      </c>
      <c r="C73" s="265">
        <v>32</v>
      </c>
      <c r="D73" s="68" t="s">
        <v>314</v>
      </c>
      <c r="E73" s="228" t="s">
        <v>575</v>
      </c>
      <c r="F73" s="105"/>
      <c r="G73" s="105">
        <v>280800</v>
      </c>
      <c r="H73" s="105">
        <f>H71-G73</f>
        <v>25503800</v>
      </c>
      <c r="K73" s="1"/>
    </row>
    <row r="74" spans="1:11" x14ac:dyDescent="0.25">
      <c r="A74" s="256"/>
      <c r="B74" s="160"/>
      <c r="C74" s="265"/>
      <c r="D74" s="68"/>
      <c r="E74" s="228"/>
      <c r="F74" s="105"/>
      <c r="G74" s="105"/>
      <c r="H74" s="105"/>
      <c r="K74" s="1"/>
    </row>
    <row r="75" spans="1:11" ht="51" x14ac:dyDescent="0.25">
      <c r="A75" s="256"/>
      <c r="B75" s="160" t="s">
        <v>546</v>
      </c>
      <c r="C75" s="265">
        <v>33</v>
      </c>
      <c r="D75" s="68" t="s">
        <v>574</v>
      </c>
      <c r="E75" s="228" t="s">
        <v>576</v>
      </c>
      <c r="F75" s="105"/>
      <c r="G75" s="105">
        <v>164800</v>
      </c>
      <c r="H75" s="105">
        <f>H73-G75</f>
        <v>25339000</v>
      </c>
    </row>
    <row r="76" spans="1:11" x14ac:dyDescent="0.25">
      <c r="A76" s="256"/>
      <c r="B76" s="160"/>
      <c r="C76" s="265"/>
      <c r="D76" s="82"/>
      <c r="E76" s="228"/>
      <c r="F76" s="105"/>
      <c r="G76" s="105"/>
      <c r="H76" s="105"/>
    </row>
    <row r="77" spans="1:11" ht="51" x14ac:dyDescent="0.25">
      <c r="A77" s="256"/>
      <c r="B77" s="160" t="s">
        <v>546</v>
      </c>
      <c r="C77" s="265">
        <v>34</v>
      </c>
      <c r="D77" s="82" t="s">
        <v>316</v>
      </c>
      <c r="E77" s="228" t="s">
        <v>577</v>
      </c>
      <c r="F77" s="105"/>
      <c r="G77" s="105">
        <v>282000</v>
      </c>
      <c r="H77" s="105">
        <f>H75-G77</f>
        <v>25057000</v>
      </c>
    </row>
    <row r="78" spans="1:11" x14ac:dyDescent="0.25">
      <c r="A78" s="256"/>
      <c r="B78" s="160"/>
      <c r="C78" s="265"/>
      <c r="D78" s="82"/>
      <c r="E78" s="228"/>
      <c r="F78" s="105"/>
      <c r="G78" s="105"/>
      <c r="H78" s="105"/>
    </row>
    <row r="79" spans="1:11" ht="51" x14ac:dyDescent="0.25">
      <c r="A79" s="256"/>
      <c r="B79" s="160" t="s">
        <v>546</v>
      </c>
      <c r="C79" s="265">
        <v>35</v>
      </c>
      <c r="D79" s="82" t="s">
        <v>315</v>
      </c>
      <c r="E79" s="228" t="s">
        <v>578</v>
      </c>
      <c r="F79" s="105"/>
      <c r="G79" s="105">
        <v>158000</v>
      </c>
      <c r="H79" s="105">
        <f>H77-G79</f>
        <v>24899000</v>
      </c>
    </row>
    <row r="80" spans="1:11" x14ac:dyDescent="0.25">
      <c r="A80" s="256"/>
      <c r="B80" s="160"/>
      <c r="C80" s="265"/>
      <c r="D80" s="82"/>
      <c r="E80" s="228"/>
      <c r="F80" s="105"/>
      <c r="G80" s="105"/>
      <c r="H80" s="105"/>
    </row>
    <row r="81" spans="1:11" ht="51" x14ac:dyDescent="0.25">
      <c r="A81" s="256"/>
      <c r="B81" s="160" t="s">
        <v>546</v>
      </c>
      <c r="C81" s="265">
        <v>36</v>
      </c>
      <c r="D81" s="82" t="s">
        <v>317</v>
      </c>
      <c r="E81" s="228" t="s">
        <v>579</v>
      </c>
      <c r="F81" s="105"/>
      <c r="G81" s="105">
        <v>280800</v>
      </c>
      <c r="H81" s="105">
        <f>H79-G81</f>
        <v>24618200</v>
      </c>
    </row>
    <row r="82" spans="1:11" x14ac:dyDescent="0.25">
      <c r="A82" s="256"/>
      <c r="B82" s="160"/>
      <c r="C82" s="265"/>
      <c r="D82" s="82"/>
      <c r="E82" s="228"/>
      <c r="F82" s="105"/>
      <c r="G82" s="105"/>
      <c r="H82" s="105"/>
    </row>
    <row r="83" spans="1:11" ht="51" x14ac:dyDescent="0.25">
      <c r="A83" s="256"/>
      <c r="B83" s="160" t="s">
        <v>546</v>
      </c>
      <c r="C83" s="265">
        <v>37</v>
      </c>
      <c r="D83" s="82" t="s">
        <v>318</v>
      </c>
      <c r="E83" s="228" t="s">
        <v>580</v>
      </c>
      <c r="F83" s="105"/>
      <c r="G83" s="105">
        <v>164800</v>
      </c>
      <c r="H83" s="105">
        <f>H81-G83</f>
        <v>24453400</v>
      </c>
      <c r="K83" s="1"/>
    </row>
    <row r="84" spans="1:11" x14ac:dyDescent="0.25">
      <c r="A84" s="256"/>
      <c r="B84" s="160"/>
      <c r="C84" s="265"/>
      <c r="D84" s="82"/>
      <c r="E84" s="228"/>
      <c r="F84" s="105"/>
      <c r="G84" s="105"/>
      <c r="H84" s="105"/>
      <c r="K84" s="1"/>
    </row>
    <row r="85" spans="1:11" ht="51" x14ac:dyDescent="0.25">
      <c r="A85" s="256"/>
      <c r="B85" s="160" t="s">
        <v>546</v>
      </c>
      <c r="C85" s="265">
        <v>38</v>
      </c>
      <c r="D85" s="82" t="s">
        <v>319</v>
      </c>
      <c r="E85" s="228" t="s">
        <v>581</v>
      </c>
      <c r="F85" s="105"/>
      <c r="G85" s="105">
        <v>282000</v>
      </c>
      <c r="H85" s="105">
        <f>H83-G85</f>
        <v>24171400</v>
      </c>
    </row>
    <row r="86" spans="1:11" x14ac:dyDescent="0.25">
      <c r="A86" s="256"/>
      <c r="B86" s="160"/>
      <c r="C86" s="265"/>
      <c r="D86" s="82"/>
      <c r="E86" s="228"/>
      <c r="F86" s="105"/>
      <c r="G86" s="105"/>
      <c r="H86" s="105"/>
    </row>
    <row r="87" spans="1:11" ht="51" x14ac:dyDescent="0.25">
      <c r="A87" s="256"/>
      <c r="B87" s="160" t="s">
        <v>546</v>
      </c>
      <c r="C87" s="265">
        <v>39</v>
      </c>
      <c r="D87" s="82" t="s">
        <v>320</v>
      </c>
      <c r="E87" s="228" t="s">
        <v>582</v>
      </c>
      <c r="F87" s="105"/>
      <c r="G87" s="105">
        <v>158000</v>
      </c>
      <c r="H87" s="105">
        <f>H85-G87</f>
        <v>24013400</v>
      </c>
    </row>
    <row r="88" spans="1:11" x14ac:dyDescent="0.25">
      <c r="A88" s="256"/>
      <c r="B88" s="160"/>
      <c r="C88" s="265"/>
      <c r="D88" s="82"/>
      <c r="E88" s="228"/>
      <c r="F88" s="105"/>
      <c r="G88" s="105"/>
      <c r="H88" s="105"/>
    </row>
    <row r="89" spans="1:11" ht="51" x14ac:dyDescent="0.25">
      <c r="A89" s="256"/>
      <c r="B89" s="160" t="s">
        <v>546</v>
      </c>
      <c r="C89" s="265">
        <v>40</v>
      </c>
      <c r="D89" s="82" t="s">
        <v>583</v>
      </c>
      <c r="E89" s="228" t="s">
        <v>585</v>
      </c>
      <c r="F89" s="105"/>
      <c r="G89" s="105">
        <v>444800</v>
      </c>
      <c r="H89" s="105">
        <f>H87-G89</f>
        <v>23568600</v>
      </c>
      <c r="K89" s="1">
        <f>SUM(G89:G93)</f>
        <v>1008000</v>
      </c>
    </row>
    <row r="90" spans="1:11" x14ac:dyDescent="0.25">
      <c r="A90" s="256"/>
      <c r="B90" s="160"/>
      <c r="C90" s="265"/>
      <c r="D90" s="82"/>
      <c r="E90" s="228"/>
      <c r="F90" s="105"/>
      <c r="G90" s="105"/>
      <c r="H90" s="105"/>
      <c r="K90" s="1"/>
    </row>
    <row r="91" spans="1:11" ht="51" x14ac:dyDescent="0.25">
      <c r="A91" s="256"/>
      <c r="B91" s="160" t="s">
        <v>546</v>
      </c>
      <c r="C91" s="265">
        <v>41</v>
      </c>
      <c r="D91" s="82" t="s">
        <v>322</v>
      </c>
      <c r="E91" s="228" t="s">
        <v>586</v>
      </c>
      <c r="F91" s="105"/>
      <c r="G91" s="105">
        <v>247200</v>
      </c>
      <c r="H91" s="105">
        <f>H89-G91</f>
        <v>23321400</v>
      </c>
    </row>
    <row r="92" spans="1:11" x14ac:dyDescent="0.25">
      <c r="A92" s="256"/>
      <c r="B92" s="160"/>
      <c r="C92" s="265"/>
      <c r="D92" s="82"/>
      <c r="E92" s="228"/>
      <c r="F92" s="105"/>
      <c r="G92" s="105"/>
      <c r="H92" s="105"/>
    </row>
    <row r="93" spans="1:11" ht="51" x14ac:dyDescent="0.25">
      <c r="A93" s="256"/>
      <c r="B93" s="160" t="s">
        <v>546</v>
      </c>
      <c r="C93" s="265">
        <v>42</v>
      </c>
      <c r="D93" s="82" t="s">
        <v>584</v>
      </c>
      <c r="E93" s="228" t="s">
        <v>587</v>
      </c>
      <c r="F93" s="105"/>
      <c r="G93" s="105">
        <v>316000</v>
      </c>
      <c r="H93" s="105">
        <f>H91-G93</f>
        <v>23005400</v>
      </c>
    </row>
    <row r="94" spans="1:11" x14ac:dyDescent="0.25">
      <c r="A94" s="256"/>
      <c r="B94" s="160"/>
      <c r="C94" s="265"/>
      <c r="D94" s="82"/>
      <c r="E94" s="228"/>
      <c r="F94" s="105"/>
      <c r="G94" s="105"/>
      <c r="H94" s="105"/>
    </row>
    <row r="95" spans="1:11" ht="51" x14ac:dyDescent="0.25">
      <c r="A95" s="256"/>
      <c r="B95" s="160" t="s">
        <v>546</v>
      </c>
      <c r="C95" s="265">
        <v>43</v>
      </c>
      <c r="D95" s="82" t="s">
        <v>588</v>
      </c>
      <c r="E95" s="228" t="s">
        <v>589</v>
      </c>
      <c r="F95" s="105"/>
      <c r="G95" s="105">
        <v>505800</v>
      </c>
      <c r="H95" s="105">
        <f>H93-G95</f>
        <v>22499600</v>
      </c>
      <c r="K95" s="1"/>
    </row>
    <row r="96" spans="1:11" x14ac:dyDescent="0.25">
      <c r="A96" s="256"/>
      <c r="B96" s="160"/>
      <c r="C96" s="265"/>
      <c r="D96" s="82"/>
      <c r="E96" s="228"/>
      <c r="F96" s="105"/>
      <c r="G96" s="105"/>
      <c r="H96" s="105"/>
      <c r="K96" s="1"/>
    </row>
    <row r="97" spans="1:11" ht="38.25" x14ac:dyDescent="0.25">
      <c r="A97" s="256"/>
      <c r="B97" s="160" t="s">
        <v>546</v>
      </c>
      <c r="C97" s="265">
        <v>44</v>
      </c>
      <c r="D97" s="82" t="s">
        <v>334</v>
      </c>
      <c r="E97" s="228" t="s">
        <v>590</v>
      </c>
      <c r="F97" s="105"/>
      <c r="G97" s="105">
        <v>143100</v>
      </c>
      <c r="H97" s="105">
        <f>H95-G97</f>
        <v>22356500</v>
      </c>
    </row>
    <row r="98" spans="1:11" x14ac:dyDescent="0.25">
      <c r="A98" s="256"/>
      <c r="B98" s="160"/>
      <c r="C98" s="265"/>
      <c r="D98" s="82"/>
      <c r="E98" s="228"/>
      <c r="F98" s="105"/>
      <c r="G98" s="105"/>
      <c r="H98" s="105"/>
    </row>
    <row r="99" spans="1:11" ht="38.25" x14ac:dyDescent="0.25">
      <c r="A99" s="256"/>
      <c r="B99" s="160" t="s">
        <v>546</v>
      </c>
      <c r="C99" s="265">
        <v>45</v>
      </c>
      <c r="D99" s="82" t="s">
        <v>338</v>
      </c>
      <c r="E99" s="228" t="s">
        <v>591</v>
      </c>
      <c r="F99" s="105"/>
      <c r="G99" s="105">
        <v>250000</v>
      </c>
      <c r="H99" s="105">
        <f>H97-G99</f>
        <v>22106500</v>
      </c>
    </row>
    <row r="100" spans="1:11" x14ac:dyDescent="0.25">
      <c r="A100" s="256"/>
      <c r="B100" s="160"/>
      <c r="C100" s="265"/>
      <c r="D100" s="82"/>
      <c r="E100" s="228"/>
      <c r="F100" s="105"/>
      <c r="G100" s="105"/>
      <c r="H100" s="105"/>
    </row>
    <row r="101" spans="1:11" ht="38.25" x14ac:dyDescent="0.25">
      <c r="A101" s="256"/>
      <c r="B101" s="160" t="s">
        <v>546</v>
      </c>
      <c r="C101" s="265">
        <v>46</v>
      </c>
      <c r="D101" s="82" t="s">
        <v>339</v>
      </c>
      <c r="E101" s="228" t="s">
        <v>592</v>
      </c>
      <c r="F101" s="105"/>
      <c r="G101" s="105">
        <v>679000</v>
      </c>
      <c r="H101" s="105">
        <f>H99-G101</f>
        <v>21427500</v>
      </c>
    </row>
    <row r="102" spans="1:11" x14ac:dyDescent="0.25">
      <c r="A102" s="256"/>
      <c r="B102" s="160"/>
      <c r="C102" s="265"/>
      <c r="D102" s="82"/>
      <c r="E102" s="228"/>
      <c r="F102" s="105"/>
      <c r="G102" s="105"/>
      <c r="H102" s="105"/>
    </row>
    <row r="103" spans="1:11" ht="63.75" x14ac:dyDescent="0.25">
      <c r="A103" s="256"/>
      <c r="B103" s="160" t="s">
        <v>546</v>
      </c>
      <c r="C103" s="265">
        <v>47</v>
      </c>
      <c r="D103" s="82" t="s">
        <v>340</v>
      </c>
      <c r="E103" s="228" t="s">
        <v>593</v>
      </c>
      <c r="F103" s="105"/>
      <c r="G103" s="105">
        <v>237900</v>
      </c>
      <c r="H103" s="105">
        <f>H101-G103</f>
        <v>21189600</v>
      </c>
    </row>
    <row r="104" spans="1:11" x14ac:dyDescent="0.25">
      <c r="A104" s="256"/>
      <c r="B104" s="160"/>
      <c r="C104" s="265"/>
      <c r="D104" s="82"/>
      <c r="E104" s="228"/>
      <c r="F104" s="105"/>
      <c r="G104" s="105"/>
      <c r="H104" s="105"/>
    </row>
    <row r="105" spans="1:11" ht="63.75" x14ac:dyDescent="0.25">
      <c r="A105" s="256"/>
      <c r="B105" s="160" t="s">
        <v>546</v>
      </c>
      <c r="C105" s="265">
        <v>48</v>
      </c>
      <c r="D105" s="82" t="s">
        <v>343</v>
      </c>
      <c r="E105" s="228" t="s">
        <v>594</v>
      </c>
      <c r="F105" s="105"/>
      <c r="G105" s="105">
        <v>164800</v>
      </c>
      <c r="H105" s="105">
        <f>H103-G105</f>
        <v>21024800</v>
      </c>
    </row>
    <row r="106" spans="1:11" x14ac:dyDescent="0.25">
      <c r="A106" s="256"/>
      <c r="B106" s="160"/>
      <c r="C106" s="265"/>
      <c r="D106" s="82"/>
      <c r="E106" s="228"/>
      <c r="F106" s="105"/>
      <c r="G106" s="105"/>
      <c r="H106" s="105"/>
    </row>
    <row r="107" spans="1:11" ht="63.75" x14ac:dyDescent="0.25">
      <c r="A107" s="256"/>
      <c r="B107" s="160" t="s">
        <v>546</v>
      </c>
      <c r="C107" s="265">
        <v>49</v>
      </c>
      <c r="D107" s="82" t="s">
        <v>344</v>
      </c>
      <c r="E107" s="228" t="s">
        <v>595</v>
      </c>
      <c r="F107" s="105"/>
      <c r="G107" s="105">
        <v>321000</v>
      </c>
      <c r="H107" s="105">
        <f>H105-G107</f>
        <v>20703800</v>
      </c>
    </row>
    <row r="108" spans="1:11" x14ac:dyDescent="0.25">
      <c r="A108" s="256"/>
      <c r="B108" s="160"/>
      <c r="C108" s="265"/>
      <c r="D108" s="82"/>
      <c r="E108" s="228"/>
      <c r="F108" s="105"/>
      <c r="G108" s="105"/>
      <c r="H108" s="105"/>
    </row>
    <row r="109" spans="1:11" ht="63.75" x14ac:dyDescent="0.25">
      <c r="A109" s="256"/>
      <c r="B109" s="160" t="s">
        <v>546</v>
      </c>
      <c r="C109" s="265">
        <v>50</v>
      </c>
      <c r="D109" s="82" t="s">
        <v>346</v>
      </c>
      <c r="E109" s="228" t="s">
        <v>596</v>
      </c>
      <c r="F109" s="105"/>
      <c r="G109" s="105">
        <v>158000</v>
      </c>
      <c r="H109" s="105">
        <f>H107-G109</f>
        <v>20545800</v>
      </c>
      <c r="K109" s="1">
        <f>SUM(G103:G109)</f>
        <v>881700</v>
      </c>
    </row>
    <row r="110" spans="1:11" x14ac:dyDescent="0.25">
      <c r="A110" s="256"/>
      <c r="B110" s="160"/>
      <c r="C110" s="265"/>
      <c r="D110" s="82"/>
      <c r="E110" s="228"/>
      <c r="F110" s="105"/>
      <c r="G110" s="105"/>
      <c r="H110" s="105"/>
      <c r="K110" s="1"/>
    </row>
    <row r="111" spans="1:11" x14ac:dyDescent="0.25">
      <c r="A111" s="256"/>
      <c r="B111" s="248"/>
      <c r="C111" s="265"/>
      <c r="D111" s="68"/>
      <c r="E111" s="226" t="s">
        <v>548</v>
      </c>
      <c r="F111" s="153">
        <v>5000000</v>
      </c>
      <c r="G111" s="126"/>
      <c r="H111" s="260">
        <f>H109+F111</f>
        <v>25545800</v>
      </c>
    </row>
    <row r="112" spans="1:11" ht="38.25" x14ac:dyDescent="0.25">
      <c r="A112" s="256"/>
      <c r="B112" s="160" t="s">
        <v>546</v>
      </c>
      <c r="C112" s="234">
        <v>51</v>
      </c>
      <c r="D112" s="177" t="s">
        <v>85</v>
      </c>
      <c r="E112" s="169" t="s">
        <v>549</v>
      </c>
      <c r="F112" s="153"/>
      <c r="G112" s="126">
        <v>5000000</v>
      </c>
      <c r="H112" s="105">
        <f>H111-G112</f>
        <v>20545800</v>
      </c>
    </row>
    <row r="113" spans="1:8" x14ac:dyDescent="0.25">
      <c r="A113" s="256"/>
      <c r="B113" s="160" t="s">
        <v>546</v>
      </c>
      <c r="C113" s="263">
        <v>52</v>
      </c>
      <c r="D113" s="42"/>
      <c r="E113" s="226" t="s">
        <v>597</v>
      </c>
      <c r="F113" s="260">
        <v>1540000</v>
      </c>
      <c r="G113" s="105"/>
      <c r="H113" s="260">
        <f>H112+F113</f>
        <v>22085800</v>
      </c>
    </row>
    <row r="114" spans="1:8" ht="51" x14ac:dyDescent="0.25">
      <c r="A114" s="256"/>
      <c r="B114" s="160" t="s">
        <v>546</v>
      </c>
      <c r="C114" s="80">
        <v>53</v>
      </c>
      <c r="D114" s="66" t="s">
        <v>445</v>
      </c>
      <c r="E114" s="63" t="s">
        <v>598</v>
      </c>
      <c r="F114" s="105"/>
      <c r="G114" s="105">
        <v>1540000</v>
      </c>
      <c r="H114" s="105">
        <f>H113-G114</f>
        <v>20545800</v>
      </c>
    </row>
    <row r="115" spans="1:8" x14ac:dyDescent="0.25">
      <c r="A115" s="256"/>
      <c r="B115" s="160" t="s">
        <v>599</v>
      </c>
      <c r="C115" s="263">
        <v>54</v>
      </c>
      <c r="D115" s="42"/>
      <c r="E115" s="226" t="s">
        <v>600</v>
      </c>
      <c r="F115" s="260">
        <v>11560000</v>
      </c>
      <c r="G115" s="105"/>
      <c r="H115" s="260">
        <f>H114+F115</f>
        <v>32105800</v>
      </c>
    </row>
    <row r="116" spans="1:8" ht="76.5" x14ac:dyDescent="0.25">
      <c r="A116" s="256"/>
      <c r="B116" s="160" t="s">
        <v>601</v>
      </c>
      <c r="C116" s="80">
        <v>55</v>
      </c>
      <c r="D116" s="68" t="s">
        <v>181</v>
      </c>
      <c r="E116" s="225" t="s">
        <v>602</v>
      </c>
      <c r="F116" s="105"/>
      <c r="G116" s="105">
        <v>1700000</v>
      </c>
      <c r="H116" s="105">
        <f>H115-G116</f>
        <v>30405800</v>
      </c>
    </row>
    <row r="117" spans="1:8" ht="76.5" x14ac:dyDescent="0.25">
      <c r="A117" s="256"/>
      <c r="B117" s="160" t="s">
        <v>601</v>
      </c>
      <c r="C117" s="80">
        <v>56</v>
      </c>
      <c r="D117" s="68" t="s">
        <v>181</v>
      </c>
      <c r="E117" s="225" t="s">
        <v>603</v>
      </c>
      <c r="F117" s="105"/>
      <c r="G117" s="105">
        <v>2040000</v>
      </c>
      <c r="H117" s="105">
        <f t="shared" ref="H117:H118" si="3">H116-G117</f>
        <v>28365800</v>
      </c>
    </row>
    <row r="118" spans="1:8" ht="76.5" x14ac:dyDescent="0.25">
      <c r="A118" s="256"/>
      <c r="B118" s="160" t="s">
        <v>601</v>
      </c>
      <c r="C118" s="80">
        <v>57</v>
      </c>
      <c r="D118" s="68" t="s">
        <v>181</v>
      </c>
      <c r="E118" s="225" t="s">
        <v>604</v>
      </c>
      <c r="F118" s="105"/>
      <c r="G118" s="105">
        <v>2040000</v>
      </c>
      <c r="H118" s="105">
        <f t="shared" si="3"/>
        <v>26325800</v>
      </c>
    </row>
    <row r="119" spans="1:8" x14ac:dyDescent="0.25">
      <c r="A119" s="256"/>
      <c r="B119" s="160"/>
      <c r="C119" s="80"/>
      <c r="D119" s="68"/>
      <c r="E119" s="225"/>
      <c r="F119" s="105"/>
      <c r="G119" s="105"/>
      <c r="H119" s="105"/>
    </row>
    <row r="120" spans="1:8" ht="63.75" x14ac:dyDescent="0.25">
      <c r="A120" s="256"/>
      <c r="B120" s="160" t="s">
        <v>601</v>
      </c>
      <c r="C120" s="80">
        <v>58</v>
      </c>
      <c r="D120" s="68" t="s">
        <v>181</v>
      </c>
      <c r="E120" s="225" t="s">
        <v>605</v>
      </c>
      <c r="F120" s="105"/>
      <c r="G120" s="105">
        <v>2040000</v>
      </c>
      <c r="H120" s="105">
        <f>H118-G120</f>
        <v>24285800</v>
      </c>
    </row>
    <row r="121" spans="1:8" x14ac:dyDescent="0.25">
      <c r="A121" s="256"/>
      <c r="B121" s="160"/>
      <c r="C121" s="80"/>
      <c r="D121" s="68"/>
      <c r="E121" s="225"/>
      <c r="F121" s="105"/>
      <c r="G121" s="105"/>
      <c r="H121" s="105"/>
    </row>
    <row r="122" spans="1:8" ht="76.5" x14ac:dyDescent="0.25">
      <c r="A122" s="256"/>
      <c r="B122" s="160" t="s">
        <v>601</v>
      </c>
      <c r="C122" s="80">
        <v>59</v>
      </c>
      <c r="D122" s="68" t="s">
        <v>181</v>
      </c>
      <c r="E122" s="225" t="s">
        <v>606</v>
      </c>
      <c r="F122" s="105"/>
      <c r="G122" s="105">
        <v>2040000</v>
      </c>
      <c r="H122" s="105">
        <f>H120-G122</f>
        <v>22245800</v>
      </c>
    </row>
    <row r="123" spans="1:8" x14ac:dyDescent="0.25">
      <c r="A123" s="256"/>
      <c r="B123" s="160"/>
      <c r="C123" s="80"/>
      <c r="D123" s="68"/>
      <c r="E123" s="225"/>
      <c r="F123" s="105"/>
      <c r="G123" s="105"/>
      <c r="H123" s="105"/>
    </row>
    <row r="124" spans="1:8" ht="76.5" x14ac:dyDescent="0.25">
      <c r="A124" s="256"/>
      <c r="B124" s="160" t="s">
        <v>601</v>
      </c>
      <c r="C124" s="80">
        <v>60</v>
      </c>
      <c r="D124" s="68" t="s">
        <v>181</v>
      </c>
      <c r="E124" s="225" t="s">
        <v>607</v>
      </c>
      <c r="F124" s="105"/>
      <c r="G124" s="105">
        <v>1700000</v>
      </c>
      <c r="H124" s="105">
        <f>H122-G124</f>
        <v>20545800</v>
      </c>
    </row>
    <row r="125" spans="1:8" x14ac:dyDescent="0.25">
      <c r="A125" s="256"/>
      <c r="B125" s="160" t="s">
        <v>601</v>
      </c>
      <c r="C125" s="80">
        <v>61</v>
      </c>
      <c r="D125" s="66"/>
      <c r="E125" s="226" t="s">
        <v>638</v>
      </c>
      <c r="F125" s="260">
        <v>17580000</v>
      </c>
      <c r="G125" s="260"/>
      <c r="H125" s="260">
        <f>H124+F125</f>
        <v>38125800</v>
      </c>
    </row>
    <row r="126" spans="1:8" ht="63.75" x14ac:dyDescent="0.25">
      <c r="A126" s="256"/>
      <c r="B126" s="160" t="s">
        <v>601</v>
      </c>
      <c r="C126" s="80">
        <v>62</v>
      </c>
      <c r="D126" s="157" t="s">
        <v>641</v>
      </c>
      <c r="E126" s="63" t="s">
        <v>642</v>
      </c>
      <c r="F126" s="105"/>
      <c r="G126" s="105">
        <v>17580000</v>
      </c>
      <c r="H126" s="105">
        <f>H125-G126</f>
        <v>20545800</v>
      </c>
    </row>
    <row r="127" spans="1:8" x14ac:dyDescent="0.25">
      <c r="A127" s="256"/>
      <c r="B127" s="160" t="s">
        <v>601</v>
      </c>
      <c r="C127" s="80">
        <v>63</v>
      </c>
      <c r="D127" s="66"/>
      <c r="E127" s="226" t="s">
        <v>640</v>
      </c>
      <c r="F127" s="260">
        <v>6000000</v>
      </c>
      <c r="G127" s="105"/>
      <c r="H127" s="105">
        <f>H126+F127</f>
        <v>26545800</v>
      </c>
    </row>
    <row r="128" spans="1:8" ht="38.25" x14ac:dyDescent="0.25">
      <c r="A128" s="256"/>
      <c r="B128" s="160" t="s">
        <v>601</v>
      </c>
      <c r="C128" s="80">
        <v>64</v>
      </c>
      <c r="D128" s="66" t="s">
        <v>500</v>
      </c>
      <c r="E128" s="228" t="s">
        <v>639</v>
      </c>
      <c r="F128" s="105"/>
      <c r="G128" s="105">
        <v>6000000</v>
      </c>
      <c r="H128" s="105">
        <f>H127-G128</f>
        <v>20545800</v>
      </c>
    </row>
    <row r="129" spans="1:8" x14ac:dyDescent="0.25">
      <c r="A129" s="256"/>
      <c r="B129" s="160" t="s">
        <v>601</v>
      </c>
      <c r="C129" s="80">
        <v>65</v>
      </c>
      <c r="D129" s="261"/>
      <c r="E129" s="226" t="s">
        <v>608</v>
      </c>
      <c r="F129" s="260">
        <v>62876400</v>
      </c>
      <c r="G129" s="260"/>
      <c r="H129" s="260">
        <f>H128+F129</f>
        <v>83422200</v>
      </c>
    </row>
    <row r="130" spans="1:8" ht="51" x14ac:dyDescent="0.25">
      <c r="A130" s="256"/>
      <c r="B130" s="160" t="s">
        <v>616</v>
      </c>
      <c r="C130" s="80">
        <v>66</v>
      </c>
      <c r="D130" s="224" t="s">
        <v>617</v>
      </c>
      <c r="E130" s="175" t="s">
        <v>621</v>
      </c>
      <c r="F130" s="260"/>
      <c r="G130" s="105">
        <v>7422000</v>
      </c>
      <c r="H130" s="105">
        <f>H129-G130</f>
        <v>76000200</v>
      </c>
    </row>
    <row r="131" spans="1:8" x14ac:dyDescent="0.25">
      <c r="A131" s="256"/>
      <c r="B131" s="160"/>
      <c r="C131" s="80"/>
      <c r="D131" s="224"/>
      <c r="E131" s="175"/>
      <c r="F131" s="260"/>
      <c r="G131" s="105"/>
      <c r="H131" s="105"/>
    </row>
    <row r="132" spans="1:8" ht="63.75" x14ac:dyDescent="0.25">
      <c r="A132" s="256"/>
      <c r="B132" s="160" t="s">
        <v>616</v>
      </c>
      <c r="C132" s="80">
        <v>67</v>
      </c>
      <c r="D132" s="224" t="s">
        <v>622</v>
      </c>
      <c r="E132" s="175" t="s">
        <v>623</v>
      </c>
      <c r="F132" s="260"/>
      <c r="G132" s="105">
        <v>7310000</v>
      </c>
      <c r="H132" s="105">
        <f>H130-G132</f>
        <v>68690200</v>
      </c>
    </row>
    <row r="133" spans="1:8" x14ac:dyDescent="0.25">
      <c r="A133" s="256"/>
      <c r="B133" s="160"/>
      <c r="C133" s="80"/>
      <c r="D133" s="224"/>
      <c r="E133" s="175"/>
      <c r="F133" s="260"/>
      <c r="G133" s="105"/>
      <c r="H133" s="105"/>
    </row>
    <row r="134" spans="1:8" ht="51" x14ac:dyDescent="0.25">
      <c r="A134" s="256"/>
      <c r="B134" s="160" t="s">
        <v>616</v>
      </c>
      <c r="C134" s="80">
        <v>68</v>
      </c>
      <c r="D134" s="68" t="s">
        <v>624</v>
      </c>
      <c r="E134" s="175" t="s">
        <v>625</v>
      </c>
      <c r="F134" s="260"/>
      <c r="G134" s="105">
        <v>8052600</v>
      </c>
      <c r="H134" s="105">
        <f>H132-G134</f>
        <v>60637600</v>
      </c>
    </row>
    <row r="135" spans="1:8" ht="63.75" x14ac:dyDescent="0.25">
      <c r="A135" s="256"/>
      <c r="B135" s="160" t="s">
        <v>616</v>
      </c>
      <c r="C135" s="80">
        <v>69</v>
      </c>
      <c r="D135" s="68" t="s">
        <v>624</v>
      </c>
      <c r="E135" s="175" t="s">
        <v>626</v>
      </c>
      <c r="F135" s="260"/>
      <c r="G135" s="105">
        <v>7752600</v>
      </c>
      <c r="H135" s="105">
        <f t="shared" ref="H135:H142" si="4">H134-G135</f>
        <v>52885000</v>
      </c>
    </row>
    <row r="136" spans="1:8" ht="51" x14ac:dyDescent="0.25">
      <c r="A136" s="256"/>
      <c r="B136" s="160" t="s">
        <v>616</v>
      </c>
      <c r="C136" s="80">
        <v>70</v>
      </c>
      <c r="D136" s="66" t="s">
        <v>633</v>
      </c>
      <c r="E136" s="228" t="s">
        <v>634</v>
      </c>
      <c r="F136" s="260"/>
      <c r="G136" s="105">
        <v>1650000</v>
      </c>
      <c r="H136" s="105">
        <f t="shared" si="4"/>
        <v>51235000</v>
      </c>
    </row>
    <row r="137" spans="1:8" ht="51" x14ac:dyDescent="0.25">
      <c r="A137" s="256"/>
      <c r="B137" s="160" t="s">
        <v>616</v>
      </c>
      <c r="C137" s="80">
        <v>71</v>
      </c>
      <c r="D137" s="66" t="s">
        <v>633</v>
      </c>
      <c r="E137" s="228" t="s">
        <v>636</v>
      </c>
      <c r="F137" s="260"/>
      <c r="G137" s="105">
        <v>1650000</v>
      </c>
      <c r="H137" s="105">
        <f t="shared" si="4"/>
        <v>49585000</v>
      </c>
    </row>
    <row r="138" spans="1:8" ht="51" x14ac:dyDescent="0.25">
      <c r="A138" s="256"/>
      <c r="B138" s="160" t="s">
        <v>616</v>
      </c>
      <c r="C138" s="80">
        <v>72</v>
      </c>
      <c r="D138" s="66" t="s">
        <v>633</v>
      </c>
      <c r="E138" s="228" t="s">
        <v>635</v>
      </c>
      <c r="F138" s="260"/>
      <c r="G138" s="105">
        <v>4400000</v>
      </c>
      <c r="H138" s="105">
        <f t="shared" si="4"/>
        <v>45185000</v>
      </c>
    </row>
    <row r="139" spans="1:8" ht="51" x14ac:dyDescent="0.25">
      <c r="A139" s="256"/>
      <c r="B139" s="160" t="s">
        <v>615</v>
      </c>
      <c r="C139" s="80">
        <v>73</v>
      </c>
      <c r="D139" s="66" t="s">
        <v>612</v>
      </c>
      <c r="E139" s="175" t="s">
        <v>618</v>
      </c>
      <c r="F139" s="105"/>
      <c r="G139" s="105">
        <v>672000</v>
      </c>
      <c r="H139" s="105">
        <f t="shared" si="4"/>
        <v>44513000</v>
      </c>
    </row>
    <row r="140" spans="1:8" ht="51" x14ac:dyDescent="0.25">
      <c r="A140" s="256"/>
      <c r="B140" s="160" t="s">
        <v>615</v>
      </c>
      <c r="C140" s="80">
        <v>74</v>
      </c>
      <c r="D140" s="68" t="s">
        <v>613</v>
      </c>
      <c r="E140" s="175" t="s">
        <v>619</v>
      </c>
      <c r="F140" s="260"/>
      <c r="G140" s="105">
        <v>1648000</v>
      </c>
      <c r="H140" s="105">
        <f t="shared" si="4"/>
        <v>42865000</v>
      </c>
    </row>
    <row r="141" spans="1:8" ht="51" x14ac:dyDescent="0.25">
      <c r="A141" s="256"/>
      <c r="B141" s="160" t="s">
        <v>615</v>
      </c>
      <c r="C141" s="80">
        <v>75</v>
      </c>
      <c r="D141" s="68" t="s">
        <v>614</v>
      </c>
      <c r="E141" s="175" t="s">
        <v>620</v>
      </c>
      <c r="F141" s="260"/>
      <c r="G141" s="105">
        <v>687000</v>
      </c>
      <c r="H141" s="105">
        <f t="shared" si="4"/>
        <v>42178000</v>
      </c>
    </row>
    <row r="142" spans="1:8" ht="63.75" x14ac:dyDescent="0.25">
      <c r="A142" s="256"/>
      <c r="B142" s="160" t="s">
        <v>615</v>
      </c>
      <c r="C142" s="80">
        <v>76</v>
      </c>
      <c r="D142" s="68" t="s">
        <v>624</v>
      </c>
      <c r="E142" s="175" t="s">
        <v>627</v>
      </c>
      <c r="F142" s="260"/>
      <c r="G142" s="105">
        <v>8134800</v>
      </c>
      <c r="H142" s="105">
        <f t="shared" si="4"/>
        <v>34043200</v>
      </c>
    </row>
    <row r="143" spans="1:8" x14ac:dyDescent="0.25">
      <c r="A143" s="256"/>
      <c r="B143" s="160"/>
      <c r="C143" s="80"/>
      <c r="D143" s="68"/>
      <c r="E143" s="175"/>
      <c r="F143" s="260"/>
      <c r="G143" s="105"/>
      <c r="H143" s="105"/>
    </row>
    <row r="144" spans="1:8" ht="63.75" x14ac:dyDescent="0.25">
      <c r="A144" s="256"/>
      <c r="B144" s="160" t="s">
        <v>615</v>
      </c>
      <c r="C144" s="80">
        <v>77</v>
      </c>
      <c r="D144" s="68" t="s">
        <v>624</v>
      </c>
      <c r="E144" s="175" t="s">
        <v>628</v>
      </c>
      <c r="F144" s="260"/>
      <c r="G144" s="105">
        <v>8133900</v>
      </c>
      <c r="H144" s="105">
        <f>H142-G144</f>
        <v>25909300</v>
      </c>
    </row>
    <row r="145" spans="1:8" x14ac:dyDescent="0.25">
      <c r="A145" s="256"/>
      <c r="B145" s="160"/>
      <c r="C145" s="80"/>
      <c r="D145" s="68"/>
      <c r="E145" s="175"/>
      <c r="F145" s="260"/>
      <c r="G145" s="105"/>
      <c r="H145" s="105"/>
    </row>
    <row r="146" spans="1:8" ht="63" customHeight="1" x14ac:dyDescent="0.25">
      <c r="A146" s="256"/>
      <c r="B146" s="160" t="s">
        <v>637</v>
      </c>
      <c r="C146" s="80">
        <v>78</v>
      </c>
      <c r="D146" s="66" t="s">
        <v>629</v>
      </c>
      <c r="E146" s="228" t="s">
        <v>630</v>
      </c>
      <c r="F146" s="260"/>
      <c r="G146" s="105">
        <v>1650000</v>
      </c>
      <c r="H146" s="105">
        <f>H144-G146</f>
        <v>24259300</v>
      </c>
    </row>
    <row r="147" spans="1:8" ht="51" x14ac:dyDescent="0.25">
      <c r="A147" s="256"/>
      <c r="B147" s="160" t="s">
        <v>637</v>
      </c>
      <c r="C147" s="80">
        <v>79</v>
      </c>
      <c r="D147" s="66" t="s">
        <v>632</v>
      </c>
      <c r="E147" s="228" t="s">
        <v>631</v>
      </c>
      <c r="F147" s="105"/>
      <c r="G147" s="105">
        <v>1650000</v>
      </c>
      <c r="H147" s="105">
        <f>H146-G147</f>
        <v>22609300</v>
      </c>
    </row>
    <row r="148" spans="1:8" x14ac:dyDescent="0.25">
      <c r="A148" s="74"/>
      <c r="B148" s="48"/>
      <c r="C148" s="262"/>
      <c r="D148" s="51"/>
      <c r="E148" s="50" t="s">
        <v>40</v>
      </c>
      <c r="F148" s="51">
        <f>SUM(F8:F147)</f>
        <v>303227226</v>
      </c>
      <c r="G148" s="51">
        <f>SUM(G8:G147)</f>
        <v>280617926</v>
      </c>
      <c r="H148" s="49">
        <f>F148-G148</f>
        <v>22609300</v>
      </c>
    </row>
    <row r="149" spans="1:8" x14ac:dyDescent="0.25">
      <c r="A149" s="74"/>
      <c r="B149" s="48"/>
      <c r="C149" s="51"/>
      <c r="D149" s="51"/>
      <c r="E149" s="50" t="s">
        <v>41</v>
      </c>
      <c r="F149" s="49">
        <f>F148</f>
        <v>303227226</v>
      </c>
      <c r="G149" s="52">
        <f>G148</f>
        <v>280617926</v>
      </c>
      <c r="H149" s="49">
        <f>F149-G149</f>
        <v>22609300</v>
      </c>
    </row>
    <row r="150" spans="1:8" x14ac:dyDescent="0.25">
      <c r="A150" s="14" t="s">
        <v>610</v>
      </c>
      <c r="B150" s="15"/>
      <c r="C150" s="17"/>
      <c r="D150" s="17"/>
      <c r="E150" s="16"/>
      <c r="F150" s="53"/>
      <c r="G150" s="53"/>
      <c r="H150" s="53"/>
    </row>
    <row r="151" spans="1:8" x14ac:dyDescent="0.25">
      <c r="A151" s="14" t="s">
        <v>609</v>
      </c>
      <c r="B151" s="18"/>
      <c r="C151" s="20"/>
      <c r="D151" s="20"/>
      <c r="E151" s="19"/>
      <c r="F151" s="20"/>
      <c r="G151" s="20"/>
      <c r="H151" s="20"/>
    </row>
    <row r="152" spans="1:8" x14ac:dyDescent="0.25">
      <c r="A152" s="27"/>
      <c r="B152" s="18"/>
      <c r="C152" s="20"/>
      <c r="D152" s="20"/>
      <c r="E152" s="19"/>
      <c r="F152" s="20"/>
      <c r="G152" s="20"/>
      <c r="H152" s="20"/>
    </row>
    <row r="153" spans="1:8" x14ac:dyDescent="0.25">
      <c r="A153" s="27"/>
      <c r="B153" s="54"/>
      <c r="C153" s="55"/>
      <c r="D153" s="55"/>
      <c r="E153" s="28"/>
      <c r="F153" s="55"/>
      <c r="G153" s="55"/>
      <c r="H153" s="55"/>
    </row>
    <row r="154" spans="1:8" x14ac:dyDescent="0.25">
      <c r="A154" s="27"/>
      <c r="B154" s="27"/>
      <c r="C154" s="57"/>
      <c r="D154" s="57" t="s">
        <v>43</v>
      </c>
      <c r="E154" s="56" t="s">
        <v>42</v>
      </c>
      <c r="F154" s="57">
        <v>17586900</v>
      </c>
      <c r="G154" s="57"/>
      <c r="H154" s="57"/>
    </row>
    <row r="155" spans="1:8" x14ac:dyDescent="0.25">
      <c r="A155" s="27"/>
      <c r="B155" s="27"/>
      <c r="C155" s="57"/>
      <c r="D155" s="57" t="s">
        <v>45</v>
      </c>
      <c r="E155" s="56" t="s">
        <v>44</v>
      </c>
      <c r="F155" s="57">
        <v>5022400</v>
      </c>
      <c r="G155" s="57"/>
      <c r="H155" s="57"/>
    </row>
    <row r="156" spans="1:8" x14ac:dyDescent="0.25">
      <c r="A156" s="27"/>
      <c r="B156" s="27"/>
      <c r="C156" s="58"/>
      <c r="D156" s="58" t="s">
        <v>46</v>
      </c>
      <c r="E156" s="56"/>
      <c r="F156" s="58">
        <f>F155+F154</f>
        <v>22609300</v>
      </c>
      <c r="G156" s="57"/>
      <c r="H156" s="57"/>
    </row>
    <row r="157" spans="1:8" x14ac:dyDescent="0.25">
      <c r="A157" s="27"/>
      <c r="B157" s="27"/>
      <c r="C157" s="57"/>
      <c r="D157" s="57"/>
      <c r="E157" s="28"/>
      <c r="F157" s="57"/>
      <c r="G157" s="57"/>
      <c r="H157" s="57"/>
    </row>
    <row r="158" spans="1:8" x14ac:dyDescent="0.25">
      <c r="A158" s="27"/>
      <c r="B158" s="27"/>
      <c r="C158" s="57"/>
      <c r="D158" s="57"/>
      <c r="E158" s="56"/>
      <c r="F158" s="57" t="s">
        <v>611</v>
      </c>
      <c r="G158" s="57"/>
      <c r="H158" s="57"/>
    </row>
    <row r="159" spans="1:8" x14ac:dyDescent="0.25">
      <c r="A159" s="27"/>
      <c r="B159" s="27" t="s">
        <v>435</v>
      </c>
      <c r="C159" s="57"/>
      <c r="D159" s="57"/>
      <c r="E159" s="56"/>
      <c r="F159" s="57" t="s">
        <v>47</v>
      </c>
      <c r="G159" s="57"/>
      <c r="H159" s="57"/>
    </row>
    <row r="160" spans="1:8" x14ac:dyDescent="0.25">
      <c r="A160" s="27"/>
      <c r="B160" s="27"/>
      <c r="C160" s="57"/>
      <c r="D160" s="57"/>
      <c r="E160" s="56"/>
      <c r="F160" s="57"/>
      <c r="G160" s="57"/>
      <c r="H160" s="57"/>
    </row>
    <row r="161" spans="1:8" x14ac:dyDescent="0.25">
      <c r="A161" s="27"/>
      <c r="B161" s="27"/>
      <c r="C161" s="57"/>
      <c r="D161" s="57"/>
      <c r="E161" s="56"/>
      <c r="F161" s="57"/>
      <c r="G161" s="57"/>
      <c r="H161" s="57"/>
    </row>
    <row r="162" spans="1:8" x14ac:dyDescent="0.25">
      <c r="A162" s="27"/>
      <c r="B162" s="27"/>
      <c r="C162" s="57"/>
      <c r="D162" s="57"/>
      <c r="E162" s="56"/>
      <c r="F162" s="57"/>
      <c r="G162" s="57"/>
      <c r="H162" s="57"/>
    </row>
    <row r="163" spans="1:8" x14ac:dyDescent="0.25">
      <c r="A163" s="27"/>
      <c r="B163" s="27"/>
      <c r="C163" s="57"/>
      <c r="D163" s="57"/>
      <c r="E163" s="28"/>
      <c r="F163" s="57"/>
      <c r="G163" s="57"/>
      <c r="H163" s="57"/>
    </row>
    <row r="164" spans="1:8" x14ac:dyDescent="0.25">
      <c r="A164" s="27"/>
      <c r="B164" s="59" t="s">
        <v>64</v>
      </c>
      <c r="C164" s="57"/>
      <c r="D164" s="57"/>
      <c r="E164" s="28"/>
      <c r="F164" s="60" t="s">
        <v>69</v>
      </c>
      <c r="G164" s="60"/>
      <c r="H164" s="57"/>
    </row>
    <row r="165" spans="1:8" x14ac:dyDescent="0.25">
      <c r="A165" s="26"/>
      <c r="B165" s="27" t="s">
        <v>65</v>
      </c>
      <c r="C165" s="57"/>
      <c r="D165" s="57"/>
      <c r="E165" s="28"/>
      <c r="F165" s="244" t="s">
        <v>446</v>
      </c>
      <c r="G165" s="244"/>
      <c r="H165" s="57"/>
    </row>
  </sheetData>
  <pageMargins left="0.70866141732283472" right="0.70866141732283472" top="0.74803149606299213" bottom="0.74803149606299213" header="0.31496062992125984" footer="0.31496062992125984"/>
  <pageSetup paperSize="9" scale="55"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3ABF-3CB2-48DB-977E-089E698B025E}">
  <sheetPr>
    <tabColor rgb="FFFF0000"/>
  </sheetPr>
  <dimension ref="A1:M174"/>
  <sheetViews>
    <sheetView tabSelected="1" topLeftCell="A148" workbookViewId="0">
      <selection activeCell="E152" sqref="E152"/>
    </sheetView>
  </sheetViews>
  <sheetFormatPr defaultRowHeight="15" x14ac:dyDescent="0.25"/>
  <cols>
    <col min="1" max="1" width="5" customWidth="1"/>
    <col min="2" max="2" width="9.28515625" customWidth="1"/>
    <col min="3" max="3" width="8.28515625" customWidth="1"/>
    <col min="4" max="4" width="29.28515625" customWidth="1"/>
    <col min="5" max="5" width="58.28515625" customWidth="1"/>
    <col min="6" max="6" width="14.42578125" customWidth="1"/>
    <col min="7" max="7" width="13.85546875" customWidth="1"/>
    <col min="8" max="8" width="13" customWidth="1"/>
    <col min="11" max="11" width="12.5703125" bestFit="1" customWidth="1"/>
    <col min="13" max="13" width="12.5703125" bestFit="1" customWidth="1"/>
  </cols>
  <sheetData>
    <row r="1" spans="1:13" x14ac:dyDescent="0.25">
      <c r="A1" s="268"/>
      <c r="B1" s="268"/>
      <c r="C1" s="268"/>
      <c r="D1" s="268"/>
      <c r="E1" s="267" t="s">
        <v>0</v>
      </c>
      <c r="F1" s="268"/>
      <c r="G1" s="268"/>
      <c r="H1" s="268"/>
    </row>
    <row r="2" spans="1:13" x14ac:dyDescent="0.25">
      <c r="A2" s="268"/>
      <c r="B2" s="268"/>
      <c r="C2" s="268"/>
      <c r="D2" s="268"/>
      <c r="E2" s="267" t="s">
        <v>1</v>
      </c>
      <c r="F2" s="268"/>
      <c r="G2" s="268"/>
      <c r="H2" s="268"/>
    </row>
    <row r="3" spans="1:13" x14ac:dyDescent="0.25">
      <c r="A3" s="109"/>
      <c r="B3" s="110"/>
      <c r="C3" s="112"/>
      <c r="D3" s="112"/>
      <c r="E3" s="111"/>
      <c r="F3" s="112"/>
      <c r="G3" s="112"/>
      <c r="H3" s="112"/>
    </row>
    <row r="4" spans="1:13" x14ac:dyDescent="0.25">
      <c r="A4" s="113" t="s">
        <v>2</v>
      </c>
      <c r="B4" s="113"/>
      <c r="C4" s="112"/>
      <c r="D4" s="112"/>
      <c r="E4" s="111" t="s">
        <v>164</v>
      </c>
      <c r="F4" s="112"/>
      <c r="G4" s="112"/>
      <c r="H4" s="112"/>
    </row>
    <row r="5" spans="1:13" x14ac:dyDescent="0.25">
      <c r="A5" s="80"/>
      <c r="B5" s="82"/>
      <c r="C5" s="115"/>
      <c r="D5" s="115"/>
      <c r="E5" s="114"/>
      <c r="F5" s="115"/>
      <c r="G5" s="115"/>
      <c r="H5" s="115"/>
    </row>
    <row r="6" spans="1:13" x14ac:dyDescent="0.25">
      <c r="A6" s="116" t="s">
        <v>3</v>
      </c>
      <c r="B6" s="117" t="s">
        <v>4</v>
      </c>
      <c r="C6" s="269" t="s">
        <v>494</v>
      </c>
      <c r="D6" s="119" t="s">
        <v>6</v>
      </c>
      <c r="E6" s="118" t="s">
        <v>5</v>
      </c>
      <c r="F6" s="119" t="s">
        <v>7</v>
      </c>
      <c r="G6" s="119" t="s">
        <v>8</v>
      </c>
      <c r="H6" s="119" t="s">
        <v>9</v>
      </c>
    </row>
    <row r="7" spans="1:13" x14ac:dyDescent="0.25">
      <c r="A7" s="120">
        <v>1</v>
      </c>
      <c r="B7" s="121">
        <v>2</v>
      </c>
      <c r="C7" s="121">
        <v>3</v>
      </c>
      <c r="D7" s="121">
        <v>4</v>
      </c>
      <c r="E7" s="121">
        <v>5</v>
      </c>
      <c r="F7" s="121">
        <v>6</v>
      </c>
      <c r="G7" s="121">
        <v>7</v>
      </c>
      <c r="H7" s="121">
        <v>8</v>
      </c>
    </row>
    <row r="8" spans="1:13" x14ac:dyDescent="0.25">
      <c r="A8" s="122"/>
      <c r="B8" s="123"/>
      <c r="C8" s="91"/>
      <c r="D8" s="91"/>
      <c r="E8" s="85" t="s">
        <v>10</v>
      </c>
      <c r="F8" s="124">
        <v>22609300</v>
      </c>
      <c r="G8" s="124"/>
      <c r="H8" s="166">
        <f>F8</f>
        <v>22609300</v>
      </c>
    </row>
    <row r="9" spans="1:13" ht="19.5" customHeight="1" x14ac:dyDescent="0.25">
      <c r="A9" s="159">
        <v>1</v>
      </c>
      <c r="B9" s="160" t="s">
        <v>646</v>
      </c>
      <c r="C9" s="233">
        <v>1</v>
      </c>
      <c r="D9" s="161"/>
      <c r="E9" s="172" t="s">
        <v>647</v>
      </c>
      <c r="F9" s="161"/>
      <c r="G9" s="161"/>
      <c r="H9" s="167"/>
    </row>
    <row r="10" spans="1:13" x14ac:dyDescent="0.25">
      <c r="A10" s="162"/>
      <c r="B10" s="162"/>
      <c r="C10" s="233"/>
      <c r="D10" s="163"/>
      <c r="E10" s="155" t="s">
        <v>649</v>
      </c>
      <c r="F10" s="161"/>
      <c r="G10" s="163"/>
      <c r="H10" s="168"/>
    </row>
    <row r="11" spans="1:13" x14ac:dyDescent="0.25">
      <c r="A11" s="162"/>
      <c r="B11" s="162"/>
      <c r="C11" s="233">
        <v>2</v>
      </c>
      <c r="D11" s="270" t="s">
        <v>50</v>
      </c>
      <c r="E11" s="271" t="s">
        <v>11</v>
      </c>
      <c r="F11" s="163">
        <v>88676000</v>
      </c>
      <c r="G11" s="163"/>
      <c r="H11" s="163">
        <f>H8+F11</f>
        <v>111285300</v>
      </c>
    </row>
    <row r="12" spans="1:13" x14ac:dyDescent="0.25">
      <c r="A12" s="162"/>
      <c r="B12" s="162"/>
      <c r="C12" s="233">
        <v>3</v>
      </c>
      <c r="D12" s="270" t="s">
        <v>51</v>
      </c>
      <c r="E12" s="271" t="s">
        <v>12</v>
      </c>
      <c r="F12" s="163">
        <v>4497952</v>
      </c>
      <c r="G12" s="163"/>
      <c r="H12" s="163">
        <f t="shared" ref="H12:H25" si="0">H11+F12</f>
        <v>115783252</v>
      </c>
    </row>
    <row r="13" spans="1:13" x14ac:dyDescent="0.25">
      <c r="A13" s="162"/>
      <c r="B13" s="162"/>
      <c r="C13" s="233"/>
      <c r="D13" s="270"/>
      <c r="E13" s="271" t="s">
        <v>13</v>
      </c>
      <c r="F13" s="163">
        <v>0</v>
      </c>
      <c r="G13" s="163"/>
      <c r="H13" s="163">
        <f t="shared" si="0"/>
        <v>115783252</v>
      </c>
    </row>
    <row r="14" spans="1:13" x14ac:dyDescent="0.25">
      <c r="A14" s="162"/>
      <c r="B14" s="162"/>
      <c r="C14" s="233">
        <v>4</v>
      </c>
      <c r="D14" s="270" t="s">
        <v>52</v>
      </c>
      <c r="E14" s="271" t="s">
        <v>14</v>
      </c>
      <c r="F14" s="163">
        <v>8725000</v>
      </c>
      <c r="G14" s="163"/>
      <c r="H14" s="163">
        <f t="shared" si="0"/>
        <v>124508252</v>
      </c>
      <c r="M14" s="1">
        <f>SUM(F11:F25)</f>
        <v>115248626</v>
      </c>
    </row>
    <row r="15" spans="1:13" x14ac:dyDescent="0.25">
      <c r="A15" s="154"/>
      <c r="B15" s="154"/>
      <c r="C15" s="233">
        <v>5</v>
      </c>
      <c r="D15" s="126" t="s">
        <v>53</v>
      </c>
      <c r="E15" s="155" t="s">
        <v>15</v>
      </c>
      <c r="F15" s="126">
        <v>3240000</v>
      </c>
      <c r="G15" s="126"/>
      <c r="H15" s="126">
        <f t="shared" si="0"/>
        <v>127748252</v>
      </c>
    </row>
    <row r="16" spans="1:13" x14ac:dyDescent="0.25">
      <c r="A16" s="154"/>
      <c r="B16" s="154"/>
      <c r="C16" s="233">
        <v>6</v>
      </c>
      <c r="D16" s="126" t="s">
        <v>54</v>
      </c>
      <c r="E16" s="155" t="s">
        <v>16</v>
      </c>
      <c r="F16" s="126">
        <v>1465000</v>
      </c>
      <c r="G16" s="126"/>
      <c r="H16" s="126">
        <f t="shared" si="0"/>
        <v>129213252</v>
      </c>
    </row>
    <row r="17" spans="1:8" x14ac:dyDescent="0.25">
      <c r="A17" s="154"/>
      <c r="B17" s="154"/>
      <c r="C17" s="233">
        <v>7</v>
      </c>
      <c r="D17" s="126" t="s">
        <v>55</v>
      </c>
      <c r="E17" s="155" t="s">
        <v>17</v>
      </c>
      <c r="F17" s="126">
        <v>4264158</v>
      </c>
      <c r="G17" s="126"/>
      <c r="H17" s="126">
        <f t="shared" si="0"/>
        <v>133477410</v>
      </c>
    </row>
    <row r="18" spans="1:8" x14ac:dyDescent="0.25">
      <c r="A18" s="154"/>
      <c r="B18" s="154"/>
      <c r="C18" s="233">
        <v>8</v>
      </c>
      <c r="D18" s="126" t="s">
        <v>56</v>
      </c>
      <c r="E18" s="155" t="s">
        <v>18</v>
      </c>
      <c r="F18" s="126">
        <v>3331320</v>
      </c>
      <c r="G18" s="126"/>
      <c r="H18" s="126">
        <f t="shared" si="0"/>
        <v>136808730</v>
      </c>
    </row>
    <row r="19" spans="1:8" x14ac:dyDescent="0.25">
      <c r="A19" s="154"/>
      <c r="B19" s="154"/>
      <c r="C19" s="233"/>
      <c r="D19" s="126"/>
      <c r="E19" s="155" t="s">
        <v>19</v>
      </c>
      <c r="F19" s="126"/>
      <c r="G19" s="126"/>
      <c r="H19" s="126">
        <f t="shared" si="0"/>
        <v>136808730</v>
      </c>
    </row>
    <row r="20" spans="1:8" x14ac:dyDescent="0.25">
      <c r="A20" s="154"/>
      <c r="B20" s="154"/>
      <c r="C20" s="233"/>
      <c r="D20" s="126"/>
      <c r="E20" s="155" t="s">
        <v>20</v>
      </c>
      <c r="F20" s="126"/>
      <c r="G20" s="126"/>
      <c r="H20" s="126">
        <f t="shared" si="0"/>
        <v>136808730</v>
      </c>
    </row>
    <row r="21" spans="1:8" x14ac:dyDescent="0.25">
      <c r="A21" s="154"/>
      <c r="B21" s="154"/>
      <c r="C21" s="233">
        <v>9</v>
      </c>
      <c r="D21" s="126" t="s">
        <v>57</v>
      </c>
      <c r="E21" s="155" t="s">
        <v>21</v>
      </c>
      <c r="F21" s="126">
        <v>196625</v>
      </c>
      <c r="G21" s="126"/>
      <c r="H21" s="126">
        <f t="shared" si="0"/>
        <v>137005355</v>
      </c>
    </row>
    <row r="22" spans="1:8" x14ac:dyDescent="0.25">
      <c r="A22" s="154"/>
      <c r="B22" s="154"/>
      <c r="C22" s="233"/>
      <c r="D22" s="126"/>
      <c r="E22" s="155" t="s">
        <v>22</v>
      </c>
      <c r="F22" s="126"/>
      <c r="G22" s="126"/>
      <c r="H22" s="126">
        <f t="shared" si="0"/>
        <v>137005355</v>
      </c>
    </row>
    <row r="23" spans="1:8" x14ac:dyDescent="0.25">
      <c r="A23" s="154"/>
      <c r="B23" s="154"/>
      <c r="C23" s="233">
        <v>10</v>
      </c>
      <c r="D23" s="126" t="s">
        <v>59</v>
      </c>
      <c r="E23" s="155" t="s">
        <v>23</v>
      </c>
      <c r="F23" s="126">
        <v>212821</v>
      </c>
      <c r="G23" s="126"/>
      <c r="H23" s="126">
        <f t="shared" si="0"/>
        <v>137218176</v>
      </c>
    </row>
    <row r="24" spans="1:8" x14ac:dyDescent="0.25">
      <c r="A24" s="154"/>
      <c r="B24" s="154"/>
      <c r="C24" s="233">
        <v>11</v>
      </c>
      <c r="D24" s="126" t="s">
        <v>58</v>
      </c>
      <c r="E24" s="155" t="s">
        <v>24</v>
      </c>
      <c r="F24" s="126">
        <v>638467</v>
      </c>
      <c r="G24" s="126"/>
      <c r="H24" s="126">
        <f t="shared" si="0"/>
        <v>137856643</v>
      </c>
    </row>
    <row r="25" spans="1:8" x14ac:dyDescent="0.25">
      <c r="A25" s="154"/>
      <c r="B25" s="154"/>
      <c r="C25" s="233">
        <v>12</v>
      </c>
      <c r="D25" s="126" t="s">
        <v>60</v>
      </c>
      <c r="E25" s="155" t="s">
        <v>25</v>
      </c>
      <c r="F25" s="126">
        <v>1283</v>
      </c>
      <c r="G25" s="126"/>
      <c r="H25" s="126">
        <f t="shared" si="0"/>
        <v>137857926</v>
      </c>
    </row>
    <row r="26" spans="1:8" x14ac:dyDescent="0.25">
      <c r="A26" s="154"/>
      <c r="B26" s="154"/>
      <c r="C26" s="233"/>
      <c r="D26" s="126" t="s">
        <v>27</v>
      </c>
      <c r="E26" s="155" t="s">
        <v>26</v>
      </c>
      <c r="F26" s="126"/>
      <c r="G26" s="126"/>
      <c r="H26" s="126"/>
    </row>
    <row r="27" spans="1:8" x14ac:dyDescent="0.25">
      <c r="A27" s="154"/>
      <c r="B27" s="154"/>
      <c r="C27" s="233"/>
      <c r="D27" s="126"/>
      <c r="E27" s="155" t="s">
        <v>48</v>
      </c>
      <c r="F27" s="126"/>
      <c r="G27" s="126">
        <v>7453916</v>
      </c>
      <c r="H27" s="126">
        <f>H25-G27</f>
        <v>130404010</v>
      </c>
    </row>
    <row r="28" spans="1:8" x14ac:dyDescent="0.25">
      <c r="A28" s="154"/>
      <c r="B28" s="154"/>
      <c r="C28" s="233"/>
      <c r="D28" s="126"/>
      <c r="E28" s="155" t="s">
        <v>28</v>
      </c>
      <c r="F28" s="126"/>
      <c r="G28" s="126">
        <f>F21</f>
        <v>196625</v>
      </c>
      <c r="H28" s="126">
        <f t="shared" ref="H28:H41" si="1">H27-G28</f>
        <v>130207385</v>
      </c>
    </row>
    <row r="29" spans="1:8" x14ac:dyDescent="0.25">
      <c r="A29" s="154"/>
      <c r="B29" s="154"/>
      <c r="C29" s="233"/>
      <c r="D29" s="126"/>
      <c r="E29" s="155" t="s">
        <v>29</v>
      </c>
      <c r="F29" s="126"/>
      <c r="G29" s="126">
        <v>0</v>
      </c>
      <c r="H29" s="126">
        <f t="shared" si="1"/>
        <v>130207385</v>
      </c>
    </row>
    <row r="30" spans="1:8" x14ac:dyDescent="0.25">
      <c r="A30" s="154"/>
      <c r="B30" s="154"/>
      <c r="C30" s="233"/>
      <c r="D30" s="126"/>
      <c r="E30" s="155" t="s">
        <v>30</v>
      </c>
      <c r="F30" s="126"/>
      <c r="G30" s="126">
        <v>0</v>
      </c>
      <c r="H30" s="126">
        <f t="shared" si="1"/>
        <v>130207385</v>
      </c>
    </row>
    <row r="31" spans="1:8" x14ac:dyDescent="0.25">
      <c r="A31" s="154"/>
      <c r="B31" s="154"/>
      <c r="C31" s="233"/>
      <c r="D31" s="126"/>
      <c r="E31" s="155" t="s">
        <v>31</v>
      </c>
      <c r="F31" s="126"/>
      <c r="G31" s="126">
        <v>0</v>
      </c>
      <c r="H31" s="126">
        <f t="shared" si="1"/>
        <v>130207385</v>
      </c>
    </row>
    <row r="32" spans="1:8" x14ac:dyDescent="0.25">
      <c r="A32" s="154"/>
      <c r="B32" s="154"/>
      <c r="C32" s="233"/>
      <c r="D32" s="126"/>
      <c r="E32" s="155" t="s">
        <v>17</v>
      </c>
      <c r="F32" s="126"/>
      <c r="G32" s="126">
        <f>F17</f>
        <v>4264158</v>
      </c>
      <c r="H32" s="126">
        <f t="shared" si="1"/>
        <v>125943227</v>
      </c>
    </row>
    <row r="33" spans="1:8" x14ac:dyDescent="0.25">
      <c r="A33" s="154"/>
      <c r="B33" s="154"/>
      <c r="C33" s="233"/>
      <c r="D33" s="126"/>
      <c r="E33" s="155" t="s">
        <v>63</v>
      </c>
      <c r="F33" s="126"/>
      <c r="G33" s="126">
        <v>0</v>
      </c>
      <c r="H33" s="126">
        <f t="shared" si="1"/>
        <v>125943227</v>
      </c>
    </row>
    <row r="34" spans="1:8" x14ac:dyDescent="0.25">
      <c r="A34" s="154"/>
      <c r="B34" s="154"/>
      <c r="C34" s="233"/>
      <c r="D34" s="126"/>
      <c r="E34" s="155" t="s">
        <v>32</v>
      </c>
      <c r="F34" s="126"/>
      <c r="G34" s="126">
        <v>0</v>
      </c>
      <c r="H34" s="126">
        <f t="shared" si="1"/>
        <v>125943227</v>
      </c>
    </row>
    <row r="35" spans="1:8" x14ac:dyDescent="0.25">
      <c r="A35" s="154"/>
      <c r="B35" s="154"/>
      <c r="C35" s="233"/>
      <c r="D35" s="126"/>
      <c r="E35" s="155" t="s">
        <v>33</v>
      </c>
      <c r="F35" s="126"/>
      <c r="G35" s="126">
        <f>F23</f>
        <v>212821</v>
      </c>
      <c r="H35" s="126">
        <f t="shared" si="1"/>
        <v>125730406</v>
      </c>
    </row>
    <row r="36" spans="1:8" x14ac:dyDescent="0.25">
      <c r="A36" s="154"/>
      <c r="B36" s="154"/>
      <c r="C36" s="233"/>
      <c r="D36" s="126"/>
      <c r="E36" s="155" t="s">
        <v>34</v>
      </c>
      <c r="F36" s="126"/>
      <c r="G36" s="126">
        <f>F24</f>
        <v>638467</v>
      </c>
      <c r="H36" s="126">
        <f t="shared" si="1"/>
        <v>125091939</v>
      </c>
    </row>
    <row r="37" spans="1:8" x14ac:dyDescent="0.25">
      <c r="A37" s="154"/>
      <c r="B37" s="154"/>
      <c r="C37" s="233"/>
      <c r="D37" s="126"/>
      <c r="E37" s="155" t="s">
        <v>49</v>
      </c>
      <c r="F37" s="126"/>
      <c r="G37" s="126">
        <v>1066039</v>
      </c>
      <c r="H37" s="126">
        <f t="shared" si="1"/>
        <v>124025900</v>
      </c>
    </row>
    <row r="38" spans="1:8" x14ac:dyDescent="0.25">
      <c r="A38" s="154"/>
      <c r="B38" s="154"/>
      <c r="C38" s="233"/>
      <c r="D38" s="126"/>
      <c r="E38" s="155" t="s">
        <v>35</v>
      </c>
      <c r="F38" s="126"/>
      <c r="G38" s="126">
        <v>0</v>
      </c>
      <c r="H38" s="126">
        <f t="shared" si="1"/>
        <v>124025900</v>
      </c>
    </row>
    <row r="39" spans="1:8" x14ac:dyDescent="0.25">
      <c r="A39" s="154"/>
      <c r="B39" s="154"/>
      <c r="C39" s="233"/>
      <c r="D39" s="126"/>
      <c r="E39" s="155" t="s">
        <v>36</v>
      </c>
      <c r="F39" s="126"/>
      <c r="G39" s="126">
        <v>0</v>
      </c>
      <c r="H39" s="126">
        <f t="shared" si="1"/>
        <v>124025900</v>
      </c>
    </row>
    <row r="40" spans="1:8" x14ac:dyDescent="0.25">
      <c r="A40" s="154"/>
      <c r="B40" s="154"/>
      <c r="C40" s="233"/>
      <c r="D40" s="126"/>
      <c r="E40" s="155" t="s">
        <v>37</v>
      </c>
      <c r="F40" s="126"/>
      <c r="G40" s="126">
        <v>0</v>
      </c>
      <c r="H40" s="126">
        <f t="shared" si="1"/>
        <v>124025900</v>
      </c>
    </row>
    <row r="41" spans="1:8" x14ac:dyDescent="0.25">
      <c r="A41" s="154">
        <v>2</v>
      </c>
      <c r="B41" s="160" t="s">
        <v>646</v>
      </c>
      <c r="C41" s="233">
        <v>13</v>
      </c>
      <c r="D41" s="126"/>
      <c r="E41" s="155" t="s">
        <v>37</v>
      </c>
      <c r="F41" s="126"/>
      <c r="G41" s="126">
        <v>0</v>
      </c>
      <c r="H41" s="126">
        <f t="shared" si="1"/>
        <v>124025900</v>
      </c>
    </row>
    <row r="42" spans="1:8" x14ac:dyDescent="0.25">
      <c r="A42" s="154">
        <v>3</v>
      </c>
      <c r="B42" s="160" t="s">
        <v>646</v>
      </c>
      <c r="C42" s="233">
        <v>14</v>
      </c>
      <c r="D42" s="126"/>
      <c r="E42" s="155" t="s">
        <v>39</v>
      </c>
      <c r="F42" s="126" t="s">
        <v>38</v>
      </c>
      <c r="G42" s="126" t="s">
        <v>38</v>
      </c>
      <c r="H42" s="126"/>
    </row>
    <row r="43" spans="1:8" ht="20.25" customHeight="1" x14ac:dyDescent="0.25">
      <c r="A43" s="154">
        <v>4</v>
      </c>
      <c r="B43" s="160" t="s">
        <v>646</v>
      </c>
      <c r="C43" s="234">
        <v>15</v>
      </c>
      <c r="D43" s="171"/>
      <c r="E43" s="170" t="s">
        <v>72</v>
      </c>
      <c r="F43" s="171"/>
      <c r="G43" s="153">
        <v>101416600</v>
      </c>
      <c r="H43" s="153">
        <f>H41-G43</f>
        <v>22609300</v>
      </c>
    </row>
    <row r="44" spans="1:8" ht="51" x14ac:dyDescent="0.25">
      <c r="A44" s="154"/>
      <c r="B44" s="160" t="s">
        <v>656</v>
      </c>
      <c r="C44" s="233">
        <v>16</v>
      </c>
      <c r="D44" s="126" t="s">
        <v>654</v>
      </c>
      <c r="E44" s="155" t="s">
        <v>653</v>
      </c>
      <c r="F44" s="126"/>
      <c r="G44" s="126">
        <v>500000</v>
      </c>
      <c r="H44" s="153">
        <f>H43-G44</f>
        <v>22109300</v>
      </c>
    </row>
    <row r="45" spans="1:8" x14ac:dyDescent="0.25">
      <c r="A45" s="154"/>
      <c r="B45" s="160"/>
      <c r="C45" s="233"/>
      <c r="D45" s="126"/>
      <c r="E45" s="155"/>
      <c r="F45" s="126"/>
      <c r="G45" s="153"/>
      <c r="H45" s="153"/>
    </row>
    <row r="46" spans="1:8" ht="17.25" customHeight="1" x14ac:dyDescent="0.25">
      <c r="A46" s="154"/>
      <c r="B46" s="160"/>
      <c r="C46" s="233"/>
      <c r="D46" s="126"/>
      <c r="E46" s="172" t="s">
        <v>648</v>
      </c>
      <c r="F46" s="126"/>
      <c r="G46" s="153"/>
      <c r="H46" s="153"/>
    </row>
    <row r="47" spans="1:8" x14ac:dyDescent="0.25">
      <c r="A47" s="154"/>
      <c r="B47" s="160" t="s">
        <v>650</v>
      </c>
      <c r="C47" s="264"/>
      <c r="D47" s="163"/>
      <c r="E47" s="155" t="s">
        <v>729</v>
      </c>
      <c r="F47" s="161"/>
      <c r="G47" s="163"/>
      <c r="H47" s="153">
        <f>H44</f>
        <v>22109300</v>
      </c>
    </row>
    <row r="48" spans="1:8" x14ac:dyDescent="0.25">
      <c r="A48" s="154"/>
      <c r="B48" s="160" t="s">
        <v>650</v>
      </c>
      <c r="C48" s="265">
        <v>17</v>
      </c>
      <c r="D48" s="270" t="s">
        <v>50</v>
      </c>
      <c r="E48" s="271" t="s">
        <v>11</v>
      </c>
      <c r="F48" s="163">
        <v>88676000</v>
      </c>
      <c r="G48" s="163"/>
      <c r="H48" s="126">
        <f>H47+F48</f>
        <v>110785300</v>
      </c>
    </row>
    <row r="49" spans="1:11" x14ac:dyDescent="0.25">
      <c r="A49" s="154"/>
      <c r="B49" s="160" t="s">
        <v>650</v>
      </c>
      <c r="C49" s="265">
        <v>18</v>
      </c>
      <c r="D49" s="270" t="s">
        <v>51</v>
      </c>
      <c r="E49" s="271" t="s">
        <v>12</v>
      </c>
      <c r="F49" s="163">
        <v>4497952</v>
      </c>
      <c r="G49" s="163"/>
      <c r="H49" s="126">
        <f>H48+F49</f>
        <v>115283252</v>
      </c>
    </row>
    <row r="50" spans="1:11" x14ac:dyDescent="0.25">
      <c r="A50" s="154"/>
      <c r="B50" s="160"/>
      <c r="C50" s="234"/>
      <c r="D50" s="270"/>
      <c r="E50" s="271" t="s">
        <v>13</v>
      </c>
      <c r="F50" s="163">
        <v>0</v>
      </c>
      <c r="G50" s="163"/>
      <c r="H50" s="126">
        <f>H49+F50</f>
        <v>115283252</v>
      </c>
    </row>
    <row r="51" spans="1:11" x14ac:dyDescent="0.25">
      <c r="A51" s="154"/>
      <c r="B51" s="160" t="s">
        <v>650</v>
      </c>
      <c r="C51" s="233">
        <v>19</v>
      </c>
      <c r="D51" s="270" t="s">
        <v>52</v>
      </c>
      <c r="E51" s="271" t="s">
        <v>14</v>
      </c>
      <c r="F51" s="163">
        <v>8725000</v>
      </c>
      <c r="G51" s="163"/>
      <c r="H51" s="126">
        <f>H50+F51</f>
        <v>124008252</v>
      </c>
    </row>
    <row r="52" spans="1:11" x14ac:dyDescent="0.25">
      <c r="A52" s="154"/>
      <c r="B52" s="160" t="s">
        <v>650</v>
      </c>
      <c r="C52" s="264">
        <v>20</v>
      </c>
      <c r="D52" s="126" t="s">
        <v>53</v>
      </c>
      <c r="E52" s="155" t="s">
        <v>15</v>
      </c>
      <c r="F52" s="126">
        <v>3240000</v>
      </c>
      <c r="G52" s="126"/>
      <c r="H52" s="126">
        <f t="shared" ref="H52:H78" si="2">H51+F52</f>
        <v>127248252</v>
      </c>
    </row>
    <row r="53" spans="1:11" x14ac:dyDescent="0.25">
      <c r="A53" s="154"/>
      <c r="B53" s="160" t="s">
        <v>650</v>
      </c>
      <c r="C53" s="265">
        <v>21</v>
      </c>
      <c r="D53" s="126" t="s">
        <v>54</v>
      </c>
      <c r="E53" s="155" t="s">
        <v>16</v>
      </c>
      <c r="F53" s="126">
        <v>1465000</v>
      </c>
      <c r="G53" s="126"/>
      <c r="H53" s="126">
        <f>H52+F53</f>
        <v>128713252</v>
      </c>
    </row>
    <row r="54" spans="1:11" x14ac:dyDescent="0.25">
      <c r="A54" s="154"/>
      <c r="B54" s="160" t="s">
        <v>650</v>
      </c>
      <c r="C54" s="234">
        <v>22</v>
      </c>
      <c r="D54" s="126" t="s">
        <v>55</v>
      </c>
      <c r="E54" s="155" t="s">
        <v>17</v>
      </c>
      <c r="F54" s="126">
        <v>0</v>
      </c>
      <c r="G54" s="126"/>
      <c r="H54" s="126">
        <f>H53+F54</f>
        <v>128713252</v>
      </c>
    </row>
    <row r="55" spans="1:11" x14ac:dyDescent="0.25">
      <c r="A55" s="154"/>
      <c r="B55" s="160" t="s">
        <v>650</v>
      </c>
      <c r="C55" s="233">
        <v>23</v>
      </c>
      <c r="D55" s="126" t="s">
        <v>56</v>
      </c>
      <c r="E55" s="155" t="s">
        <v>18</v>
      </c>
      <c r="F55" s="126">
        <v>3331320</v>
      </c>
      <c r="G55" s="126"/>
      <c r="H55" s="126">
        <f>H54+F55</f>
        <v>132044572</v>
      </c>
    </row>
    <row r="56" spans="1:11" x14ac:dyDescent="0.25">
      <c r="A56" s="154"/>
      <c r="B56" s="160"/>
      <c r="C56" s="233"/>
      <c r="D56" s="126"/>
      <c r="E56" s="155" t="s">
        <v>19</v>
      </c>
      <c r="F56" s="126"/>
      <c r="G56" s="126"/>
      <c r="H56" s="126">
        <f t="shared" si="2"/>
        <v>132044572</v>
      </c>
    </row>
    <row r="57" spans="1:11" x14ac:dyDescent="0.25">
      <c r="A57" s="154"/>
      <c r="B57" s="160"/>
      <c r="C57" s="233"/>
      <c r="D57" s="126"/>
      <c r="E57" s="155" t="s">
        <v>20</v>
      </c>
      <c r="F57" s="126"/>
      <c r="G57" s="126"/>
      <c r="H57" s="126">
        <f t="shared" si="2"/>
        <v>132044572</v>
      </c>
    </row>
    <row r="58" spans="1:11" x14ac:dyDescent="0.25">
      <c r="A58" s="154"/>
      <c r="B58" s="160" t="s">
        <v>650</v>
      </c>
      <c r="C58" s="264">
        <v>24</v>
      </c>
      <c r="D58" s="126" t="s">
        <v>57</v>
      </c>
      <c r="E58" s="155" t="s">
        <v>21</v>
      </c>
      <c r="F58" s="126">
        <v>196625</v>
      </c>
      <c r="G58" s="126"/>
      <c r="H58" s="126">
        <f t="shared" si="2"/>
        <v>132241197</v>
      </c>
    </row>
    <row r="59" spans="1:11" x14ac:dyDescent="0.25">
      <c r="A59" s="154"/>
      <c r="B59" s="160"/>
      <c r="C59" s="265"/>
      <c r="D59" s="126"/>
      <c r="E59" s="155" t="s">
        <v>22</v>
      </c>
      <c r="F59" s="126"/>
      <c r="G59" s="126"/>
      <c r="H59" s="126">
        <f t="shared" si="2"/>
        <v>132241197</v>
      </c>
    </row>
    <row r="60" spans="1:11" x14ac:dyDescent="0.25">
      <c r="A60" s="154"/>
      <c r="B60" s="160" t="s">
        <v>650</v>
      </c>
      <c r="C60" s="265">
        <v>25</v>
      </c>
      <c r="D60" s="126" t="s">
        <v>59</v>
      </c>
      <c r="E60" s="155" t="s">
        <v>23</v>
      </c>
      <c r="F60" s="126">
        <v>0</v>
      </c>
      <c r="G60" s="126"/>
      <c r="H60" s="126">
        <f t="shared" si="2"/>
        <v>132241197</v>
      </c>
    </row>
    <row r="61" spans="1:11" x14ac:dyDescent="0.25">
      <c r="A61" s="154"/>
      <c r="B61" s="160" t="s">
        <v>650</v>
      </c>
      <c r="C61" s="265">
        <v>26</v>
      </c>
      <c r="D61" s="126" t="s">
        <v>58</v>
      </c>
      <c r="E61" s="155" t="s">
        <v>24</v>
      </c>
      <c r="F61" s="126">
        <v>0</v>
      </c>
      <c r="G61" s="126"/>
      <c r="H61" s="126">
        <f t="shared" si="2"/>
        <v>132241197</v>
      </c>
    </row>
    <row r="62" spans="1:11" x14ac:dyDescent="0.25">
      <c r="A62" s="154"/>
      <c r="B62" s="160" t="s">
        <v>650</v>
      </c>
      <c r="C62" s="234">
        <v>27</v>
      </c>
      <c r="D62" s="126" t="s">
        <v>60</v>
      </c>
      <c r="E62" s="155" t="s">
        <v>25</v>
      </c>
      <c r="F62" s="126">
        <v>1628</v>
      </c>
      <c r="G62" s="126"/>
      <c r="H62" s="126">
        <f t="shared" si="2"/>
        <v>132242825</v>
      </c>
      <c r="K62" s="1">
        <f>SUM(F48:F62)</f>
        <v>110133525</v>
      </c>
    </row>
    <row r="63" spans="1:11" x14ac:dyDescent="0.25">
      <c r="A63" s="154"/>
      <c r="B63" s="160"/>
      <c r="C63" s="233"/>
      <c r="D63" s="126" t="s">
        <v>27</v>
      </c>
      <c r="E63" s="155" t="s">
        <v>26</v>
      </c>
      <c r="F63" s="126"/>
      <c r="G63" s="126"/>
      <c r="H63" s="126">
        <f t="shared" si="2"/>
        <v>132242825</v>
      </c>
    </row>
    <row r="64" spans="1:11" x14ac:dyDescent="0.25">
      <c r="A64" s="154"/>
      <c r="B64" s="160"/>
      <c r="C64" s="233"/>
      <c r="D64" s="126"/>
      <c r="E64" s="155" t="s">
        <v>48</v>
      </c>
      <c r="F64" s="126"/>
      <c r="G64" s="126">
        <v>0</v>
      </c>
      <c r="H64" s="126">
        <f>H63+F64</f>
        <v>132242825</v>
      </c>
    </row>
    <row r="65" spans="1:8" x14ac:dyDescent="0.25">
      <c r="A65" s="154"/>
      <c r="B65" s="160"/>
      <c r="C65" s="233"/>
      <c r="D65" s="126"/>
      <c r="E65" s="155" t="s">
        <v>28</v>
      </c>
      <c r="F65" s="126"/>
      <c r="G65" s="126">
        <f>F58</f>
        <v>196625</v>
      </c>
      <c r="H65" s="126">
        <f>H64-G65</f>
        <v>132046200</v>
      </c>
    </row>
    <row r="66" spans="1:8" x14ac:dyDescent="0.25">
      <c r="A66" s="154"/>
      <c r="B66" s="160"/>
      <c r="C66" s="264"/>
      <c r="D66" s="126"/>
      <c r="E66" s="155" t="s">
        <v>29</v>
      </c>
      <c r="F66" s="126"/>
      <c r="G66" s="126">
        <v>0</v>
      </c>
      <c r="H66" s="126">
        <f t="shared" si="2"/>
        <v>132046200</v>
      </c>
    </row>
    <row r="67" spans="1:8" x14ac:dyDescent="0.25">
      <c r="A67" s="154"/>
      <c r="B67" s="160"/>
      <c r="C67" s="265"/>
      <c r="D67" s="126"/>
      <c r="E67" s="155" t="s">
        <v>30</v>
      </c>
      <c r="F67" s="126"/>
      <c r="G67" s="126">
        <v>0</v>
      </c>
      <c r="H67" s="126">
        <f t="shared" si="2"/>
        <v>132046200</v>
      </c>
    </row>
    <row r="68" spans="1:8" x14ac:dyDescent="0.25">
      <c r="A68" s="154"/>
      <c r="B68" s="160"/>
      <c r="C68" s="265"/>
      <c r="D68" s="126"/>
      <c r="E68" s="155" t="s">
        <v>31</v>
      </c>
      <c r="F68" s="126"/>
      <c r="G68" s="126">
        <v>0</v>
      </c>
      <c r="H68" s="126">
        <f t="shared" si="2"/>
        <v>132046200</v>
      </c>
    </row>
    <row r="69" spans="1:8" x14ac:dyDescent="0.25">
      <c r="A69" s="154"/>
      <c r="B69" s="160"/>
      <c r="C69" s="265"/>
      <c r="D69" s="126"/>
      <c r="E69" s="155" t="s">
        <v>17</v>
      </c>
      <c r="F69" s="126"/>
      <c r="G69" s="126">
        <f>F54</f>
        <v>0</v>
      </c>
      <c r="H69" s="126">
        <f t="shared" si="2"/>
        <v>132046200</v>
      </c>
    </row>
    <row r="70" spans="1:8" x14ac:dyDescent="0.25">
      <c r="A70" s="154"/>
      <c r="B70" s="160"/>
      <c r="C70" s="265"/>
      <c r="D70" s="126"/>
      <c r="E70" s="155" t="s">
        <v>63</v>
      </c>
      <c r="F70" s="126"/>
      <c r="G70" s="126">
        <v>0</v>
      </c>
      <c r="H70" s="126">
        <f t="shared" si="2"/>
        <v>132046200</v>
      </c>
    </row>
    <row r="71" spans="1:8" x14ac:dyDescent="0.25">
      <c r="A71" s="154"/>
      <c r="B71" s="160"/>
      <c r="C71" s="265"/>
      <c r="D71" s="126"/>
      <c r="E71" s="155" t="s">
        <v>32</v>
      </c>
      <c r="F71" s="126"/>
      <c r="G71" s="126">
        <v>0</v>
      </c>
      <c r="H71" s="126">
        <f t="shared" si="2"/>
        <v>132046200</v>
      </c>
    </row>
    <row r="72" spans="1:8" x14ac:dyDescent="0.25">
      <c r="A72" s="154"/>
      <c r="B72" s="160"/>
      <c r="C72" s="265"/>
      <c r="D72" s="126"/>
      <c r="E72" s="155" t="s">
        <v>33</v>
      </c>
      <c r="F72" s="126"/>
      <c r="G72" s="126">
        <f>F60</f>
        <v>0</v>
      </c>
      <c r="H72" s="126">
        <f t="shared" si="2"/>
        <v>132046200</v>
      </c>
    </row>
    <row r="73" spans="1:8" x14ac:dyDescent="0.25">
      <c r="A73" s="154"/>
      <c r="B73" s="160"/>
      <c r="C73" s="265"/>
      <c r="D73" s="126"/>
      <c r="E73" s="155" t="s">
        <v>34</v>
      </c>
      <c r="F73" s="126"/>
      <c r="G73" s="126">
        <f>F61</f>
        <v>0</v>
      </c>
      <c r="H73" s="126">
        <f t="shared" si="2"/>
        <v>132046200</v>
      </c>
    </row>
    <row r="74" spans="1:8" x14ac:dyDescent="0.25">
      <c r="A74" s="154"/>
      <c r="B74" s="160"/>
      <c r="C74" s="265"/>
      <c r="D74" s="126"/>
      <c r="E74" s="155" t="s">
        <v>49</v>
      </c>
      <c r="F74" s="126"/>
      <c r="G74" s="126">
        <v>0</v>
      </c>
      <c r="H74" s="126">
        <f t="shared" si="2"/>
        <v>132046200</v>
      </c>
    </row>
    <row r="75" spans="1:8" x14ac:dyDescent="0.25">
      <c r="A75" s="154"/>
      <c r="B75" s="160"/>
      <c r="C75" s="265"/>
      <c r="D75" s="126"/>
      <c r="E75" s="155" t="s">
        <v>35</v>
      </c>
      <c r="F75" s="126"/>
      <c r="G75" s="126">
        <v>0</v>
      </c>
      <c r="H75" s="126">
        <f t="shared" si="2"/>
        <v>132046200</v>
      </c>
    </row>
    <row r="76" spans="1:8" x14ac:dyDescent="0.25">
      <c r="A76" s="154"/>
      <c r="B76" s="160"/>
      <c r="C76" s="265"/>
      <c r="D76" s="126"/>
      <c r="E76" s="155" t="s">
        <v>36</v>
      </c>
      <c r="F76" s="126"/>
      <c r="G76" s="126">
        <v>0</v>
      </c>
      <c r="H76" s="126">
        <f t="shared" si="2"/>
        <v>132046200</v>
      </c>
    </row>
    <row r="77" spans="1:8" x14ac:dyDescent="0.25">
      <c r="A77" s="154"/>
      <c r="B77" s="160"/>
      <c r="C77" s="265"/>
      <c r="D77" s="126"/>
      <c r="E77" s="155" t="s">
        <v>37</v>
      </c>
      <c r="F77" s="126"/>
      <c r="G77" s="126">
        <v>0</v>
      </c>
      <c r="H77" s="126">
        <f t="shared" si="2"/>
        <v>132046200</v>
      </c>
    </row>
    <row r="78" spans="1:8" x14ac:dyDescent="0.25">
      <c r="A78" s="154"/>
      <c r="B78" s="160"/>
      <c r="C78" s="265"/>
      <c r="D78" s="126"/>
      <c r="E78" s="155" t="s">
        <v>37</v>
      </c>
      <c r="F78" s="126"/>
      <c r="G78" s="126">
        <v>0</v>
      </c>
      <c r="H78" s="126">
        <f t="shared" si="2"/>
        <v>132046200</v>
      </c>
    </row>
    <row r="79" spans="1:8" x14ac:dyDescent="0.25">
      <c r="A79" s="154"/>
      <c r="B79" s="160"/>
      <c r="C79" s="265"/>
      <c r="D79" s="126"/>
      <c r="E79" s="155" t="s">
        <v>39</v>
      </c>
      <c r="F79" s="126" t="s">
        <v>38</v>
      </c>
      <c r="G79" s="126" t="s">
        <v>38</v>
      </c>
      <c r="H79" s="126"/>
    </row>
    <row r="80" spans="1:8" x14ac:dyDescent="0.25">
      <c r="A80" s="154"/>
      <c r="B80" s="160" t="s">
        <v>650</v>
      </c>
      <c r="C80" s="265">
        <v>28</v>
      </c>
      <c r="D80" s="171"/>
      <c r="E80" s="170" t="s">
        <v>72</v>
      </c>
      <c r="F80" s="171"/>
      <c r="G80" s="153">
        <v>109936900</v>
      </c>
      <c r="H80" s="126">
        <f>H78-G80</f>
        <v>22109300</v>
      </c>
    </row>
    <row r="81" spans="1:8" x14ac:dyDescent="0.25">
      <c r="A81" s="154"/>
      <c r="B81" s="160"/>
      <c r="C81" s="265"/>
      <c r="D81" s="214"/>
      <c r="E81" s="162"/>
      <c r="F81" s="126"/>
      <c r="G81" s="153"/>
      <c r="H81" s="126"/>
    </row>
    <row r="82" spans="1:8" x14ac:dyDescent="0.25">
      <c r="A82" s="154"/>
      <c r="B82" s="160"/>
      <c r="C82" s="265"/>
      <c r="D82" s="214"/>
      <c r="E82" s="162"/>
      <c r="F82" s="126"/>
      <c r="G82" s="153"/>
      <c r="H82" s="126"/>
    </row>
    <row r="83" spans="1:8" x14ac:dyDescent="0.25">
      <c r="A83" s="154"/>
      <c r="B83" s="160"/>
      <c r="C83" s="265"/>
      <c r="D83" s="214"/>
      <c r="E83" s="162"/>
      <c r="F83" s="126"/>
      <c r="G83" s="153"/>
      <c r="H83" s="126"/>
    </row>
    <row r="84" spans="1:8" x14ac:dyDescent="0.25">
      <c r="A84" s="154"/>
      <c r="B84" s="160"/>
      <c r="C84" s="265"/>
      <c r="D84" s="214"/>
      <c r="E84" s="162"/>
      <c r="F84" s="126"/>
      <c r="G84" s="153"/>
      <c r="H84" s="126"/>
    </row>
    <row r="85" spans="1:8" x14ac:dyDescent="0.25">
      <c r="A85" s="154"/>
      <c r="B85" s="160"/>
      <c r="C85" s="265"/>
      <c r="D85" s="214"/>
      <c r="E85" s="162"/>
      <c r="F85" s="126"/>
      <c r="G85" s="153"/>
      <c r="H85" s="126"/>
    </row>
    <row r="86" spans="1:8" x14ac:dyDescent="0.25">
      <c r="A86" s="154"/>
      <c r="B86" s="160"/>
      <c r="C86" s="265"/>
      <c r="D86" s="214"/>
      <c r="E86" s="162"/>
      <c r="F86" s="126"/>
      <c r="G86" s="153"/>
      <c r="H86" s="126"/>
    </row>
    <row r="87" spans="1:8" x14ac:dyDescent="0.25">
      <c r="A87" s="154"/>
      <c r="B87" s="160"/>
      <c r="C87" s="265"/>
      <c r="D87" s="214"/>
      <c r="E87" s="162"/>
      <c r="F87" s="126"/>
      <c r="G87" s="153"/>
      <c r="H87" s="126"/>
    </row>
    <row r="88" spans="1:8" x14ac:dyDescent="0.25">
      <c r="A88" s="154"/>
      <c r="B88" s="160"/>
      <c r="C88" s="265"/>
      <c r="D88" s="214"/>
      <c r="E88" s="162"/>
      <c r="F88" s="126"/>
      <c r="G88" s="153"/>
      <c r="H88" s="126"/>
    </row>
    <row r="89" spans="1:8" ht="24" x14ac:dyDescent="0.25">
      <c r="A89" s="154"/>
      <c r="B89" s="160" t="s">
        <v>651</v>
      </c>
      <c r="C89" s="265">
        <v>29</v>
      </c>
      <c r="D89" s="82"/>
      <c r="E89" s="226" t="s">
        <v>652</v>
      </c>
      <c r="F89" s="153">
        <v>60812900</v>
      </c>
      <c r="G89" s="126"/>
      <c r="H89" s="126">
        <f>H80+F89</f>
        <v>82922200</v>
      </c>
    </row>
    <row r="90" spans="1:8" ht="24" x14ac:dyDescent="0.25">
      <c r="A90" s="154"/>
      <c r="B90" s="160" t="s">
        <v>651</v>
      </c>
      <c r="C90" s="265">
        <v>30</v>
      </c>
      <c r="D90" s="68"/>
      <c r="E90" s="226" t="s">
        <v>683</v>
      </c>
      <c r="F90" s="153">
        <v>5000000</v>
      </c>
      <c r="G90" s="126"/>
      <c r="H90" s="126">
        <f>H89+F90</f>
        <v>87922200</v>
      </c>
    </row>
    <row r="91" spans="1:8" ht="59.25" customHeight="1" x14ac:dyDescent="0.25">
      <c r="A91" s="154"/>
      <c r="B91" s="160" t="s">
        <v>651</v>
      </c>
      <c r="C91" s="265">
        <v>31</v>
      </c>
      <c r="D91" s="177" t="s">
        <v>85</v>
      </c>
      <c r="E91" s="169" t="s">
        <v>682</v>
      </c>
      <c r="F91" s="153"/>
      <c r="G91" s="126">
        <v>5000000</v>
      </c>
      <c r="H91" s="126">
        <f>H90-G91</f>
        <v>82922200</v>
      </c>
    </row>
    <row r="92" spans="1:8" ht="60.75" customHeight="1" x14ac:dyDescent="0.25">
      <c r="A92" s="154"/>
      <c r="B92" s="160" t="s">
        <v>651</v>
      </c>
      <c r="C92" s="265">
        <v>31</v>
      </c>
      <c r="D92" s="224" t="s">
        <v>475</v>
      </c>
      <c r="E92" s="227" t="s">
        <v>655</v>
      </c>
      <c r="F92" s="126"/>
      <c r="G92" s="126">
        <v>3075000</v>
      </c>
      <c r="H92" s="126">
        <f>H91-G92</f>
        <v>79847200</v>
      </c>
    </row>
    <row r="93" spans="1:8" ht="57.75" customHeight="1" x14ac:dyDescent="0.25">
      <c r="A93" s="154"/>
      <c r="B93" s="160" t="s">
        <v>651</v>
      </c>
      <c r="C93" s="265">
        <v>32</v>
      </c>
      <c r="D93" s="68" t="s">
        <v>476</v>
      </c>
      <c r="E93" s="228" t="s">
        <v>657</v>
      </c>
      <c r="F93" s="125"/>
      <c r="G93" s="126">
        <v>2000000</v>
      </c>
      <c r="H93" s="126">
        <f t="shared" ref="H93:H96" si="3">H92-G93</f>
        <v>77847200</v>
      </c>
    </row>
    <row r="94" spans="1:8" ht="66.75" customHeight="1" x14ac:dyDescent="0.25">
      <c r="A94" s="154"/>
      <c r="B94" s="160" t="s">
        <v>658</v>
      </c>
      <c r="C94" s="265">
        <v>33</v>
      </c>
      <c r="D94" s="82" t="s">
        <v>659</v>
      </c>
      <c r="E94" s="228" t="s">
        <v>660</v>
      </c>
      <c r="F94" s="126"/>
      <c r="G94" s="126">
        <v>2750000</v>
      </c>
      <c r="H94" s="126">
        <f t="shared" si="3"/>
        <v>75097200</v>
      </c>
    </row>
    <row r="95" spans="1:8" ht="88.5" customHeight="1" x14ac:dyDescent="0.25">
      <c r="A95" s="154"/>
      <c r="B95" s="160" t="s">
        <v>658</v>
      </c>
      <c r="C95" s="265">
        <v>34</v>
      </c>
      <c r="D95" s="82" t="s">
        <v>661</v>
      </c>
      <c r="E95" s="228" t="s">
        <v>662</v>
      </c>
      <c r="F95" s="126"/>
      <c r="G95" s="126">
        <v>2750000</v>
      </c>
      <c r="H95" s="126">
        <f t="shared" si="3"/>
        <v>72347200</v>
      </c>
    </row>
    <row r="96" spans="1:8" ht="78.75" customHeight="1" x14ac:dyDescent="0.25">
      <c r="A96" s="154"/>
      <c r="B96" s="160" t="s">
        <v>658</v>
      </c>
      <c r="C96" s="265">
        <v>35</v>
      </c>
      <c r="D96" s="82" t="s">
        <v>663</v>
      </c>
      <c r="E96" s="228" t="s">
        <v>664</v>
      </c>
      <c r="F96" s="126"/>
      <c r="G96" s="126">
        <v>2400000</v>
      </c>
      <c r="H96" s="126">
        <f t="shared" si="3"/>
        <v>69947200</v>
      </c>
    </row>
    <row r="97" spans="1:8" ht="84" customHeight="1" x14ac:dyDescent="0.25">
      <c r="A97" s="154"/>
      <c r="B97" s="160" t="s">
        <v>658</v>
      </c>
      <c r="C97" s="265">
        <v>36</v>
      </c>
      <c r="D97" s="82" t="s">
        <v>665</v>
      </c>
      <c r="E97" s="228" t="s">
        <v>666</v>
      </c>
      <c r="F97" s="126"/>
      <c r="G97" s="126">
        <v>6167400</v>
      </c>
      <c r="H97" s="126">
        <f>H96-G97</f>
        <v>63779800</v>
      </c>
    </row>
    <row r="98" spans="1:8" ht="24" x14ac:dyDescent="0.25">
      <c r="A98" s="154"/>
      <c r="B98" s="160" t="s">
        <v>658</v>
      </c>
      <c r="C98" s="265">
        <v>37</v>
      </c>
      <c r="D98" s="82"/>
      <c r="E98" s="226" t="s">
        <v>684</v>
      </c>
      <c r="F98" s="153">
        <v>5004000</v>
      </c>
      <c r="G98" s="126"/>
      <c r="H98" s="126">
        <f>H97+F98</f>
        <v>68783800</v>
      </c>
    </row>
    <row r="99" spans="1:8" ht="62.25" customHeight="1" x14ac:dyDescent="0.25">
      <c r="A99" s="154"/>
      <c r="B99" s="160" t="s">
        <v>658</v>
      </c>
      <c r="C99" s="265">
        <v>38</v>
      </c>
      <c r="D99" s="125" t="s">
        <v>685</v>
      </c>
      <c r="E99" s="162" t="s">
        <v>686</v>
      </c>
      <c r="F99" s="126"/>
      <c r="G99" s="126">
        <v>5004000</v>
      </c>
      <c r="H99" s="126">
        <f>H98-G99</f>
        <v>63779800</v>
      </c>
    </row>
    <row r="100" spans="1:8" ht="62.25" customHeight="1" x14ac:dyDescent="0.25">
      <c r="A100" s="154"/>
      <c r="B100" s="160" t="s">
        <v>667</v>
      </c>
      <c r="C100" s="265">
        <v>39</v>
      </c>
      <c r="D100" s="82" t="s">
        <v>668</v>
      </c>
      <c r="E100" s="228" t="s">
        <v>669</v>
      </c>
      <c r="F100" s="126"/>
      <c r="G100" s="126">
        <v>150000</v>
      </c>
      <c r="H100" s="126">
        <f>H99-G100</f>
        <v>63629800</v>
      </c>
    </row>
    <row r="101" spans="1:8" ht="62.25" customHeight="1" x14ac:dyDescent="0.25">
      <c r="A101" s="154"/>
      <c r="B101" s="160" t="s">
        <v>667</v>
      </c>
      <c r="C101" s="265">
        <v>40</v>
      </c>
      <c r="D101" s="82" t="s">
        <v>668</v>
      </c>
      <c r="E101" s="228" t="s">
        <v>669</v>
      </c>
      <c r="F101" s="126"/>
      <c r="G101" s="126">
        <v>200000</v>
      </c>
      <c r="H101" s="126">
        <f t="shared" ref="H101:H102" si="4">H100-G101</f>
        <v>63429800</v>
      </c>
    </row>
    <row r="102" spans="1:8" ht="57.75" customHeight="1" x14ac:dyDescent="0.25">
      <c r="A102" s="154"/>
      <c r="B102" s="160" t="s">
        <v>667</v>
      </c>
      <c r="C102" s="265">
        <v>41</v>
      </c>
      <c r="D102" s="82" t="s">
        <v>670</v>
      </c>
      <c r="E102" s="228" t="s">
        <v>671</v>
      </c>
      <c r="F102" s="126"/>
      <c r="G102" s="126">
        <v>250000</v>
      </c>
      <c r="H102" s="126">
        <f t="shared" si="4"/>
        <v>63179800</v>
      </c>
    </row>
    <row r="103" spans="1:8" ht="24" x14ac:dyDescent="0.25">
      <c r="A103" s="154"/>
      <c r="B103" s="160" t="s">
        <v>687</v>
      </c>
      <c r="C103" s="265">
        <v>42</v>
      </c>
      <c r="D103" s="82"/>
      <c r="E103" s="226" t="s">
        <v>688</v>
      </c>
      <c r="F103" s="153">
        <v>9424000</v>
      </c>
      <c r="G103" s="126"/>
      <c r="H103" s="126">
        <f>H102+F103</f>
        <v>72603800</v>
      </c>
    </row>
    <row r="104" spans="1:8" ht="45.75" customHeight="1" x14ac:dyDescent="0.25">
      <c r="A104" s="154"/>
      <c r="B104" s="160" t="s">
        <v>687</v>
      </c>
      <c r="C104" s="265">
        <v>43</v>
      </c>
      <c r="D104" s="82" t="s">
        <v>689</v>
      </c>
      <c r="E104" s="228" t="s">
        <v>690</v>
      </c>
      <c r="F104" s="126"/>
      <c r="G104" s="126">
        <v>9424000</v>
      </c>
      <c r="H104" s="126">
        <f>H103-G104</f>
        <v>63179800</v>
      </c>
    </row>
    <row r="105" spans="1:8" ht="38.25" x14ac:dyDescent="0.25">
      <c r="A105" s="154"/>
      <c r="B105" s="160" t="s">
        <v>673</v>
      </c>
      <c r="C105" s="265">
        <v>44</v>
      </c>
      <c r="D105" s="87" t="s">
        <v>429</v>
      </c>
      <c r="E105" s="63" t="s">
        <v>672</v>
      </c>
      <c r="F105" s="126"/>
      <c r="G105" s="126">
        <v>3000000</v>
      </c>
      <c r="H105" s="126">
        <f t="shared" ref="H105:H111" si="5">H104-G105</f>
        <v>60179800</v>
      </c>
    </row>
    <row r="106" spans="1:8" ht="57" customHeight="1" x14ac:dyDescent="0.25">
      <c r="A106" s="154"/>
      <c r="B106" s="160" t="s">
        <v>673</v>
      </c>
      <c r="C106" s="265">
        <v>45</v>
      </c>
      <c r="D106" s="68" t="s">
        <v>629</v>
      </c>
      <c r="E106" s="228" t="s">
        <v>676</v>
      </c>
      <c r="F106" s="126"/>
      <c r="G106" s="126">
        <v>1375000</v>
      </c>
      <c r="H106" s="126">
        <f t="shared" si="5"/>
        <v>58804800</v>
      </c>
    </row>
    <row r="107" spans="1:8" ht="64.5" customHeight="1" x14ac:dyDescent="0.25">
      <c r="A107" s="154"/>
      <c r="B107" s="160" t="s">
        <v>673</v>
      </c>
      <c r="C107" s="265">
        <v>46</v>
      </c>
      <c r="D107" s="82" t="s">
        <v>632</v>
      </c>
      <c r="E107" s="228" t="s">
        <v>678</v>
      </c>
      <c r="F107" s="126"/>
      <c r="G107" s="126">
        <v>1375000</v>
      </c>
      <c r="H107" s="126">
        <f t="shared" si="5"/>
        <v>57429800</v>
      </c>
    </row>
    <row r="108" spans="1:8" ht="60" customHeight="1" x14ac:dyDescent="0.25">
      <c r="A108" s="154"/>
      <c r="B108" s="160" t="s">
        <v>673</v>
      </c>
      <c r="C108" s="265">
        <v>47</v>
      </c>
      <c r="D108" s="82" t="s">
        <v>674</v>
      </c>
      <c r="E108" s="228" t="s">
        <v>677</v>
      </c>
      <c r="F108" s="126"/>
      <c r="G108" s="126">
        <v>1815000</v>
      </c>
      <c r="H108" s="126">
        <f t="shared" si="5"/>
        <v>55614800</v>
      </c>
    </row>
    <row r="109" spans="1:8" ht="61.5" customHeight="1" x14ac:dyDescent="0.25">
      <c r="A109" s="154"/>
      <c r="B109" s="160" t="s">
        <v>673</v>
      </c>
      <c r="C109" s="265">
        <v>48</v>
      </c>
      <c r="D109" s="82" t="s">
        <v>332</v>
      </c>
      <c r="E109" s="228" t="s">
        <v>679</v>
      </c>
      <c r="F109" s="126"/>
      <c r="G109" s="126">
        <v>1375000</v>
      </c>
      <c r="H109" s="126">
        <f t="shared" si="5"/>
        <v>54239800</v>
      </c>
    </row>
    <row r="110" spans="1:8" ht="49.5" customHeight="1" x14ac:dyDescent="0.25">
      <c r="A110" s="154"/>
      <c r="B110" s="160" t="s">
        <v>673</v>
      </c>
      <c r="C110" s="265">
        <v>49</v>
      </c>
      <c r="D110" s="82" t="s">
        <v>633</v>
      </c>
      <c r="E110" s="228" t="s">
        <v>680</v>
      </c>
      <c r="F110" s="126"/>
      <c r="G110" s="126">
        <v>3025000</v>
      </c>
      <c r="H110" s="126">
        <f t="shared" si="5"/>
        <v>51214800</v>
      </c>
    </row>
    <row r="111" spans="1:8" ht="74.25" customHeight="1" x14ac:dyDescent="0.25">
      <c r="A111" s="154"/>
      <c r="B111" s="160" t="s">
        <v>673</v>
      </c>
      <c r="C111" s="265">
        <v>50</v>
      </c>
      <c r="D111" s="82" t="s">
        <v>675</v>
      </c>
      <c r="E111" s="228" t="s">
        <v>681</v>
      </c>
      <c r="F111" s="126"/>
      <c r="G111" s="126">
        <v>2750000</v>
      </c>
      <c r="H111" s="126">
        <f t="shared" si="5"/>
        <v>48464800</v>
      </c>
    </row>
    <row r="112" spans="1:8" ht="74.25" customHeight="1" x14ac:dyDescent="0.25">
      <c r="A112" s="154"/>
      <c r="B112" s="160"/>
      <c r="C112" s="265"/>
      <c r="D112" s="82"/>
      <c r="E112" s="228"/>
      <c r="F112" s="126"/>
      <c r="G112" s="126"/>
      <c r="H112" s="126"/>
    </row>
    <row r="113" spans="1:8" ht="21" customHeight="1" x14ac:dyDescent="0.25">
      <c r="A113" s="154"/>
      <c r="B113" s="160"/>
      <c r="C113" s="265"/>
      <c r="D113" s="82"/>
      <c r="E113" s="228"/>
      <c r="F113" s="126"/>
      <c r="G113" s="126"/>
      <c r="H113" s="126"/>
    </row>
    <row r="114" spans="1:8" ht="24" x14ac:dyDescent="0.25">
      <c r="A114" s="154"/>
      <c r="B114" s="160" t="s">
        <v>673</v>
      </c>
      <c r="C114" s="265">
        <v>51</v>
      </c>
      <c r="D114" s="82"/>
      <c r="E114" s="226" t="s">
        <v>691</v>
      </c>
      <c r="F114" s="153">
        <v>6000000</v>
      </c>
      <c r="G114" s="126"/>
      <c r="H114" s="126">
        <f>H111+F114</f>
        <v>54464800</v>
      </c>
    </row>
    <row r="115" spans="1:8" ht="47.25" customHeight="1" x14ac:dyDescent="0.25">
      <c r="A115" s="154"/>
      <c r="B115" s="160" t="s">
        <v>673</v>
      </c>
      <c r="C115" s="265">
        <v>52</v>
      </c>
      <c r="D115" s="66" t="s">
        <v>500</v>
      </c>
      <c r="E115" s="228" t="s">
        <v>692</v>
      </c>
      <c r="F115" s="105"/>
      <c r="G115" s="105">
        <v>6000000</v>
      </c>
      <c r="H115" s="126">
        <f>H114-G115</f>
        <v>48464800</v>
      </c>
    </row>
    <row r="116" spans="1:8" ht="24" x14ac:dyDescent="0.25">
      <c r="A116" s="154"/>
      <c r="B116" s="160" t="s">
        <v>693</v>
      </c>
      <c r="C116" s="265">
        <v>53</v>
      </c>
      <c r="D116" s="82"/>
      <c r="E116" s="226" t="s">
        <v>705</v>
      </c>
      <c r="F116" s="153">
        <v>8500000</v>
      </c>
      <c r="G116" s="126"/>
      <c r="H116" s="126">
        <f>H115+F116</f>
        <v>56964800</v>
      </c>
    </row>
    <row r="117" spans="1:8" ht="76.5" x14ac:dyDescent="0.25">
      <c r="A117" s="154"/>
      <c r="B117" s="160" t="s">
        <v>693</v>
      </c>
      <c r="C117" s="265">
        <v>54</v>
      </c>
      <c r="D117" s="82" t="s">
        <v>694</v>
      </c>
      <c r="E117" s="228" t="s">
        <v>695</v>
      </c>
      <c r="F117" s="126"/>
      <c r="G117" s="126">
        <v>1020000</v>
      </c>
      <c r="H117" s="126">
        <f>H116-G117</f>
        <v>55944800</v>
      </c>
    </row>
    <row r="118" spans="1:8" x14ac:dyDescent="0.25">
      <c r="A118" s="154"/>
      <c r="B118" s="160"/>
      <c r="C118" s="265"/>
      <c r="D118" s="82"/>
      <c r="E118" s="228"/>
      <c r="F118" s="126"/>
      <c r="G118" s="126"/>
      <c r="H118" s="126"/>
    </row>
    <row r="119" spans="1:8" ht="94.5" customHeight="1" x14ac:dyDescent="0.25">
      <c r="A119" s="154"/>
      <c r="B119" s="160" t="s">
        <v>693</v>
      </c>
      <c r="C119" s="265">
        <v>55</v>
      </c>
      <c r="D119" s="82" t="s">
        <v>694</v>
      </c>
      <c r="E119" s="228" t="s">
        <v>696</v>
      </c>
      <c r="F119" s="126"/>
      <c r="G119" s="126">
        <v>1020000</v>
      </c>
      <c r="H119" s="126">
        <f>H117-G119</f>
        <v>54924800</v>
      </c>
    </row>
    <row r="120" spans="1:8" ht="84" customHeight="1" x14ac:dyDescent="0.25">
      <c r="A120" s="154"/>
      <c r="B120" s="160" t="s">
        <v>693</v>
      </c>
      <c r="C120" s="265">
        <v>56</v>
      </c>
      <c r="D120" s="82" t="s">
        <v>694</v>
      </c>
      <c r="E120" s="228" t="s">
        <v>697</v>
      </c>
      <c r="F120" s="126"/>
      <c r="G120" s="126">
        <v>1020000</v>
      </c>
      <c r="H120" s="126">
        <f t="shared" ref="H120:H125" si="6">H119-G120</f>
        <v>53904800</v>
      </c>
    </row>
    <row r="121" spans="1:8" ht="100.5" customHeight="1" x14ac:dyDescent="0.25">
      <c r="A121" s="154"/>
      <c r="B121" s="160" t="s">
        <v>693</v>
      </c>
      <c r="C121" s="265">
        <v>57</v>
      </c>
      <c r="D121" s="82" t="s">
        <v>694</v>
      </c>
      <c r="E121" s="228" t="s">
        <v>698</v>
      </c>
      <c r="F121" s="126"/>
      <c r="G121" s="126">
        <v>1190000</v>
      </c>
      <c r="H121" s="126">
        <f t="shared" si="6"/>
        <v>52714800</v>
      </c>
    </row>
    <row r="122" spans="1:8" ht="96.75" customHeight="1" x14ac:dyDescent="0.25">
      <c r="A122" s="154"/>
      <c r="B122" s="160" t="s">
        <v>693</v>
      </c>
      <c r="C122" s="265">
        <v>58</v>
      </c>
      <c r="D122" s="82" t="s">
        <v>694</v>
      </c>
      <c r="E122" s="228" t="s">
        <v>699</v>
      </c>
      <c r="F122" s="126"/>
      <c r="G122" s="126">
        <v>1190000</v>
      </c>
      <c r="H122" s="126">
        <f t="shared" si="6"/>
        <v>51524800</v>
      </c>
    </row>
    <row r="123" spans="1:8" ht="93.75" customHeight="1" x14ac:dyDescent="0.25">
      <c r="A123" s="154"/>
      <c r="B123" s="160" t="s">
        <v>693</v>
      </c>
      <c r="C123" s="265">
        <v>59</v>
      </c>
      <c r="D123" s="82" t="s">
        <v>694</v>
      </c>
      <c r="E123" s="228" t="s">
        <v>700</v>
      </c>
      <c r="F123" s="126"/>
      <c r="G123" s="126">
        <v>1020000</v>
      </c>
      <c r="H123" s="126">
        <f t="shared" si="6"/>
        <v>50504800</v>
      </c>
    </row>
    <row r="124" spans="1:8" ht="87" customHeight="1" x14ac:dyDescent="0.25">
      <c r="A124" s="154"/>
      <c r="B124" s="160" t="s">
        <v>693</v>
      </c>
      <c r="C124" s="265">
        <v>60</v>
      </c>
      <c r="D124" s="82" t="s">
        <v>694</v>
      </c>
      <c r="E124" s="228" t="s">
        <v>701</v>
      </c>
      <c r="F124" s="126"/>
      <c r="G124" s="126">
        <v>1020000</v>
      </c>
      <c r="H124" s="126">
        <f t="shared" si="6"/>
        <v>49484800</v>
      </c>
    </row>
    <row r="125" spans="1:8" ht="101.25" customHeight="1" x14ac:dyDescent="0.25">
      <c r="A125" s="154"/>
      <c r="B125" s="160" t="s">
        <v>693</v>
      </c>
      <c r="C125" s="265">
        <v>61</v>
      </c>
      <c r="D125" s="82" t="s">
        <v>694</v>
      </c>
      <c r="E125" s="228" t="s">
        <v>702</v>
      </c>
      <c r="F125" s="126"/>
      <c r="G125" s="126">
        <v>1020000</v>
      </c>
      <c r="H125" s="126">
        <f t="shared" si="6"/>
        <v>48464800</v>
      </c>
    </row>
    <row r="126" spans="1:8" ht="24" x14ac:dyDescent="0.25">
      <c r="A126" s="154"/>
      <c r="B126" s="160" t="s">
        <v>704</v>
      </c>
      <c r="C126" s="265">
        <v>62</v>
      </c>
      <c r="D126" s="82"/>
      <c r="E126" s="226" t="s">
        <v>706</v>
      </c>
      <c r="F126" s="153">
        <v>1200000</v>
      </c>
      <c r="G126" s="126"/>
      <c r="H126" s="126">
        <f>H125+F126</f>
        <v>49664800</v>
      </c>
    </row>
    <row r="127" spans="1:8" ht="60" customHeight="1" x14ac:dyDescent="0.25">
      <c r="A127" s="154"/>
      <c r="B127" s="160" t="s">
        <v>704</v>
      </c>
      <c r="C127" s="265">
        <v>63</v>
      </c>
      <c r="D127" s="82" t="s">
        <v>377</v>
      </c>
      <c r="E127" s="63" t="s">
        <v>703</v>
      </c>
      <c r="F127" s="126"/>
      <c r="G127" s="126">
        <v>1200000</v>
      </c>
      <c r="H127" s="126">
        <f>H126-G127</f>
        <v>48464800</v>
      </c>
    </row>
    <row r="128" spans="1:8" ht="24" x14ac:dyDescent="0.25">
      <c r="A128" s="154"/>
      <c r="B128" s="160" t="s">
        <v>704</v>
      </c>
      <c r="C128" s="265">
        <v>64</v>
      </c>
      <c r="D128" s="82"/>
      <c r="E128" s="226" t="s">
        <v>707</v>
      </c>
      <c r="F128" s="153">
        <v>34957400</v>
      </c>
      <c r="G128" s="126"/>
      <c r="H128" s="153">
        <f>H127+F128</f>
        <v>83422200</v>
      </c>
    </row>
    <row r="129" spans="1:8" ht="46.5" customHeight="1" x14ac:dyDescent="0.25">
      <c r="A129" s="154"/>
      <c r="B129" s="160" t="s">
        <v>709</v>
      </c>
      <c r="C129" s="265">
        <v>65</v>
      </c>
      <c r="D129" s="66" t="s">
        <v>101</v>
      </c>
      <c r="E129" s="85" t="s">
        <v>710</v>
      </c>
      <c r="F129" s="126"/>
      <c r="G129" s="126">
        <v>1995000</v>
      </c>
      <c r="H129" s="126">
        <f>H128-G129</f>
        <v>81427200</v>
      </c>
    </row>
    <row r="130" spans="1:8" ht="57" customHeight="1" x14ac:dyDescent="0.25">
      <c r="A130" s="154"/>
      <c r="B130" s="160" t="s">
        <v>709</v>
      </c>
      <c r="C130" s="265">
        <v>66</v>
      </c>
      <c r="D130" s="66" t="s">
        <v>101</v>
      </c>
      <c r="E130" s="85" t="s">
        <v>714</v>
      </c>
      <c r="F130" s="126"/>
      <c r="G130" s="126">
        <v>1284000</v>
      </c>
      <c r="H130" s="126">
        <f t="shared" ref="H130:H157" si="7">H129-G130</f>
        <v>80143200</v>
      </c>
    </row>
    <row r="131" spans="1:8" ht="48.75" customHeight="1" x14ac:dyDescent="0.25">
      <c r="A131" s="154"/>
      <c r="B131" s="160" t="s">
        <v>709</v>
      </c>
      <c r="C131" s="265">
        <v>67</v>
      </c>
      <c r="D131" s="66" t="s">
        <v>101</v>
      </c>
      <c r="E131" s="85" t="s">
        <v>715</v>
      </c>
      <c r="F131" s="153"/>
      <c r="G131" s="126">
        <v>1973400</v>
      </c>
      <c r="H131" s="126">
        <f t="shared" si="7"/>
        <v>78169800</v>
      </c>
    </row>
    <row r="132" spans="1:8" ht="59.25" customHeight="1" x14ac:dyDescent="0.25">
      <c r="A132" s="154"/>
      <c r="B132" s="160" t="s">
        <v>709</v>
      </c>
      <c r="C132" s="234">
        <v>68</v>
      </c>
      <c r="D132" s="126" t="s">
        <v>654</v>
      </c>
      <c r="E132" s="155" t="s">
        <v>716</v>
      </c>
      <c r="F132" s="153"/>
      <c r="G132" s="126">
        <v>720000</v>
      </c>
      <c r="H132" s="126">
        <f t="shared" si="7"/>
        <v>77449800</v>
      </c>
    </row>
    <row r="133" spans="1:8" ht="75" customHeight="1" x14ac:dyDescent="0.25">
      <c r="A133" s="154"/>
      <c r="B133" s="160" t="s">
        <v>709</v>
      </c>
      <c r="C133" s="263">
        <v>69</v>
      </c>
      <c r="D133" s="66" t="s">
        <v>102</v>
      </c>
      <c r="E133" s="85" t="s">
        <v>717</v>
      </c>
      <c r="F133" s="153"/>
      <c r="G133" s="126">
        <v>5883700</v>
      </c>
      <c r="H133" s="126">
        <f t="shared" si="7"/>
        <v>71566100</v>
      </c>
    </row>
    <row r="134" spans="1:8" ht="51" x14ac:dyDescent="0.25">
      <c r="A134" s="154"/>
      <c r="B134" s="160" t="s">
        <v>709</v>
      </c>
      <c r="C134" s="80">
        <v>70</v>
      </c>
      <c r="D134" s="66" t="s">
        <v>103</v>
      </c>
      <c r="E134" s="85" t="s">
        <v>718</v>
      </c>
      <c r="F134" s="126"/>
      <c r="G134" s="126">
        <v>1690000</v>
      </c>
      <c r="H134" s="126">
        <f t="shared" si="7"/>
        <v>69876100</v>
      </c>
    </row>
    <row r="135" spans="1:8" x14ac:dyDescent="0.25">
      <c r="A135" s="154"/>
      <c r="B135" s="160"/>
      <c r="C135" s="80"/>
      <c r="D135" s="66"/>
      <c r="E135" s="85"/>
      <c r="F135" s="126"/>
      <c r="G135" s="126"/>
      <c r="H135" s="126"/>
    </row>
    <row r="136" spans="1:8" x14ac:dyDescent="0.25">
      <c r="A136" s="154"/>
      <c r="B136" s="160"/>
      <c r="C136" s="80"/>
      <c r="D136" s="66"/>
      <c r="E136" s="85"/>
      <c r="F136" s="126"/>
      <c r="G136" s="126"/>
      <c r="H136" s="126"/>
    </row>
    <row r="137" spans="1:8" x14ac:dyDescent="0.25">
      <c r="A137" s="154"/>
      <c r="B137" s="160"/>
      <c r="C137" s="80"/>
      <c r="D137" s="66"/>
      <c r="E137" s="85"/>
      <c r="F137" s="126"/>
      <c r="G137" s="126"/>
      <c r="H137" s="126"/>
    </row>
    <row r="138" spans="1:8" x14ac:dyDescent="0.25">
      <c r="A138" s="154"/>
      <c r="B138" s="160"/>
      <c r="C138" s="80"/>
      <c r="D138" s="66"/>
      <c r="E138" s="85"/>
      <c r="F138" s="126"/>
      <c r="G138" s="126"/>
      <c r="H138" s="126"/>
    </row>
    <row r="139" spans="1:8" x14ac:dyDescent="0.25">
      <c r="A139" s="154"/>
      <c r="B139" s="160"/>
      <c r="C139" s="80"/>
      <c r="D139" s="66"/>
      <c r="E139" s="85"/>
      <c r="F139" s="126"/>
      <c r="G139" s="126"/>
      <c r="H139" s="126"/>
    </row>
    <row r="140" spans="1:8" x14ac:dyDescent="0.25">
      <c r="A140" s="154"/>
      <c r="B140" s="160"/>
      <c r="C140" s="80"/>
      <c r="D140" s="66"/>
      <c r="E140" s="85"/>
      <c r="F140" s="126"/>
      <c r="G140" s="126"/>
      <c r="H140" s="126"/>
    </row>
    <row r="141" spans="1:8" ht="51" x14ac:dyDescent="0.25">
      <c r="A141" s="154"/>
      <c r="B141" s="160" t="s">
        <v>709</v>
      </c>
      <c r="C141" s="263">
        <v>71</v>
      </c>
      <c r="D141" s="66" t="s">
        <v>104</v>
      </c>
      <c r="E141" s="85" t="s">
        <v>719</v>
      </c>
      <c r="F141" s="153"/>
      <c r="G141" s="126">
        <v>1963500</v>
      </c>
      <c r="H141" s="126">
        <f>H134-G141</f>
        <v>67912600</v>
      </c>
    </row>
    <row r="142" spans="1:8" ht="58.5" customHeight="1" x14ac:dyDescent="0.25">
      <c r="A142" s="154"/>
      <c r="B142" s="160" t="s">
        <v>709</v>
      </c>
      <c r="C142" s="80">
        <v>72</v>
      </c>
      <c r="D142" s="66" t="s">
        <v>253</v>
      </c>
      <c r="E142" s="85" t="s">
        <v>720</v>
      </c>
      <c r="F142" s="126"/>
      <c r="G142" s="126">
        <v>1815000</v>
      </c>
      <c r="H142" s="126">
        <f t="shared" si="7"/>
        <v>66097600</v>
      </c>
    </row>
    <row r="143" spans="1:8" ht="58.5" customHeight="1" x14ac:dyDescent="0.25">
      <c r="A143" s="154"/>
      <c r="B143" s="160" t="s">
        <v>709</v>
      </c>
      <c r="C143" s="80">
        <v>73</v>
      </c>
      <c r="D143" s="66" t="s">
        <v>253</v>
      </c>
      <c r="E143" s="85" t="s">
        <v>720</v>
      </c>
      <c r="F143" s="126"/>
      <c r="G143" s="126">
        <v>1989600</v>
      </c>
      <c r="H143" s="126">
        <f t="shared" si="7"/>
        <v>64108000</v>
      </c>
    </row>
    <row r="144" spans="1:8" ht="45.75" customHeight="1" x14ac:dyDescent="0.25">
      <c r="A144" s="154"/>
      <c r="B144" s="160" t="s">
        <v>709</v>
      </c>
      <c r="C144" s="80">
        <v>74</v>
      </c>
      <c r="D144" s="68" t="s">
        <v>119</v>
      </c>
      <c r="E144" s="228" t="s">
        <v>721</v>
      </c>
      <c r="F144" s="126"/>
      <c r="G144" s="126">
        <v>1504400</v>
      </c>
      <c r="H144" s="126">
        <f t="shared" si="7"/>
        <v>62603600</v>
      </c>
    </row>
    <row r="145" spans="1:8" ht="74.25" customHeight="1" x14ac:dyDescent="0.25">
      <c r="A145" s="154"/>
      <c r="B145" s="160" t="s">
        <v>709</v>
      </c>
      <c r="C145" s="80">
        <v>75</v>
      </c>
      <c r="D145" s="87" t="s">
        <v>122</v>
      </c>
      <c r="E145" s="63" t="s">
        <v>722</v>
      </c>
      <c r="F145" s="126"/>
      <c r="G145" s="126">
        <v>3800000</v>
      </c>
      <c r="H145" s="126">
        <f t="shared" si="7"/>
        <v>58803600</v>
      </c>
    </row>
    <row r="146" spans="1:8" ht="63.75" x14ac:dyDescent="0.25">
      <c r="A146" s="154"/>
      <c r="B146" s="160" t="s">
        <v>709</v>
      </c>
      <c r="C146" s="80">
        <v>76</v>
      </c>
      <c r="D146" s="87" t="s">
        <v>122</v>
      </c>
      <c r="E146" s="63" t="s">
        <v>722</v>
      </c>
      <c r="F146" s="126"/>
      <c r="G146" s="126">
        <v>1629000</v>
      </c>
      <c r="H146" s="126">
        <f t="shared" si="7"/>
        <v>57174600</v>
      </c>
    </row>
    <row r="147" spans="1:8" x14ac:dyDescent="0.25">
      <c r="A147" s="154"/>
      <c r="B147" s="160"/>
      <c r="C147" s="80"/>
      <c r="D147" s="87"/>
      <c r="E147" s="63"/>
      <c r="F147" s="126"/>
      <c r="G147" s="126"/>
      <c r="H147" s="126"/>
    </row>
    <row r="148" spans="1:8" ht="72" customHeight="1" x14ac:dyDescent="0.25">
      <c r="A148" s="154"/>
      <c r="B148" s="160" t="s">
        <v>709</v>
      </c>
      <c r="C148" s="80">
        <v>77</v>
      </c>
      <c r="D148" s="87" t="s">
        <v>122</v>
      </c>
      <c r="E148" s="63" t="s">
        <v>722</v>
      </c>
      <c r="F148" s="126"/>
      <c r="G148" s="126">
        <v>3128000</v>
      </c>
      <c r="H148" s="126">
        <f>H146-G148</f>
        <v>54046600</v>
      </c>
    </row>
    <row r="149" spans="1:8" ht="70.5" customHeight="1" x14ac:dyDescent="0.25">
      <c r="A149" s="154"/>
      <c r="B149" s="160" t="s">
        <v>709</v>
      </c>
      <c r="C149" s="80">
        <v>78</v>
      </c>
      <c r="D149" s="87" t="s">
        <v>122</v>
      </c>
      <c r="E149" s="63" t="s">
        <v>722</v>
      </c>
      <c r="F149" s="126"/>
      <c r="G149" s="126">
        <v>3203600</v>
      </c>
      <c r="H149" s="126">
        <f t="shared" si="7"/>
        <v>50843000</v>
      </c>
    </row>
    <row r="150" spans="1:8" ht="72" customHeight="1" x14ac:dyDescent="0.25">
      <c r="A150" s="154"/>
      <c r="B150" s="160" t="s">
        <v>709</v>
      </c>
      <c r="C150" s="80">
        <v>79</v>
      </c>
      <c r="D150" s="87" t="s">
        <v>158</v>
      </c>
      <c r="E150" s="63" t="s">
        <v>723</v>
      </c>
      <c r="F150" s="126"/>
      <c r="G150" s="126">
        <v>1995000</v>
      </c>
      <c r="H150" s="126">
        <f>H149-G150</f>
        <v>48848000</v>
      </c>
    </row>
    <row r="151" spans="1:8" ht="76.5" customHeight="1" x14ac:dyDescent="0.25">
      <c r="A151" s="154"/>
      <c r="B151" s="160" t="s">
        <v>709</v>
      </c>
      <c r="C151" s="80">
        <v>80</v>
      </c>
      <c r="D151" s="87" t="s">
        <v>158</v>
      </c>
      <c r="E151" s="63" t="s">
        <v>724</v>
      </c>
      <c r="F151" s="126"/>
      <c r="G151" s="126">
        <v>820000</v>
      </c>
      <c r="H151" s="126">
        <f t="shared" si="7"/>
        <v>48028000</v>
      </c>
    </row>
    <row r="152" spans="1:8" ht="72" customHeight="1" x14ac:dyDescent="0.25">
      <c r="A152" s="154"/>
      <c r="B152" s="160" t="s">
        <v>709</v>
      </c>
      <c r="C152" s="80">
        <v>81</v>
      </c>
      <c r="D152" s="87" t="s">
        <v>158</v>
      </c>
      <c r="E152" s="63" t="s">
        <v>724</v>
      </c>
      <c r="F152" s="153"/>
      <c r="G152" s="126">
        <v>1885000</v>
      </c>
      <c r="H152" s="126">
        <f t="shared" si="7"/>
        <v>46143000</v>
      </c>
    </row>
    <row r="153" spans="1:8" ht="72.75" customHeight="1" x14ac:dyDescent="0.25">
      <c r="A153" s="154"/>
      <c r="B153" s="160" t="s">
        <v>709</v>
      </c>
      <c r="C153" s="80">
        <v>82</v>
      </c>
      <c r="D153" s="87" t="s">
        <v>158</v>
      </c>
      <c r="E153" s="63" t="s">
        <v>724</v>
      </c>
      <c r="F153" s="126"/>
      <c r="G153" s="126">
        <v>1560000</v>
      </c>
      <c r="H153" s="126">
        <f t="shared" si="7"/>
        <v>44583000</v>
      </c>
    </row>
    <row r="154" spans="1:8" ht="69.75" customHeight="1" x14ac:dyDescent="0.25">
      <c r="A154" s="154"/>
      <c r="B154" s="160" t="s">
        <v>709</v>
      </c>
      <c r="C154" s="80">
        <v>83</v>
      </c>
      <c r="D154" s="87" t="s">
        <v>125</v>
      </c>
      <c r="E154" s="63" t="s">
        <v>725</v>
      </c>
      <c r="F154" s="153"/>
      <c r="G154" s="126">
        <v>866000</v>
      </c>
      <c r="H154" s="126">
        <f t="shared" si="7"/>
        <v>43717000</v>
      </c>
    </row>
    <row r="155" spans="1:8" ht="72" customHeight="1" x14ac:dyDescent="0.25">
      <c r="A155" s="154"/>
      <c r="B155" s="160" t="s">
        <v>709</v>
      </c>
      <c r="C155" s="80">
        <v>84</v>
      </c>
      <c r="D155" s="87" t="s">
        <v>444</v>
      </c>
      <c r="E155" s="86" t="s">
        <v>726</v>
      </c>
      <c r="F155" s="126"/>
      <c r="G155" s="126">
        <v>5500000</v>
      </c>
      <c r="H155" s="126">
        <f t="shared" si="7"/>
        <v>38217000</v>
      </c>
    </row>
    <row r="156" spans="1:8" ht="115.5" customHeight="1" x14ac:dyDescent="0.25">
      <c r="A156" s="154"/>
      <c r="B156" s="160" t="s">
        <v>709</v>
      </c>
      <c r="C156" s="80">
        <v>85</v>
      </c>
      <c r="D156" s="87" t="s">
        <v>711</v>
      </c>
      <c r="E156" s="86" t="s">
        <v>727</v>
      </c>
      <c r="F156" s="153"/>
      <c r="G156" s="126">
        <v>7740000</v>
      </c>
      <c r="H156" s="126">
        <f t="shared" si="7"/>
        <v>30477000</v>
      </c>
    </row>
    <row r="157" spans="1:8" ht="81" customHeight="1" x14ac:dyDescent="0.25">
      <c r="A157" s="154"/>
      <c r="B157" s="160" t="s">
        <v>709</v>
      </c>
      <c r="C157" s="80">
        <v>86</v>
      </c>
      <c r="D157" s="87" t="s">
        <v>712</v>
      </c>
      <c r="E157" s="86" t="s">
        <v>728</v>
      </c>
      <c r="F157" s="153"/>
      <c r="G157" s="126">
        <v>5000000</v>
      </c>
      <c r="H157" s="126">
        <f t="shared" si="7"/>
        <v>25477000</v>
      </c>
    </row>
    <row r="158" spans="1:8" x14ac:dyDescent="0.25">
      <c r="A158" s="131"/>
      <c r="B158" s="132"/>
      <c r="C158" s="230"/>
      <c r="D158" s="136"/>
      <c r="E158" s="135" t="s">
        <v>40</v>
      </c>
      <c r="F158" s="136">
        <f>SUM(F8:F157)</f>
        <v>378889751</v>
      </c>
      <c r="G158" s="136">
        <f>SUM(G8:G157)</f>
        <v>353412751</v>
      </c>
      <c r="H158" s="134">
        <f>F158-G158</f>
        <v>25477000</v>
      </c>
    </row>
    <row r="159" spans="1:8" x14ac:dyDescent="0.25">
      <c r="A159" s="131"/>
      <c r="B159" s="132"/>
      <c r="C159" s="136"/>
      <c r="D159" s="136"/>
      <c r="E159" s="135" t="s">
        <v>41</v>
      </c>
      <c r="F159" s="134">
        <f>F158</f>
        <v>378889751</v>
      </c>
      <c r="G159" s="137">
        <f>G158</f>
        <v>353412751</v>
      </c>
      <c r="H159" s="134">
        <f>F159-G159</f>
        <v>25477000</v>
      </c>
    </row>
    <row r="160" spans="1:8" x14ac:dyDescent="0.25">
      <c r="A160" s="138" t="s">
        <v>610</v>
      </c>
      <c r="B160" s="139"/>
      <c r="C160" s="141"/>
      <c r="D160" s="141"/>
      <c r="E160" s="140"/>
      <c r="F160" s="142"/>
      <c r="G160" s="142"/>
      <c r="H160" s="142"/>
    </row>
    <row r="161" spans="1:8" x14ac:dyDescent="0.25">
      <c r="A161" s="138" t="s">
        <v>713</v>
      </c>
      <c r="B161" s="143"/>
      <c r="C161" s="145"/>
      <c r="D161" s="145"/>
      <c r="E161" s="144"/>
      <c r="F161" s="145"/>
      <c r="G161" s="145"/>
      <c r="H161" s="145"/>
    </row>
    <row r="162" spans="1:8" x14ac:dyDescent="0.25">
      <c r="A162" s="82"/>
      <c r="B162" s="81"/>
      <c r="C162" s="146"/>
      <c r="D162" s="146"/>
      <c r="E162" s="114"/>
      <c r="F162" s="146"/>
      <c r="G162" s="146"/>
      <c r="H162" s="146"/>
    </row>
    <row r="163" spans="1:8" x14ac:dyDescent="0.25">
      <c r="A163" s="82"/>
      <c r="B163" s="82"/>
      <c r="C163" s="148"/>
      <c r="D163" s="148" t="s">
        <v>43</v>
      </c>
      <c r="E163" s="147" t="s">
        <v>42</v>
      </c>
      <c r="F163" s="148">
        <v>12351300</v>
      </c>
      <c r="G163" s="148"/>
      <c r="H163" s="148"/>
    </row>
    <row r="164" spans="1:8" x14ac:dyDescent="0.25">
      <c r="A164" s="82"/>
      <c r="B164" s="82"/>
      <c r="C164" s="148"/>
      <c r="D164" s="148" t="s">
        <v>45</v>
      </c>
      <c r="E164" s="147" t="s">
        <v>44</v>
      </c>
      <c r="F164" s="148">
        <v>13125700</v>
      </c>
      <c r="G164" s="148"/>
      <c r="H164" s="148"/>
    </row>
    <row r="165" spans="1:8" x14ac:dyDescent="0.25">
      <c r="A165" s="82"/>
      <c r="B165" s="82"/>
      <c r="C165" s="149"/>
      <c r="D165" s="149" t="s">
        <v>46</v>
      </c>
      <c r="E165" s="147"/>
      <c r="F165" s="149">
        <f>F164+F163</f>
        <v>25477000</v>
      </c>
      <c r="G165" s="148"/>
      <c r="H165" s="148"/>
    </row>
    <row r="166" spans="1:8" x14ac:dyDescent="0.25">
      <c r="A166" s="82"/>
      <c r="B166" s="82"/>
      <c r="C166" s="148"/>
      <c r="D166" s="148"/>
      <c r="E166" s="114"/>
      <c r="F166" s="148"/>
      <c r="G166" s="148"/>
      <c r="H166" s="148"/>
    </row>
    <row r="167" spans="1:8" x14ac:dyDescent="0.25">
      <c r="A167" s="82"/>
      <c r="B167" s="82"/>
      <c r="C167" s="148"/>
      <c r="D167" s="148"/>
      <c r="E167" s="147"/>
      <c r="F167" s="148" t="s">
        <v>708</v>
      </c>
      <c r="G167" s="148"/>
      <c r="H167" s="148"/>
    </row>
    <row r="168" spans="1:8" x14ac:dyDescent="0.25">
      <c r="A168" s="82"/>
      <c r="B168" s="82" t="s">
        <v>435</v>
      </c>
      <c r="C168" s="148"/>
      <c r="D168" s="148"/>
      <c r="E168" s="147"/>
      <c r="F168" s="148" t="s">
        <v>47</v>
      </c>
      <c r="G168" s="148"/>
      <c r="H168" s="148"/>
    </row>
    <row r="169" spans="1:8" x14ac:dyDescent="0.25">
      <c r="A169" s="82"/>
      <c r="B169" s="82"/>
      <c r="C169" s="148"/>
      <c r="D169" s="148"/>
      <c r="E169" s="147"/>
      <c r="F169" s="148"/>
      <c r="G169" s="148"/>
      <c r="H169" s="148"/>
    </row>
    <row r="170" spans="1:8" x14ac:dyDescent="0.25">
      <c r="A170" s="82"/>
      <c r="B170" s="82"/>
      <c r="C170" s="148"/>
      <c r="D170" s="148"/>
      <c r="E170" s="147"/>
      <c r="F170" s="148"/>
      <c r="G170" s="148"/>
      <c r="H170" s="148"/>
    </row>
    <row r="171" spans="1:8" x14ac:dyDescent="0.25">
      <c r="A171" s="82"/>
      <c r="B171" s="82"/>
      <c r="C171" s="148"/>
      <c r="D171" s="148"/>
      <c r="E171" s="114"/>
      <c r="F171" s="148"/>
      <c r="G171" s="148"/>
      <c r="H171" s="148"/>
    </row>
    <row r="172" spans="1:8" x14ac:dyDescent="0.25">
      <c r="A172" s="82"/>
      <c r="B172" s="150" t="s">
        <v>64</v>
      </c>
      <c r="C172" s="148"/>
      <c r="D172" s="148"/>
      <c r="E172" s="114"/>
      <c r="F172" s="151" t="s">
        <v>69</v>
      </c>
      <c r="G172" s="151"/>
      <c r="H172" s="148"/>
    </row>
    <row r="173" spans="1:8" x14ac:dyDescent="0.25">
      <c r="A173" s="80"/>
      <c r="B173" s="82" t="s">
        <v>65</v>
      </c>
      <c r="C173" s="148"/>
      <c r="D173" s="148"/>
      <c r="E173" s="114"/>
      <c r="F173" s="210" t="s">
        <v>446</v>
      </c>
      <c r="G173" s="210"/>
      <c r="H173" s="148"/>
    </row>
    <row r="174" spans="1:8" x14ac:dyDescent="0.25">
      <c r="A174" s="164"/>
      <c r="B174" s="164"/>
      <c r="C174" s="164"/>
      <c r="D174" s="164"/>
      <c r="E174" s="164"/>
      <c r="F174" s="164"/>
      <c r="G174" s="164"/>
      <c r="H174" s="164"/>
    </row>
  </sheetData>
  <pageMargins left="0.70866141732283472" right="0.70866141732283472" top="0.74803149606299213" bottom="0.74803149606299213" header="0.31496062992125984" footer="0.31496062992125984"/>
  <pageSetup paperSize="9" scale="55"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4261-A3D5-4F61-B90F-E52EDF08637B}">
  <sheetPr>
    <tabColor rgb="FFFF0000"/>
  </sheetPr>
  <dimension ref="A1:H174"/>
  <sheetViews>
    <sheetView topLeftCell="A13" workbookViewId="0">
      <selection activeCell="F37" sqref="F37"/>
    </sheetView>
  </sheetViews>
  <sheetFormatPr defaultRowHeight="15" x14ac:dyDescent="0.25"/>
  <cols>
    <col min="1" max="1" width="6.140625" customWidth="1"/>
    <col min="2" max="2" width="10.7109375" customWidth="1"/>
    <col min="3" max="3" width="11.85546875" customWidth="1"/>
    <col min="4" max="4" width="20" customWidth="1"/>
    <col min="5" max="5" width="48.7109375" customWidth="1"/>
    <col min="6" max="6" width="19.140625" customWidth="1"/>
    <col min="7" max="7" width="15.7109375" customWidth="1"/>
    <col min="8" max="8" width="14.7109375" customWidth="1"/>
  </cols>
  <sheetData>
    <row r="1" spans="1:8" x14ac:dyDescent="0.25">
      <c r="A1" s="268"/>
      <c r="B1" s="268"/>
      <c r="C1" s="268"/>
      <c r="D1" s="268"/>
      <c r="E1" s="267" t="s">
        <v>0</v>
      </c>
      <c r="F1" s="268"/>
      <c r="G1" s="268"/>
      <c r="H1" s="268"/>
    </row>
    <row r="2" spans="1:8" x14ac:dyDescent="0.25">
      <c r="A2" s="268"/>
      <c r="B2" s="268"/>
      <c r="C2" s="268"/>
      <c r="D2" s="268"/>
      <c r="E2" s="267" t="s">
        <v>1</v>
      </c>
      <c r="F2" s="268"/>
      <c r="G2" s="268"/>
      <c r="H2" s="268"/>
    </row>
    <row r="3" spans="1:8" x14ac:dyDescent="0.25">
      <c r="A3" s="109"/>
      <c r="B3" s="110"/>
      <c r="C3" s="112"/>
      <c r="D3" s="112"/>
      <c r="E3" s="111"/>
      <c r="F3" s="112"/>
      <c r="G3" s="112"/>
      <c r="H3" s="112"/>
    </row>
    <row r="4" spans="1:8" x14ac:dyDescent="0.25">
      <c r="A4" s="113" t="s">
        <v>2</v>
      </c>
      <c r="B4" s="113"/>
      <c r="C4" s="112"/>
      <c r="D4" s="112"/>
      <c r="E4" s="111" t="s">
        <v>164</v>
      </c>
      <c r="F4" s="112"/>
      <c r="G4" s="112"/>
      <c r="H4" s="112"/>
    </row>
    <row r="5" spans="1:8" x14ac:dyDescent="0.25">
      <c r="A5" s="80"/>
      <c r="B5" s="82"/>
      <c r="C5" s="115"/>
      <c r="D5" s="115"/>
      <c r="E5" s="114"/>
      <c r="F5" s="115"/>
      <c r="G5" s="115"/>
      <c r="H5" s="115"/>
    </row>
    <row r="6" spans="1:8" x14ac:dyDescent="0.25">
      <c r="A6" s="116" t="s">
        <v>3</v>
      </c>
      <c r="B6" s="117" t="s">
        <v>4</v>
      </c>
      <c r="C6" s="269" t="s">
        <v>494</v>
      </c>
      <c r="D6" s="119" t="s">
        <v>6</v>
      </c>
      <c r="E6" s="118" t="s">
        <v>5</v>
      </c>
      <c r="F6" s="119" t="s">
        <v>7</v>
      </c>
      <c r="G6" s="119" t="s">
        <v>8</v>
      </c>
      <c r="H6" s="119" t="s">
        <v>9</v>
      </c>
    </row>
    <row r="7" spans="1:8" x14ac:dyDescent="0.25">
      <c r="A7" s="120">
        <v>1</v>
      </c>
      <c r="B7" s="121">
        <v>2</v>
      </c>
      <c r="C7" s="121">
        <v>3</v>
      </c>
      <c r="D7" s="121">
        <v>4</v>
      </c>
      <c r="E7" s="121">
        <v>5</v>
      </c>
      <c r="F7" s="121">
        <v>6</v>
      </c>
      <c r="G7" s="121">
        <v>7</v>
      </c>
      <c r="H7" s="121">
        <v>8</v>
      </c>
    </row>
    <row r="8" spans="1:8" x14ac:dyDescent="0.25">
      <c r="A8" s="122"/>
      <c r="B8" s="123"/>
      <c r="C8" s="91"/>
      <c r="D8" s="91"/>
      <c r="E8" s="85" t="s">
        <v>10</v>
      </c>
      <c r="F8" s="124">
        <v>25477000</v>
      </c>
      <c r="G8" s="124"/>
      <c r="H8" s="166">
        <f>F8</f>
        <v>25477000</v>
      </c>
    </row>
    <row r="9" spans="1:8" ht="24" x14ac:dyDescent="0.25">
      <c r="A9" s="159">
        <v>1</v>
      </c>
      <c r="B9" s="160" t="s">
        <v>731</v>
      </c>
      <c r="C9" s="233">
        <v>1</v>
      </c>
      <c r="D9" s="161"/>
      <c r="E9" s="172" t="s">
        <v>647</v>
      </c>
      <c r="F9" s="161"/>
      <c r="G9" s="161"/>
      <c r="H9" s="167"/>
    </row>
    <row r="10" spans="1:8" x14ac:dyDescent="0.25">
      <c r="A10" s="162"/>
      <c r="B10" s="162"/>
      <c r="C10" s="233"/>
      <c r="D10" s="163"/>
      <c r="E10" s="155" t="s">
        <v>730</v>
      </c>
      <c r="F10" s="161"/>
      <c r="G10" s="163"/>
      <c r="H10" s="168"/>
    </row>
    <row r="11" spans="1:8" x14ac:dyDescent="0.25">
      <c r="A11" s="162"/>
      <c r="B11" s="162"/>
      <c r="C11" s="233">
        <v>2</v>
      </c>
      <c r="D11" s="163" t="s">
        <v>50</v>
      </c>
      <c r="E11" s="155" t="s">
        <v>11</v>
      </c>
      <c r="F11" s="163">
        <v>88676000</v>
      </c>
      <c r="G11" s="163"/>
      <c r="H11" s="163">
        <f>H8+F11</f>
        <v>114153000</v>
      </c>
    </row>
    <row r="12" spans="1:8" x14ac:dyDescent="0.25">
      <c r="A12" s="162"/>
      <c r="B12" s="162"/>
      <c r="C12" s="233">
        <v>3</v>
      </c>
      <c r="D12" s="163" t="s">
        <v>51</v>
      </c>
      <c r="E12" s="155" t="s">
        <v>12</v>
      </c>
      <c r="F12" s="163">
        <v>4497952</v>
      </c>
      <c r="G12" s="163"/>
      <c r="H12" s="163">
        <f t="shared" ref="H12:H25" si="0">H11+F12</f>
        <v>118650952</v>
      </c>
    </row>
    <row r="13" spans="1:8" x14ac:dyDescent="0.25">
      <c r="A13" s="162"/>
      <c r="B13" s="162"/>
      <c r="C13" s="233"/>
      <c r="D13" s="163"/>
      <c r="E13" s="155" t="s">
        <v>13</v>
      </c>
      <c r="F13" s="163">
        <v>0</v>
      </c>
      <c r="G13" s="163"/>
      <c r="H13" s="163">
        <f t="shared" si="0"/>
        <v>118650952</v>
      </c>
    </row>
    <row r="14" spans="1:8" x14ac:dyDescent="0.25">
      <c r="A14" s="162"/>
      <c r="B14" s="162"/>
      <c r="C14" s="233">
        <v>4</v>
      </c>
      <c r="D14" s="163" t="s">
        <v>52</v>
      </c>
      <c r="E14" s="155" t="s">
        <v>14</v>
      </c>
      <c r="F14" s="163">
        <v>8725000</v>
      </c>
      <c r="G14" s="163"/>
      <c r="H14" s="163">
        <f t="shared" si="0"/>
        <v>127375952</v>
      </c>
    </row>
    <row r="15" spans="1:8" x14ac:dyDescent="0.25">
      <c r="A15" s="154"/>
      <c r="B15" s="154"/>
      <c r="C15" s="233">
        <v>5</v>
      </c>
      <c r="D15" s="126" t="s">
        <v>53</v>
      </c>
      <c r="E15" s="155" t="s">
        <v>15</v>
      </c>
      <c r="F15" s="126">
        <v>3240000</v>
      </c>
      <c r="G15" s="126"/>
      <c r="H15" s="126">
        <f t="shared" si="0"/>
        <v>130615952</v>
      </c>
    </row>
    <row r="16" spans="1:8" x14ac:dyDescent="0.25">
      <c r="A16" s="154"/>
      <c r="B16" s="154"/>
      <c r="C16" s="233">
        <v>6</v>
      </c>
      <c r="D16" s="126" t="s">
        <v>54</v>
      </c>
      <c r="E16" s="155" t="s">
        <v>16</v>
      </c>
      <c r="F16" s="126">
        <v>1465000</v>
      </c>
      <c r="G16" s="126"/>
      <c r="H16" s="126">
        <f t="shared" si="0"/>
        <v>132080952</v>
      </c>
    </row>
    <row r="17" spans="1:8" x14ac:dyDescent="0.25">
      <c r="A17" s="154"/>
      <c r="B17" s="154"/>
      <c r="C17" s="233">
        <v>7</v>
      </c>
      <c r="D17" s="126" t="s">
        <v>55</v>
      </c>
      <c r="E17" s="155" t="s">
        <v>17</v>
      </c>
      <c r="F17" s="126">
        <v>4264158</v>
      </c>
      <c r="G17" s="126"/>
      <c r="H17" s="126">
        <f t="shared" si="0"/>
        <v>136345110</v>
      </c>
    </row>
    <row r="18" spans="1:8" x14ac:dyDescent="0.25">
      <c r="A18" s="154"/>
      <c r="B18" s="154"/>
      <c r="C18" s="233">
        <v>8</v>
      </c>
      <c r="D18" s="126" t="s">
        <v>56</v>
      </c>
      <c r="E18" s="155" t="s">
        <v>18</v>
      </c>
      <c r="F18" s="126">
        <v>3331320</v>
      </c>
      <c r="G18" s="126"/>
      <c r="H18" s="126">
        <f t="shared" si="0"/>
        <v>139676430</v>
      </c>
    </row>
    <row r="19" spans="1:8" x14ac:dyDescent="0.25">
      <c r="A19" s="154"/>
      <c r="B19" s="154"/>
      <c r="C19" s="233"/>
      <c r="D19" s="126"/>
      <c r="E19" s="155" t="s">
        <v>19</v>
      </c>
      <c r="F19" s="126"/>
      <c r="G19" s="126"/>
      <c r="H19" s="126">
        <f t="shared" si="0"/>
        <v>139676430</v>
      </c>
    </row>
    <row r="20" spans="1:8" x14ac:dyDescent="0.25">
      <c r="A20" s="154"/>
      <c r="B20" s="154"/>
      <c r="C20" s="233"/>
      <c r="D20" s="126"/>
      <c r="E20" s="155" t="s">
        <v>20</v>
      </c>
      <c r="F20" s="126"/>
      <c r="G20" s="126"/>
      <c r="H20" s="126">
        <f t="shared" si="0"/>
        <v>139676430</v>
      </c>
    </row>
    <row r="21" spans="1:8" x14ac:dyDescent="0.25">
      <c r="A21" s="154"/>
      <c r="B21" s="154"/>
      <c r="C21" s="233">
        <v>9</v>
      </c>
      <c r="D21" s="126" t="s">
        <v>57</v>
      </c>
      <c r="E21" s="155" t="s">
        <v>21</v>
      </c>
      <c r="F21" s="126">
        <v>196625</v>
      </c>
      <c r="G21" s="126"/>
      <c r="H21" s="126">
        <f t="shared" si="0"/>
        <v>139873055</v>
      </c>
    </row>
    <row r="22" spans="1:8" x14ac:dyDescent="0.25">
      <c r="A22" s="154"/>
      <c r="B22" s="154"/>
      <c r="C22" s="233"/>
      <c r="D22" s="126"/>
      <c r="E22" s="155" t="s">
        <v>22</v>
      </c>
      <c r="F22" s="126"/>
      <c r="G22" s="126"/>
      <c r="H22" s="126">
        <f t="shared" si="0"/>
        <v>139873055</v>
      </c>
    </row>
    <row r="23" spans="1:8" x14ac:dyDescent="0.25">
      <c r="A23" s="154"/>
      <c r="B23" s="154"/>
      <c r="C23" s="233">
        <v>10</v>
      </c>
      <c r="D23" s="126" t="s">
        <v>59</v>
      </c>
      <c r="E23" s="155" t="s">
        <v>23</v>
      </c>
      <c r="F23" s="126">
        <v>212821</v>
      </c>
      <c r="G23" s="126"/>
      <c r="H23" s="126">
        <f t="shared" si="0"/>
        <v>140085876</v>
      </c>
    </row>
    <row r="24" spans="1:8" x14ac:dyDescent="0.25">
      <c r="A24" s="154"/>
      <c r="B24" s="154"/>
      <c r="C24" s="233">
        <v>11</v>
      </c>
      <c r="D24" s="126" t="s">
        <v>58</v>
      </c>
      <c r="E24" s="155" t="s">
        <v>24</v>
      </c>
      <c r="F24" s="126">
        <v>638467</v>
      </c>
      <c r="G24" s="126"/>
      <c r="H24" s="126">
        <f t="shared" si="0"/>
        <v>140724343</v>
      </c>
    </row>
    <row r="25" spans="1:8" x14ac:dyDescent="0.25">
      <c r="A25" s="154"/>
      <c r="B25" s="154"/>
      <c r="C25" s="233">
        <v>12</v>
      </c>
      <c r="D25" s="126" t="s">
        <v>60</v>
      </c>
      <c r="E25" s="155" t="s">
        <v>25</v>
      </c>
      <c r="F25" s="126">
        <v>1283</v>
      </c>
      <c r="G25" s="126"/>
      <c r="H25" s="126">
        <f t="shared" si="0"/>
        <v>140725626</v>
      </c>
    </row>
    <row r="26" spans="1:8" x14ac:dyDescent="0.25">
      <c r="A26" s="154"/>
      <c r="B26" s="154"/>
      <c r="C26" s="233"/>
      <c r="D26" s="126" t="s">
        <v>27</v>
      </c>
      <c r="E26" s="155" t="s">
        <v>26</v>
      </c>
      <c r="F26" s="126"/>
      <c r="G26" s="126"/>
      <c r="H26" s="126"/>
    </row>
    <row r="27" spans="1:8" x14ac:dyDescent="0.25">
      <c r="A27" s="154"/>
      <c r="B27" s="154"/>
      <c r="C27" s="233"/>
      <c r="D27" s="126"/>
      <c r="E27" s="155" t="s">
        <v>48</v>
      </c>
      <c r="F27" s="126"/>
      <c r="G27" s="126">
        <v>7453916</v>
      </c>
      <c r="H27" s="126">
        <f>H25-G27</f>
        <v>133271710</v>
      </c>
    </row>
    <row r="28" spans="1:8" x14ac:dyDescent="0.25">
      <c r="A28" s="154"/>
      <c r="B28" s="154"/>
      <c r="C28" s="233"/>
      <c r="D28" s="126"/>
      <c r="E28" s="155" t="s">
        <v>28</v>
      </c>
      <c r="F28" s="126"/>
      <c r="G28" s="126">
        <f>F21</f>
        <v>196625</v>
      </c>
      <c r="H28" s="126">
        <f t="shared" ref="H28:H41" si="1">H27-G28</f>
        <v>133075085</v>
      </c>
    </row>
    <row r="29" spans="1:8" x14ac:dyDescent="0.25">
      <c r="A29" s="154"/>
      <c r="B29" s="154"/>
      <c r="C29" s="233"/>
      <c r="D29" s="126"/>
      <c r="E29" s="155" t="s">
        <v>29</v>
      </c>
      <c r="F29" s="126"/>
      <c r="G29" s="126">
        <v>0</v>
      </c>
      <c r="H29" s="126">
        <f t="shared" si="1"/>
        <v>133075085</v>
      </c>
    </row>
    <row r="30" spans="1:8" x14ac:dyDescent="0.25">
      <c r="A30" s="154"/>
      <c r="B30" s="154"/>
      <c r="C30" s="233"/>
      <c r="D30" s="126"/>
      <c r="E30" s="155" t="s">
        <v>30</v>
      </c>
      <c r="F30" s="126"/>
      <c r="G30" s="126">
        <v>0</v>
      </c>
      <c r="H30" s="126">
        <f t="shared" si="1"/>
        <v>133075085</v>
      </c>
    </row>
    <row r="31" spans="1:8" x14ac:dyDescent="0.25">
      <c r="A31" s="154"/>
      <c r="B31" s="154"/>
      <c r="C31" s="233"/>
      <c r="D31" s="126"/>
      <c r="E31" s="155" t="s">
        <v>31</v>
      </c>
      <c r="F31" s="126"/>
      <c r="G31" s="126">
        <v>0</v>
      </c>
      <c r="H31" s="126">
        <f t="shared" si="1"/>
        <v>133075085</v>
      </c>
    </row>
    <row r="32" spans="1:8" x14ac:dyDescent="0.25">
      <c r="A32" s="154"/>
      <c r="B32" s="154"/>
      <c r="C32" s="233"/>
      <c r="D32" s="126"/>
      <c r="E32" s="155" t="s">
        <v>17</v>
      </c>
      <c r="F32" s="126"/>
      <c r="G32" s="126">
        <f>F17</f>
        <v>4264158</v>
      </c>
      <c r="H32" s="126">
        <f t="shared" si="1"/>
        <v>128810927</v>
      </c>
    </row>
    <row r="33" spans="1:8" x14ac:dyDescent="0.25">
      <c r="A33" s="154"/>
      <c r="B33" s="154"/>
      <c r="C33" s="233"/>
      <c r="D33" s="126"/>
      <c r="E33" s="155" t="s">
        <v>63</v>
      </c>
      <c r="F33" s="126"/>
      <c r="G33" s="126">
        <v>0</v>
      </c>
      <c r="H33" s="126">
        <f t="shared" si="1"/>
        <v>128810927</v>
      </c>
    </row>
    <row r="34" spans="1:8" x14ac:dyDescent="0.25">
      <c r="A34" s="154"/>
      <c r="B34" s="154"/>
      <c r="C34" s="233"/>
      <c r="D34" s="126"/>
      <c r="E34" s="155" t="s">
        <v>32</v>
      </c>
      <c r="F34" s="126"/>
      <c r="G34" s="126">
        <v>0</v>
      </c>
      <c r="H34" s="126">
        <f t="shared" si="1"/>
        <v>128810927</v>
      </c>
    </row>
    <row r="35" spans="1:8" x14ac:dyDescent="0.25">
      <c r="A35" s="154"/>
      <c r="B35" s="154"/>
      <c r="C35" s="233"/>
      <c r="D35" s="126"/>
      <c r="E35" s="155" t="s">
        <v>33</v>
      </c>
      <c r="F35" s="126"/>
      <c r="G35" s="126">
        <f>F23</f>
        <v>212821</v>
      </c>
      <c r="H35" s="126">
        <f t="shared" si="1"/>
        <v>128598106</v>
      </c>
    </row>
    <row r="36" spans="1:8" x14ac:dyDescent="0.25">
      <c r="A36" s="154"/>
      <c r="B36" s="154"/>
      <c r="C36" s="233"/>
      <c r="D36" s="126"/>
      <c r="E36" s="155" t="s">
        <v>34</v>
      </c>
      <c r="F36" s="126"/>
      <c r="G36" s="126">
        <f>F24</f>
        <v>638467</v>
      </c>
      <c r="H36" s="126">
        <f t="shared" si="1"/>
        <v>127959639</v>
      </c>
    </row>
    <row r="37" spans="1:8" x14ac:dyDescent="0.25">
      <c r="A37" s="154"/>
      <c r="B37" s="154"/>
      <c r="C37" s="233"/>
      <c r="D37" s="126"/>
      <c r="E37" s="155" t="s">
        <v>49</v>
      </c>
      <c r="F37" s="126"/>
      <c r="G37" s="126">
        <v>1066039</v>
      </c>
      <c r="H37" s="126">
        <f t="shared" si="1"/>
        <v>126893600</v>
      </c>
    </row>
    <row r="38" spans="1:8" x14ac:dyDescent="0.25">
      <c r="A38" s="154"/>
      <c r="B38" s="154"/>
      <c r="C38" s="233"/>
      <c r="D38" s="126"/>
      <c r="E38" s="155" t="s">
        <v>35</v>
      </c>
      <c r="F38" s="126"/>
      <c r="G38" s="126">
        <v>0</v>
      </c>
      <c r="H38" s="126">
        <f t="shared" si="1"/>
        <v>126893600</v>
      </c>
    </row>
    <row r="39" spans="1:8" x14ac:dyDescent="0.25">
      <c r="A39" s="154"/>
      <c r="B39" s="154"/>
      <c r="C39" s="233"/>
      <c r="D39" s="126"/>
      <c r="E39" s="155" t="s">
        <v>36</v>
      </c>
      <c r="F39" s="126"/>
      <c r="G39" s="126">
        <v>0</v>
      </c>
      <c r="H39" s="126">
        <f t="shared" si="1"/>
        <v>126893600</v>
      </c>
    </row>
    <row r="40" spans="1:8" x14ac:dyDescent="0.25">
      <c r="A40" s="154"/>
      <c r="B40" s="154"/>
      <c r="C40" s="233"/>
      <c r="D40" s="126"/>
      <c r="E40" s="155" t="s">
        <v>37</v>
      </c>
      <c r="F40" s="126"/>
      <c r="G40" s="126">
        <v>0</v>
      </c>
      <c r="H40" s="126">
        <f t="shared" si="1"/>
        <v>126893600</v>
      </c>
    </row>
    <row r="41" spans="1:8" x14ac:dyDescent="0.25">
      <c r="A41" s="154">
        <v>2</v>
      </c>
      <c r="B41" s="160" t="s">
        <v>646</v>
      </c>
      <c r="C41" s="233">
        <v>13</v>
      </c>
      <c r="D41" s="126"/>
      <c r="E41" s="155" t="s">
        <v>37</v>
      </c>
      <c r="F41" s="126"/>
      <c r="G41" s="126">
        <v>0</v>
      </c>
      <c r="H41" s="126">
        <f t="shared" si="1"/>
        <v>126893600</v>
      </c>
    </row>
    <row r="42" spans="1:8" x14ac:dyDescent="0.25">
      <c r="A42" s="154">
        <v>3</v>
      </c>
      <c r="B42" s="160" t="s">
        <v>646</v>
      </c>
      <c r="C42" s="233">
        <v>14</v>
      </c>
      <c r="D42" s="126"/>
      <c r="E42" s="155" t="s">
        <v>39</v>
      </c>
      <c r="F42" s="126" t="s">
        <v>38</v>
      </c>
      <c r="G42" s="126" t="s">
        <v>38</v>
      </c>
      <c r="H42" s="126"/>
    </row>
    <row r="43" spans="1:8" ht="16.5" customHeight="1" x14ac:dyDescent="0.25">
      <c r="A43" s="154">
        <v>4</v>
      </c>
      <c r="B43" s="160" t="s">
        <v>646</v>
      </c>
      <c r="C43" s="234">
        <v>15</v>
      </c>
      <c r="D43" s="171"/>
      <c r="E43" s="170" t="s">
        <v>72</v>
      </c>
      <c r="F43" s="171"/>
      <c r="G43" s="153">
        <v>101416600</v>
      </c>
      <c r="H43" s="153">
        <f>H41-G43</f>
        <v>25477000</v>
      </c>
    </row>
    <row r="44" spans="1:8" x14ac:dyDescent="0.25">
      <c r="A44" s="154"/>
      <c r="B44" s="160"/>
      <c r="C44" s="233"/>
      <c r="D44" s="126"/>
      <c r="E44" s="155"/>
      <c r="F44" s="126"/>
      <c r="G44" s="126"/>
      <c r="H44" s="153">
        <f>H43-G44</f>
        <v>25477000</v>
      </c>
    </row>
    <row r="45" spans="1:8" x14ac:dyDescent="0.25">
      <c r="A45" s="154"/>
      <c r="B45" s="160"/>
      <c r="C45" s="233"/>
      <c r="D45" s="126"/>
      <c r="E45" s="155"/>
      <c r="F45" s="126"/>
      <c r="G45" s="153"/>
      <c r="H45" s="153"/>
    </row>
    <row r="46" spans="1:8" x14ac:dyDescent="0.25">
      <c r="A46" s="154"/>
      <c r="B46" s="160"/>
      <c r="C46" s="233"/>
      <c r="D46" s="126"/>
      <c r="E46" s="172"/>
      <c r="F46" s="126"/>
      <c r="G46" s="153"/>
      <c r="H46" s="153"/>
    </row>
    <row r="47" spans="1:8" x14ac:dyDescent="0.25">
      <c r="A47" s="154"/>
      <c r="B47" s="160"/>
      <c r="C47" s="264"/>
      <c r="D47" s="163"/>
      <c r="E47" s="155"/>
      <c r="F47" s="161"/>
      <c r="G47" s="163"/>
      <c r="H47" s="153">
        <f>H44</f>
        <v>25477000</v>
      </c>
    </row>
    <row r="48" spans="1:8" x14ac:dyDescent="0.25">
      <c r="A48" s="154"/>
      <c r="B48" s="160"/>
      <c r="C48" s="265"/>
      <c r="D48" s="163"/>
      <c r="E48" s="155"/>
      <c r="F48" s="163"/>
      <c r="G48" s="163"/>
      <c r="H48" s="126">
        <f>H47+F48</f>
        <v>25477000</v>
      </c>
    </row>
    <row r="49" spans="1:8" x14ac:dyDescent="0.25">
      <c r="A49" s="154"/>
      <c r="B49" s="160"/>
      <c r="C49" s="265"/>
      <c r="D49" s="163"/>
      <c r="E49" s="155"/>
      <c r="F49" s="163"/>
      <c r="G49" s="163"/>
      <c r="H49" s="126">
        <f>H48+F49</f>
        <v>25477000</v>
      </c>
    </row>
    <row r="50" spans="1:8" x14ac:dyDescent="0.25">
      <c r="A50" s="154"/>
      <c r="B50" s="160"/>
      <c r="C50" s="234"/>
      <c r="D50" s="163"/>
      <c r="E50" s="155"/>
      <c r="F50" s="163"/>
      <c r="G50" s="163"/>
      <c r="H50" s="126">
        <f>H49+F50</f>
        <v>25477000</v>
      </c>
    </row>
    <row r="51" spans="1:8" x14ac:dyDescent="0.25">
      <c r="A51" s="154"/>
      <c r="B51" s="160"/>
      <c r="C51" s="233"/>
      <c r="D51" s="163"/>
      <c r="E51" s="155"/>
      <c r="F51" s="163"/>
      <c r="G51" s="163"/>
      <c r="H51" s="126">
        <f>H50+F51</f>
        <v>25477000</v>
      </c>
    </row>
    <row r="52" spans="1:8" x14ac:dyDescent="0.25">
      <c r="A52" s="154"/>
      <c r="B52" s="160"/>
      <c r="C52" s="264"/>
      <c r="D52" s="126"/>
      <c r="E52" s="155"/>
      <c r="F52" s="126"/>
      <c r="G52" s="126"/>
      <c r="H52" s="126">
        <f t="shared" ref="H52:H78" si="2">H51+F52</f>
        <v>25477000</v>
      </c>
    </row>
    <row r="53" spans="1:8" x14ac:dyDescent="0.25">
      <c r="A53" s="154"/>
      <c r="B53" s="160"/>
      <c r="C53" s="265"/>
      <c r="D53" s="126"/>
      <c r="E53" s="155"/>
      <c r="F53" s="126"/>
      <c r="G53" s="126"/>
      <c r="H53" s="126">
        <f>H52+F53</f>
        <v>25477000</v>
      </c>
    </row>
    <row r="54" spans="1:8" x14ac:dyDescent="0.25">
      <c r="A54" s="154"/>
      <c r="B54" s="160"/>
      <c r="C54" s="234"/>
      <c r="D54" s="126"/>
      <c r="E54" s="155"/>
      <c r="F54" s="126"/>
      <c r="G54" s="126"/>
      <c r="H54" s="126">
        <f>H53+F54</f>
        <v>25477000</v>
      </c>
    </row>
    <row r="55" spans="1:8" x14ac:dyDescent="0.25">
      <c r="A55" s="154"/>
      <c r="B55" s="160"/>
      <c r="C55" s="233"/>
      <c r="D55" s="126"/>
      <c r="E55" s="155"/>
      <c r="F55" s="126"/>
      <c r="G55" s="126"/>
      <c r="H55" s="126">
        <f>H54+F55</f>
        <v>25477000</v>
      </c>
    </row>
    <row r="56" spans="1:8" x14ac:dyDescent="0.25">
      <c r="A56" s="154"/>
      <c r="B56" s="160"/>
      <c r="C56" s="233"/>
      <c r="D56" s="126"/>
      <c r="E56" s="155"/>
      <c r="F56" s="126"/>
      <c r="G56" s="126"/>
      <c r="H56" s="126">
        <f t="shared" si="2"/>
        <v>25477000</v>
      </c>
    </row>
    <row r="57" spans="1:8" x14ac:dyDescent="0.25">
      <c r="A57" s="154"/>
      <c r="B57" s="160"/>
      <c r="C57" s="233"/>
      <c r="D57" s="126"/>
      <c r="E57" s="155"/>
      <c r="F57" s="126"/>
      <c r="G57" s="126"/>
      <c r="H57" s="126">
        <f t="shared" si="2"/>
        <v>25477000</v>
      </c>
    </row>
    <row r="58" spans="1:8" x14ac:dyDescent="0.25">
      <c r="A58" s="154"/>
      <c r="B58" s="160"/>
      <c r="C58" s="264"/>
      <c r="D58" s="126"/>
      <c r="E58" s="155"/>
      <c r="F58" s="126"/>
      <c r="G58" s="126"/>
      <c r="H58" s="126">
        <f t="shared" si="2"/>
        <v>25477000</v>
      </c>
    </row>
    <row r="59" spans="1:8" x14ac:dyDescent="0.25">
      <c r="A59" s="154"/>
      <c r="B59" s="160"/>
      <c r="C59" s="265"/>
      <c r="D59" s="126"/>
      <c r="E59" s="155"/>
      <c r="F59" s="126"/>
      <c r="G59" s="126"/>
      <c r="H59" s="126">
        <f t="shared" si="2"/>
        <v>25477000</v>
      </c>
    </row>
    <row r="60" spans="1:8" x14ac:dyDescent="0.25">
      <c r="A60" s="154"/>
      <c r="B60" s="160"/>
      <c r="C60" s="265"/>
      <c r="D60" s="126"/>
      <c r="E60" s="155"/>
      <c r="F60" s="126"/>
      <c r="G60" s="126"/>
      <c r="H60" s="126">
        <f t="shared" si="2"/>
        <v>25477000</v>
      </c>
    </row>
    <row r="61" spans="1:8" x14ac:dyDescent="0.25">
      <c r="A61" s="154"/>
      <c r="B61" s="160"/>
      <c r="C61" s="265"/>
      <c r="D61" s="126"/>
      <c r="E61" s="155"/>
      <c r="F61" s="126"/>
      <c r="G61" s="126"/>
      <c r="H61" s="126">
        <f t="shared" si="2"/>
        <v>25477000</v>
      </c>
    </row>
    <row r="62" spans="1:8" x14ac:dyDescent="0.25">
      <c r="A62" s="154"/>
      <c r="B62" s="160"/>
      <c r="C62" s="234"/>
      <c r="D62" s="126"/>
      <c r="E62" s="155"/>
      <c r="F62" s="126"/>
      <c r="G62" s="126"/>
      <c r="H62" s="126">
        <f t="shared" si="2"/>
        <v>25477000</v>
      </c>
    </row>
    <row r="63" spans="1:8" x14ac:dyDescent="0.25">
      <c r="A63" s="154"/>
      <c r="B63" s="160"/>
      <c r="C63" s="233"/>
      <c r="D63" s="126"/>
      <c r="E63" s="155"/>
      <c r="F63" s="126"/>
      <c r="G63" s="126"/>
      <c r="H63" s="126">
        <f t="shared" si="2"/>
        <v>25477000</v>
      </c>
    </row>
    <row r="64" spans="1:8" x14ac:dyDescent="0.25">
      <c r="A64" s="154"/>
      <c r="B64" s="160"/>
      <c r="C64" s="233"/>
      <c r="D64" s="126"/>
      <c r="E64" s="155"/>
      <c r="F64" s="126"/>
      <c r="G64" s="126"/>
      <c r="H64" s="126">
        <f>H63+F64</f>
        <v>25477000</v>
      </c>
    </row>
    <row r="65" spans="1:8" x14ac:dyDescent="0.25">
      <c r="A65" s="154"/>
      <c r="B65" s="160"/>
      <c r="C65" s="233"/>
      <c r="D65" s="126"/>
      <c r="E65" s="155"/>
      <c r="F65" s="126"/>
      <c r="G65" s="126"/>
      <c r="H65" s="126">
        <f>H64-G65</f>
        <v>25477000</v>
      </c>
    </row>
    <row r="66" spans="1:8" x14ac:dyDescent="0.25">
      <c r="A66" s="154"/>
      <c r="B66" s="160"/>
      <c r="C66" s="264"/>
      <c r="D66" s="126"/>
      <c r="E66" s="155"/>
      <c r="F66" s="126"/>
      <c r="G66" s="126"/>
      <c r="H66" s="126">
        <f t="shared" si="2"/>
        <v>25477000</v>
      </c>
    </row>
    <row r="67" spans="1:8" x14ac:dyDescent="0.25">
      <c r="A67" s="154"/>
      <c r="B67" s="160"/>
      <c r="C67" s="265"/>
      <c r="D67" s="126"/>
      <c r="E67" s="155"/>
      <c r="F67" s="126"/>
      <c r="G67" s="126"/>
      <c r="H67" s="126">
        <f t="shared" si="2"/>
        <v>25477000</v>
      </c>
    </row>
    <row r="68" spans="1:8" x14ac:dyDescent="0.25">
      <c r="A68" s="154"/>
      <c r="B68" s="160"/>
      <c r="C68" s="265"/>
      <c r="D68" s="126"/>
      <c r="E68" s="155"/>
      <c r="F68" s="126"/>
      <c r="G68" s="126"/>
      <c r="H68" s="126">
        <f t="shared" si="2"/>
        <v>25477000</v>
      </c>
    </row>
    <row r="69" spans="1:8" x14ac:dyDescent="0.25">
      <c r="A69" s="154"/>
      <c r="B69" s="160"/>
      <c r="C69" s="265"/>
      <c r="D69" s="126"/>
      <c r="E69" s="155"/>
      <c r="F69" s="126"/>
      <c r="G69" s="126"/>
      <c r="H69" s="126">
        <f t="shared" si="2"/>
        <v>25477000</v>
      </c>
    </row>
    <row r="70" spans="1:8" x14ac:dyDescent="0.25">
      <c r="A70" s="154"/>
      <c r="B70" s="160"/>
      <c r="C70" s="265"/>
      <c r="D70" s="126"/>
      <c r="E70" s="155"/>
      <c r="F70" s="126"/>
      <c r="G70" s="126"/>
      <c r="H70" s="126">
        <f t="shared" si="2"/>
        <v>25477000</v>
      </c>
    </row>
    <row r="71" spans="1:8" x14ac:dyDescent="0.25">
      <c r="A71" s="154"/>
      <c r="B71" s="160"/>
      <c r="C71" s="265"/>
      <c r="D71" s="126"/>
      <c r="E71" s="155"/>
      <c r="F71" s="126"/>
      <c r="G71" s="126"/>
      <c r="H71" s="126">
        <f t="shared" si="2"/>
        <v>25477000</v>
      </c>
    </row>
    <row r="72" spans="1:8" x14ac:dyDescent="0.25">
      <c r="A72" s="154"/>
      <c r="B72" s="160"/>
      <c r="C72" s="265"/>
      <c r="D72" s="126"/>
      <c r="E72" s="155"/>
      <c r="F72" s="126"/>
      <c r="G72" s="126"/>
      <c r="H72" s="126">
        <f t="shared" si="2"/>
        <v>25477000</v>
      </c>
    </row>
    <row r="73" spans="1:8" x14ac:dyDescent="0.25">
      <c r="A73" s="154"/>
      <c r="B73" s="160"/>
      <c r="C73" s="265"/>
      <c r="D73" s="126"/>
      <c r="E73" s="155"/>
      <c r="F73" s="126"/>
      <c r="G73" s="126"/>
      <c r="H73" s="126">
        <f t="shared" si="2"/>
        <v>25477000</v>
      </c>
    </row>
    <row r="74" spans="1:8" x14ac:dyDescent="0.25">
      <c r="A74" s="154"/>
      <c r="B74" s="160"/>
      <c r="C74" s="265"/>
      <c r="D74" s="126"/>
      <c r="E74" s="155"/>
      <c r="F74" s="126"/>
      <c r="G74" s="126"/>
      <c r="H74" s="126">
        <f t="shared" si="2"/>
        <v>25477000</v>
      </c>
    </row>
    <row r="75" spans="1:8" x14ac:dyDescent="0.25">
      <c r="A75" s="154"/>
      <c r="B75" s="160"/>
      <c r="C75" s="265"/>
      <c r="D75" s="126"/>
      <c r="E75" s="155"/>
      <c r="F75" s="126"/>
      <c r="G75" s="126"/>
      <c r="H75" s="126">
        <f t="shared" si="2"/>
        <v>25477000</v>
      </c>
    </row>
    <row r="76" spans="1:8" x14ac:dyDescent="0.25">
      <c r="A76" s="154"/>
      <c r="B76" s="160"/>
      <c r="C76" s="265"/>
      <c r="D76" s="126"/>
      <c r="E76" s="155"/>
      <c r="F76" s="126"/>
      <c r="G76" s="126"/>
      <c r="H76" s="126">
        <f t="shared" si="2"/>
        <v>25477000</v>
      </c>
    </row>
    <row r="77" spans="1:8" x14ac:dyDescent="0.25">
      <c r="A77" s="154"/>
      <c r="B77" s="160"/>
      <c r="C77" s="265"/>
      <c r="D77" s="126"/>
      <c r="E77" s="155"/>
      <c r="F77" s="126"/>
      <c r="G77" s="126"/>
      <c r="H77" s="126">
        <f t="shared" si="2"/>
        <v>25477000</v>
      </c>
    </row>
    <row r="78" spans="1:8" x14ac:dyDescent="0.25">
      <c r="A78" s="154"/>
      <c r="B78" s="160"/>
      <c r="C78" s="265"/>
      <c r="D78" s="126"/>
      <c r="E78" s="155"/>
      <c r="F78" s="126"/>
      <c r="G78" s="126"/>
      <c r="H78" s="126">
        <f t="shared" si="2"/>
        <v>25477000</v>
      </c>
    </row>
    <row r="79" spans="1:8" x14ac:dyDescent="0.25">
      <c r="A79" s="154"/>
      <c r="B79" s="160"/>
      <c r="C79" s="265"/>
      <c r="D79" s="126"/>
      <c r="E79" s="155"/>
      <c r="F79" s="126"/>
      <c r="G79" s="126"/>
      <c r="H79" s="126"/>
    </row>
    <row r="80" spans="1:8" x14ac:dyDescent="0.25">
      <c r="A80" s="154"/>
      <c r="B80" s="160"/>
      <c r="C80" s="265"/>
      <c r="D80" s="171"/>
      <c r="E80" s="170"/>
      <c r="F80" s="171"/>
      <c r="G80" s="153"/>
      <c r="H80" s="126">
        <f>H78-G80</f>
        <v>25477000</v>
      </c>
    </row>
    <row r="81" spans="1:8" x14ac:dyDescent="0.25">
      <c r="A81" s="154"/>
      <c r="B81" s="160"/>
      <c r="C81" s="265"/>
      <c r="D81" s="214"/>
      <c r="E81" s="162"/>
      <c r="F81" s="126"/>
      <c r="G81" s="153"/>
      <c r="H81" s="126"/>
    </row>
    <row r="82" spans="1:8" x14ac:dyDescent="0.25">
      <c r="A82" s="154"/>
      <c r="B82" s="160"/>
      <c r="C82" s="265"/>
      <c r="D82" s="214"/>
      <c r="E82" s="162"/>
      <c r="F82" s="126"/>
      <c r="G82" s="153"/>
      <c r="H82" s="126"/>
    </row>
    <row r="83" spans="1:8" x14ac:dyDescent="0.25">
      <c r="A83" s="154"/>
      <c r="B83" s="160"/>
      <c r="C83" s="265"/>
      <c r="D83" s="214"/>
      <c r="E83" s="162"/>
      <c r="F83" s="126"/>
      <c r="G83" s="153"/>
      <c r="H83" s="126"/>
    </row>
    <row r="84" spans="1:8" x14ac:dyDescent="0.25">
      <c r="A84" s="154"/>
      <c r="B84" s="160"/>
      <c r="C84" s="265"/>
      <c r="D84" s="214"/>
      <c r="E84" s="162"/>
      <c r="F84" s="126"/>
      <c r="G84" s="153"/>
      <c r="H84" s="126"/>
    </row>
    <row r="85" spans="1:8" x14ac:dyDescent="0.25">
      <c r="A85" s="154"/>
      <c r="B85" s="160"/>
      <c r="C85" s="265"/>
      <c r="D85" s="214"/>
      <c r="E85" s="162"/>
      <c r="F85" s="126"/>
      <c r="G85" s="153"/>
      <c r="H85" s="126"/>
    </row>
    <row r="86" spans="1:8" x14ac:dyDescent="0.25">
      <c r="A86" s="154"/>
      <c r="B86" s="160"/>
      <c r="C86" s="265"/>
      <c r="D86" s="214"/>
      <c r="E86" s="162"/>
      <c r="F86" s="126"/>
      <c r="G86" s="153"/>
      <c r="H86" s="126"/>
    </row>
    <row r="87" spans="1:8" x14ac:dyDescent="0.25">
      <c r="A87" s="154"/>
      <c r="B87" s="160"/>
      <c r="C87" s="265"/>
      <c r="D87" s="214"/>
      <c r="E87" s="162"/>
      <c r="F87" s="126"/>
      <c r="G87" s="153"/>
      <c r="H87" s="126"/>
    </row>
    <row r="88" spans="1:8" x14ac:dyDescent="0.25">
      <c r="A88" s="154"/>
      <c r="B88" s="160"/>
      <c r="C88" s="265"/>
      <c r="D88" s="214"/>
      <c r="E88" s="162"/>
      <c r="F88" s="126"/>
      <c r="G88" s="153"/>
      <c r="H88" s="126"/>
    </row>
    <row r="89" spans="1:8" x14ac:dyDescent="0.25">
      <c r="A89" s="154"/>
      <c r="B89" s="160"/>
      <c r="C89" s="265"/>
      <c r="D89" s="82"/>
      <c r="E89" s="226"/>
      <c r="F89" s="153"/>
      <c r="G89" s="126"/>
      <c r="H89" s="126">
        <f>H80+F89</f>
        <v>25477000</v>
      </c>
    </row>
    <row r="90" spans="1:8" x14ac:dyDescent="0.25">
      <c r="A90" s="154"/>
      <c r="B90" s="160"/>
      <c r="C90" s="265"/>
      <c r="D90" s="68"/>
      <c r="E90" s="226"/>
      <c r="F90" s="153"/>
      <c r="G90" s="126"/>
      <c r="H90" s="126">
        <f>H89+F90</f>
        <v>25477000</v>
      </c>
    </row>
    <row r="91" spans="1:8" x14ac:dyDescent="0.25">
      <c r="A91" s="154"/>
      <c r="B91" s="160"/>
      <c r="C91" s="265"/>
      <c r="D91" s="177"/>
      <c r="E91" s="169"/>
      <c r="F91" s="153"/>
      <c r="G91" s="126"/>
      <c r="H91" s="126">
        <f>H90-G91</f>
        <v>25477000</v>
      </c>
    </row>
    <row r="92" spans="1:8" x14ac:dyDescent="0.25">
      <c r="A92" s="154"/>
      <c r="B92" s="160"/>
      <c r="C92" s="265"/>
      <c r="D92" s="224"/>
      <c r="E92" s="227"/>
      <c r="F92" s="126"/>
      <c r="G92" s="126"/>
      <c r="H92" s="126">
        <f>H91-G92</f>
        <v>25477000</v>
      </c>
    </row>
    <row r="93" spans="1:8" x14ac:dyDescent="0.25">
      <c r="A93" s="154"/>
      <c r="B93" s="160"/>
      <c r="C93" s="265"/>
      <c r="D93" s="68"/>
      <c r="E93" s="228"/>
      <c r="F93" s="125"/>
      <c r="G93" s="126"/>
      <c r="H93" s="126">
        <f t="shared" ref="H93:H96" si="3">H92-G93</f>
        <v>25477000</v>
      </c>
    </row>
    <row r="94" spans="1:8" x14ac:dyDescent="0.25">
      <c r="A94" s="154"/>
      <c r="B94" s="160"/>
      <c r="C94" s="265"/>
      <c r="D94" s="82"/>
      <c r="E94" s="228"/>
      <c r="F94" s="126"/>
      <c r="G94" s="126"/>
      <c r="H94" s="126">
        <f t="shared" si="3"/>
        <v>25477000</v>
      </c>
    </row>
    <row r="95" spans="1:8" x14ac:dyDescent="0.25">
      <c r="A95" s="154"/>
      <c r="B95" s="160"/>
      <c r="C95" s="265"/>
      <c r="D95" s="82"/>
      <c r="E95" s="228"/>
      <c r="F95" s="126"/>
      <c r="G95" s="126"/>
      <c r="H95" s="126">
        <f t="shared" si="3"/>
        <v>25477000</v>
      </c>
    </row>
    <row r="96" spans="1:8" x14ac:dyDescent="0.25">
      <c r="A96" s="154"/>
      <c r="B96" s="160"/>
      <c r="C96" s="265"/>
      <c r="D96" s="82"/>
      <c r="E96" s="228"/>
      <c r="F96" s="126"/>
      <c r="G96" s="126"/>
      <c r="H96" s="126">
        <f t="shared" si="3"/>
        <v>25477000</v>
      </c>
    </row>
    <row r="97" spans="1:8" x14ac:dyDescent="0.25">
      <c r="A97" s="154"/>
      <c r="B97" s="160"/>
      <c r="C97" s="265"/>
      <c r="D97" s="82"/>
      <c r="E97" s="228"/>
      <c r="F97" s="126"/>
      <c r="G97" s="126"/>
      <c r="H97" s="126">
        <f>H96-G97</f>
        <v>25477000</v>
      </c>
    </row>
    <row r="98" spans="1:8" x14ac:dyDescent="0.25">
      <c r="A98" s="154"/>
      <c r="B98" s="160"/>
      <c r="C98" s="265"/>
      <c r="D98" s="82"/>
      <c r="E98" s="226"/>
      <c r="F98" s="153"/>
      <c r="G98" s="126"/>
      <c r="H98" s="126">
        <f>H97+F98</f>
        <v>25477000</v>
      </c>
    </row>
    <row r="99" spans="1:8" x14ac:dyDescent="0.25">
      <c r="A99" s="154"/>
      <c r="B99" s="160"/>
      <c r="C99" s="265"/>
      <c r="D99" s="125"/>
      <c r="E99" s="162"/>
      <c r="F99" s="126"/>
      <c r="G99" s="126"/>
      <c r="H99" s="126">
        <f>H98-G99</f>
        <v>25477000</v>
      </c>
    </row>
    <row r="100" spans="1:8" x14ac:dyDescent="0.25">
      <c r="A100" s="154"/>
      <c r="B100" s="160"/>
      <c r="C100" s="265"/>
      <c r="D100" s="82"/>
      <c r="E100" s="228"/>
      <c r="F100" s="126"/>
      <c r="G100" s="126"/>
      <c r="H100" s="126">
        <f>H99-G100</f>
        <v>25477000</v>
      </c>
    </row>
    <row r="101" spans="1:8" x14ac:dyDescent="0.25">
      <c r="A101" s="154"/>
      <c r="B101" s="160"/>
      <c r="C101" s="265"/>
      <c r="D101" s="82"/>
      <c r="E101" s="228"/>
      <c r="F101" s="126"/>
      <c r="G101" s="126"/>
      <c r="H101" s="126">
        <f t="shared" ref="H101:H102" si="4">H100-G101</f>
        <v>25477000</v>
      </c>
    </row>
    <row r="102" spans="1:8" x14ac:dyDescent="0.25">
      <c r="A102" s="154"/>
      <c r="B102" s="160"/>
      <c r="C102" s="265"/>
      <c r="D102" s="82"/>
      <c r="E102" s="228"/>
      <c r="F102" s="126"/>
      <c r="G102" s="126"/>
      <c r="H102" s="126">
        <f t="shared" si="4"/>
        <v>25477000</v>
      </c>
    </row>
    <row r="103" spans="1:8" x14ac:dyDescent="0.25">
      <c r="A103" s="154"/>
      <c r="B103" s="160"/>
      <c r="C103" s="265"/>
      <c r="D103" s="82"/>
      <c r="E103" s="226"/>
      <c r="F103" s="153"/>
      <c r="G103" s="126"/>
      <c r="H103" s="126">
        <f>H102+F103</f>
        <v>25477000</v>
      </c>
    </row>
    <row r="104" spans="1:8" x14ac:dyDescent="0.25">
      <c r="A104" s="154"/>
      <c r="B104" s="160"/>
      <c r="C104" s="265"/>
      <c r="D104" s="82"/>
      <c r="E104" s="228"/>
      <c r="F104" s="126"/>
      <c r="G104" s="126"/>
      <c r="H104" s="126">
        <f>H103-G104</f>
        <v>25477000</v>
      </c>
    </row>
    <row r="105" spans="1:8" x14ac:dyDescent="0.25">
      <c r="A105" s="154"/>
      <c r="B105" s="160"/>
      <c r="C105" s="265"/>
      <c r="D105" s="87"/>
      <c r="E105" s="63"/>
      <c r="F105" s="126"/>
      <c r="G105" s="126"/>
      <c r="H105" s="126">
        <f t="shared" ref="H105:H111" si="5">H104-G105</f>
        <v>25477000</v>
      </c>
    </row>
    <row r="106" spans="1:8" x14ac:dyDescent="0.25">
      <c r="A106" s="154"/>
      <c r="B106" s="160"/>
      <c r="C106" s="265"/>
      <c r="D106" s="68"/>
      <c r="E106" s="228"/>
      <c r="F106" s="126"/>
      <c r="G106" s="126"/>
      <c r="H106" s="126">
        <f t="shared" si="5"/>
        <v>25477000</v>
      </c>
    </row>
    <row r="107" spans="1:8" x14ac:dyDescent="0.25">
      <c r="A107" s="154"/>
      <c r="B107" s="160"/>
      <c r="C107" s="265"/>
      <c r="D107" s="82"/>
      <c r="E107" s="228"/>
      <c r="F107" s="126"/>
      <c r="G107" s="126"/>
      <c r="H107" s="126">
        <f t="shared" si="5"/>
        <v>25477000</v>
      </c>
    </row>
    <row r="108" spans="1:8" x14ac:dyDescent="0.25">
      <c r="A108" s="154"/>
      <c r="B108" s="160"/>
      <c r="C108" s="265"/>
      <c r="D108" s="82"/>
      <c r="E108" s="228"/>
      <c r="F108" s="126"/>
      <c r="G108" s="126"/>
      <c r="H108" s="126">
        <f t="shared" si="5"/>
        <v>25477000</v>
      </c>
    </row>
    <row r="109" spans="1:8" x14ac:dyDescent="0.25">
      <c r="A109" s="154"/>
      <c r="B109" s="160"/>
      <c r="C109" s="265"/>
      <c r="D109" s="82"/>
      <c r="E109" s="228"/>
      <c r="F109" s="126"/>
      <c r="G109" s="126"/>
      <c r="H109" s="126">
        <f t="shared" si="5"/>
        <v>25477000</v>
      </c>
    </row>
    <row r="110" spans="1:8" x14ac:dyDescent="0.25">
      <c r="A110" s="154"/>
      <c r="B110" s="160"/>
      <c r="C110" s="265"/>
      <c r="D110" s="82"/>
      <c r="E110" s="228"/>
      <c r="F110" s="126"/>
      <c r="G110" s="126"/>
      <c r="H110" s="126">
        <f t="shared" si="5"/>
        <v>25477000</v>
      </c>
    </row>
    <row r="111" spans="1:8" x14ac:dyDescent="0.25">
      <c r="A111" s="154"/>
      <c r="B111" s="160"/>
      <c r="C111" s="265"/>
      <c r="D111" s="82"/>
      <c r="E111" s="228"/>
      <c r="F111" s="126"/>
      <c r="G111" s="126"/>
      <c r="H111" s="126">
        <f t="shared" si="5"/>
        <v>25477000</v>
      </c>
    </row>
    <row r="112" spans="1:8" x14ac:dyDescent="0.25">
      <c r="A112" s="154"/>
      <c r="B112" s="160"/>
      <c r="C112" s="265"/>
      <c r="D112" s="82"/>
      <c r="E112" s="228"/>
      <c r="F112" s="126"/>
      <c r="G112" s="126"/>
      <c r="H112" s="126"/>
    </row>
    <row r="113" spans="1:8" x14ac:dyDescent="0.25">
      <c r="A113" s="154"/>
      <c r="B113" s="160"/>
      <c r="C113" s="265"/>
      <c r="D113" s="82"/>
      <c r="E113" s="228"/>
      <c r="F113" s="126"/>
      <c r="G113" s="126"/>
      <c r="H113" s="126"/>
    </row>
    <row r="114" spans="1:8" x14ac:dyDescent="0.25">
      <c r="A114" s="154"/>
      <c r="B114" s="160"/>
      <c r="C114" s="265"/>
      <c r="D114" s="82"/>
      <c r="E114" s="226"/>
      <c r="F114" s="153"/>
      <c r="G114" s="126"/>
      <c r="H114" s="126">
        <f>H111+F114</f>
        <v>25477000</v>
      </c>
    </row>
    <row r="115" spans="1:8" x14ac:dyDescent="0.25">
      <c r="A115" s="154"/>
      <c r="B115" s="160"/>
      <c r="C115" s="265"/>
      <c r="D115" s="66"/>
      <c r="E115" s="228"/>
      <c r="F115" s="126"/>
      <c r="G115" s="126"/>
      <c r="H115" s="126">
        <f>H114-G115</f>
        <v>25477000</v>
      </c>
    </row>
    <row r="116" spans="1:8" x14ac:dyDescent="0.25">
      <c r="A116" s="154"/>
      <c r="B116" s="160"/>
      <c r="C116" s="265"/>
      <c r="D116" s="82"/>
      <c r="E116" s="226"/>
      <c r="F116" s="153"/>
      <c r="G116" s="126"/>
      <c r="H116" s="126">
        <f>H115+F116</f>
        <v>25477000</v>
      </c>
    </row>
    <row r="117" spans="1:8" x14ac:dyDescent="0.25">
      <c r="A117" s="154"/>
      <c r="B117" s="160"/>
      <c r="C117" s="265"/>
      <c r="D117" s="82"/>
      <c r="E117" s="228"/>
      <c r="F117" s="126"/>
      <c r="G117" s="126"/>
      <c r="H117" s="126">
        <f>H116-G117</f>
        <v>25477000</v>
      </c>
    </row>
    <row r="118" spans="1:8" x14ac:dyDescent="0.25">
      <c r="A118" s="154"/>
      <c r="B118" s="160"/>
      <c r="C118" s="265"/>
      <c r="D118" s="82"/>
      <c r="E118" s="228"/>
      <c r="F118" s="126"/>
      <c r="G118" s="126"/>
      <c r="H118" s="126"/>
    </row>
    <row r="119" spans="1:8" x14ac:dyDescent="0.25">
      <c r="A119" s="154"/>
      <c r="B119" s="160"/>
      <c r="C119" s="265"/>
      <c r="D119" s="82"/>
      <c r="E119" s="228"/>
      <c r="F119" s="126"/>
      <c r="G119" s="126"/>
      <c r="H119" s="126">
        <f>H117-G119</f>
        <v>25477000</v>
      </c>
    </row>
    <row r="120" spans="1:8" x14ac:dyDescent="0.25">
      <c r="A120" s="154"/>
      <c r="B120" s="160"/>
      <c r="C120" s="265"/>
      <c r="D120" s="82"/>
      <c r="E120" s="228"/>
      <c r="F120" s="126"/>
      <c r="G120" s="126"/>
      <c r="H120" s="126">
        <f t="shared" ref="H120:H125" si="6">H119-G120</f>
        <v>25477000</v>
      </c>
    </row>
    <row r="121" spans="1:8" x14ac:dyDescent="0.25">
      <c r="A121" s="154"/>
      <c r="B121" s="160"/>
      <c r="C121" s="265"/>
      <c r="D121" s="82"/>
      <c r="E121" s="228"/>
      <c r="F121" s="126"/>
      <c r="G121" s="126"/>
      <c r="H121" s="126">
        <f t="shared" si="6"/>
        <v>25477000</v>
      </c>
    </row>
    <row r="122" spans="1:8" x14ac:dyDescent="0.25">
      <c r="A122" s="154"/>
      <c r="B122" s="160"/>
      <c r="C122" s="265"/>
      <c r="D122" s="82"/>
      <c r="E122" s="228"/>
      <c r="F122" s="126"/>
      <c r="G122" s="126"/>
      <c r="H122" s="126">
        <f t="shared" si="6"/>
        <v>25477000</v>
      </c>
    </row>
    <row r="123" spans="1:8" x14ac:dyDescent="0.25">
      <c r="A123" s="154"/>
      <c r="B123" s="160"/>
      <c r="C123" s="265"/>
      <c r="D123" s="82"/>
      <c r="E123" s="228"/>
      <c r="F123" s="126"/>
      <c r="G123" s="126"/>
      <c r="H123" s="126">
        <f t="shared" si="6"/>
        <v>25477000</v>
      </c>
    </row>
    <row r="124" spans="1:8" x14ac:dyDescent="0.25">
      <c r="A124" s="154"/>
      <c r="B124" s="160"/>
      <c r="C124" s="265"/>
      <c r="D124" s="82"/>
      <c r="E124" s="228"/>
      <c r="F124" s="126"/>
      <c r="G124" s="126"/>
      <c r="H124" s="126">
        <f t="shared" si="6"/>
        <v>25477000</v>
      </c>
    </row>
    <row r="125" spans="1:8" x14ac:dyDescent="0.25">
      <c r="A125" s="154"/>
      <c r="B125" s="160"/>
      <c r="C125" s="265"/>
      <c r="D125" s="82"/>
      <c r="E125" s="228"/>
      <c r="F125" s="126"/>
      <c r="G125" s="126"/>
      <c r="H125" s="126">
        <f t="shared" si="6"/>
        <v>25477000</v>
      </c>
    </row>
    <row r="126" spans="1:8" x14ac:dyDescent="0.25">
      <c r="A126" s="154"/>
      <c r="B126" s="160"/>
      <c r="C126" s="265"/>
      <c r="D126" s="82"/>
      <c r="E126" s="226"/>
      <c r="F126" s="153"/>
      <c r="G126" s="126"/>
      <c r="H126" s="126">
        <f>H125+F126</f>
        <v>25477000</v>
      </c>
    </row>
    <row r="127" spans="1:8" x14ac:dyDescent="0.25">
      <c r="A127" s="154"/>
      <c r="B127" s="160"/>
      <c r="C127" s="265"/>
      <c r="D127" s="82"/>
      <c r="E127" s="63"/>
      <c r="F127" s="126"/>
      <c r="G127" s="126"/>
      <c r="H127" s="126">
        <f>H126-G127</f>
        <v>25477000</v>
      </c>
    </row>
    <row r="128" spans="1:8" x14ac:dyDescent="0.25">
      <c r="A128" s="154"/>
      <c r="B128" s="160"/>
      <c r="C128" s="265"/>
      <c r="D128" s="82"/>
      <c r="E128" s="226"/>
      <c r="F128" s="153"/>
      <c r="G128" s="126"/>
      <c r="H128" s="153">
        <f>H127+F128</f>
        <v>25477000</v>
      </c>
    </row>
    <row r="129" spans="1:8" x14ac:dyDescent="0.25">
      <c r="A129" s="154"/>
      <c r="B129" s="160"/>
      <c r="C129" s="265"/>
      <c r="D129" s="66"/>
      <c r="E129" s="85"/>
      <c r="F129" s="126"/>
      <c r="G129" s="126"/>
      <c r="H129" s="126">
        <f>H128-G129</f>
        <v>25477000</v>
      </c>
    </row>
    <row r="130" spans="1:8" x14ac:dyDescent="0.25">
      <c r="A130" s="154"/>
      <c r="B130" s="160"/>
      <c r="C130" s="265"/>
      <c r="D130" s="66"/>
      <c r="E130" s="85"/>
      <c r="F130" s="126"/>
      <c r="G130" s="126"/>
      <c r="H130" s="126">
        <f t="shared" ref="H130:H157" si="7">H129-G130</f>
        <v>25477000</v>
      </c>
    </row>
    <row r="131" spans="1:8" x14ac:dyDescent="0.25">
      <c r="A131" s="154"/>
      <c r="B131" s="160"/>
      <c r="C131" s="265"/>
      <c r="D131" s="66"/>
      <c r="E131" s="85"/>
      <c r="F131" s="153"/>
      <c r="G131" s="126"/>
      <c r="H131" s="126">
        <f t="shared" si="7"/>
        <v>25477000</v>
      </c>
    </row>
    <row r="132" spans="1:8" x14ac:dyDescent="0.25">
      <c r="A132" s="154"/>
      <c r="B132" s="160"/>
      <c r="C132" s="234"/>
      <c r="D132" s="126"/>
      <c r="E132" s="155"/>
      <c r="F132" s="153"/>
      <c r="G132" s="126"/>
      <c r="H132" s="126">
        <f t="shared" si="7"/>
        <v>25477000</v>
      </c>
    </row>
    <row r="133" spans="1:8" x14ac:dyDescent="0.25">
      <c r="A133" s="154"/>
      <c r="B133" s="160"/>
      <c r="C133" s="263"/>
      <c r="D133" s="66"/>
      <c r="E133" s="85"/>
      <c r="F133" s="153"/>
      <c r="G133" s="126"/>
      <c r="H133" s="126">
        <f t="shared" si="7"/>
        <v>25477000</v>
      </c>
    </row>
    <row r="134" spans="1:8" x14ac:dyDescent="0.25">
      <c r="A134" s="154"/>
      <c r="B134" s="160"/>
      <c r="C134" s="80"/>
      <c r="D134" s="66"/>
      <c r="E134" s="85"/>
      <c r="F134" s="126"/>
      <c r="G134" s="126"/>
      <c r="H134" s="126">
        <f t="shared" si="7"/>
        <v>25477000</v>
      </c>
    </row>
    <row r="135" spans="1:8" x14ac:dyDescent="0.25">
      <c r="A135" s="154"/>
      <c r="B135" s="160"/>
      <c r="C135" s="80"/>
      <c r="D135" s="66"/>
      <c r="E135" s="85"/>
      <c r="F135" s="126"/>
      <c r="G135" s="126"/>
      <c r="H135" s="126"/>
    </row>
    <row r="136" spans="1:8" x14ac:dyDescent="0.25">
      <c r="A136" s="154"/>
      <c r="B136" s="160"/>
      <c r="C136" s="80"/>
      <c r="D136" s="66"/>
      <c r="E136" s="85"/>
      <c r="F136" s="126"/>
      <c r="G136" s="126"/>
      <c r="H136" s="126"/>
    </row>
    <row r="137" spans="1:8" x14ac:dyDescent="0.25">
      <c r="A137" s="154"/>
      <c r="B137" s="160"/>
      <c r="C137" s="80"/>
      <c r="D137" s="66"/>
      <c r="E137" s="85"/>
      <c r="F137" s="126"/>
      <c r="G137" s="126"/>
      <c r="H137" s="126"/>
    </row>
    <row r="138" spans="1:8" x14ac:dyDescent="0.25">
      <c r="A138" s="154"/>
      <c r="B138" s="160"/>
      <c r="C138" s="80"/>
      <c r="D138" s="66"/>
      <c r="E138" s="85"/>
      <c r="F138" s="126"/>
      <c r="G138" s="126"/>
      <c r="H138" s="126"/>
    </row>
    <row r="139" spans="1:8" x14ac:dyDescent="0.25">
      <c r="A139" s="154"/>
      <c r="B139" s="160"/>
      <c r="C139" s="80"/>
      <c r="D139" s="66"/>
      <c r="E139" s="85"/>
      <c r="F139" s="126"/>
      <c r="G139" s="126"/>
      <c r="H139" s="126"/>
    </row>
    <row r="140" spans="1:8" x14ac:dyDescent="0.25">
      <c r="A140" s="154"/>
      <c r="B140" s="160"/>
      <c r="C140" s="80"/>
      <c r="D140" s="66"/>
      <c r="E140" s="85"/>
      <c r="F140" s="126"/>
      <c r="G140" s="126"/>
      <c r="H140" s="126"/>
    </row>
    <row r="141" spans="1:8" x14ac:dyDescent="0.25">
      <c r="A141" s="154"/>
      <c r="B141" s="160"/>
      <c r="C141" s="263"/>
      <c r="D141" s="66"/>
      <c r="E141" s="85"/>
      <c r="F141" s="153"/>
      <c r="G141" s="126"/>
      <c r="H141" s="126">
        <f>H134-G141</f>
        <v>25477000</v>
      </c>
    </row>
    <row r="142" spans="1:8" x14ac:dyDescent="0.25">
      <c r="A142" s="154"/>
      <c r="B142" s="160"/>
      <c r="C142" s="80"/>
      <c r="D142" s="66"/>
      <c r="E142" s="85"/>
      <c r="F142" s="126"/>
      <c r="G142" s="126"/>
      <c r="H142" s="126">
        <f t="shared" si="7"/>
        <v>25477000</v>
      </c>
    </row>
    <row r="143" spans="1:8" x14ac:dyDescent="0.25">
      <c r="A143" s="154"/>
      <c r="B143" s="160"/>
      <c r="C143" s="80"/>
      <c r="D143" s="66"/>
      <c r="E143" s="85"/>
      <c r="F143" s="126"/>
      <c r="G143" s="126"/>
      <c r="H143" s="126">
        <f t="shared" si="7"/>
        <v>25477000</v>
      </c>
    </row>
    <row r="144" spans="1:8" x14ac:dyDescent="0.25">
      <c r="A144" s="154"/>
      <c r="B144" s="160"/>
      <c r="C144" s="80"/>
      <c r="D144" s="68"/>
      <c r="E144" s="228"/>
      <c r="F144" s="126"/>
      <c r="G144" s="126"/>
      <c r="H144" s="126">
        <f t="shared" si="7"/>
        <v>25477000</v>
      </c>
    </row>
    <row r="145" spans="1:8" x14ac:dyDescent="0.25">
      <c r="A145" s="154"/>
      <c r="B145" s="160"/>
      <c r="C145" s="80"/>
      <c r="D145" s="87"/>
      <c r="E145" s="63"/>
      <c r="F145" s="126"/>
      <c r="G145" s="126"/>
      <c r="H145" s="126">
        <f t="shared" si="7"/>
        <v>25477000</v>
      </c>
    </row>
    <row r="146" spans="1:8" x14ac:dyDescent="0.25">
      <c r="A146" s="154"/>
      <c r="B146" s="160"/>
      <c r="C146" s="80"/>
      <c r="D146" s="87"/>
      <c r="E146" s="63"/>
      <c r="F146" s="126"/>
      <c r="G146" s="126"/>
      <c r="H146" s="126">
        <f t="shared" si="7"/>
        <v>25477000</v>
      </c>
    </row>
    <row r="147" spans="1:8" x14ac:dyDescent="0.25">
      <c r="A147" s="154"/>
      <c r="B147" s="160"/>
      <c r="C147" s="80"/>
      <c r="D147" s="87"/>
      <c r="E147" s="63"/>
      <c r="F147" s="126"/>
      <c r="G147" s="126"/>
      <c r="H147" s="126"/>
    </row>
    <row r="148" spans="1:8" x14ac:dyDescent="0.25">
      <c r="A148" s="154"/>
      <c r="B148" s="160"/>
      <c r="C148" s="80"/>
      <c r="D148" s="87"/>
      <c r="E148" s="63"/>
      <c r="F148" s="126"/>
      <c r="G148" s="126"/>
      <c r="H148" s="126">
        <f>H146-G148</f>
        <v>25477000</v>
      </c>
    </row>
    <row r="149" spans="1:8" x14ac:dyDescent="0.25">
      <c r="A149" s="154"/>
      <c r="B149" s="160"/>
      <c r="C149" s="80"/>
      <c r="D149" s="87"/>
      <c r="E149" s="63"/>
      <c r="F149" s="126"/>
      <c r="G149" s="126"/>
      <c r="H149" s="126">
        <f t="shared" si="7"/>
        <v>25477000</v>
      </c>
    </row>
    <row r="150" spans="1:8" x14ac:dyDescent="0.25">
      <c r="A150" s="154"/>
      <c r="B150" s="160"/>
      <c r="C150" s="80"/>
      <c r="D150" s="87"/>
      <c r="E150" s="63"/>
      <c r="F150" s="126"/>
      <c r="G150" s="126"/>
      <c r="H150" s="126">
        <f>H149-G150</f>
        <v>25477000</v>
      </c>
    </row>
    <row r="151" spans="1:8" x14ac:dyDescent="0.25">
      <c r="A151" s="154"/>
      <c r="B151" s="160"/>
      <c r="C151" s="80"/>
      <c r="D151" s="87"/>
      <c r="E151" s="63"/>
      <c r="F151" s="126"/>
      <c r="G151" s="126"/>
      <c r="H151" s="126">
        <f t="shared" si="7"/>
        <v>25477000</v>
      </c>
    </row>
    <row r="152" spans="1:8" x14ac:dyDescent="0.25">
      <c r="A152" s="154"/>
      <c r="B152" s="160"/>
      <c r="C152" s="80"/>
      <c r="D152" s="87"/>
      <c r="E152" s="63"/>
      <c r="F152" s="153"/>
      <c r="G152" s="126"/>
      <c r="H152" s="126">
        <f t="shared" si="7"/>
        <v>25477000</v>
      </c>
    </row>
    <row r="153" spans="1:8" x14ac:dyDescent="0.25">
      <c r="A153" s="154"/>
      <c r="B153" s="160"/>
      <c r="C153" s="80"/>
      <c r="D153" s="87"/>
      <c r="E153" s="63"/>
      <c r="F153" s="126"/>
      <c r="G153" s="126"/>
      <c r="H153" s="126">
        <f t="shared" si="7"/>
        <v>25477000</v>
      </c>
    </row>
    <row r="154" spans="1:8" x14ac:dyDescent="0.25">
      <c r="A154" s="154"/>
      <c r="B154" s="160"/>
      <c r="C154" s="80"/>
      <c r="D154" s="87"/>
      <c r="E154" s="63"/>
      <c r="F154" s="153"/>
      <c r="G154" s="126"/>
      <c r="H154" s="126">
        <f t="shared" si="7"/>
        <v>25477000</v>
      </c>
    </row>
    <row r="155" spans="1:8" x14ac:dyDescent="0.25">
      <c r="A155" s="154"/>
      <c r="B155" s="160"/>
      <c r="C155" s="80"/>
      <c r="D155" s="87"/>
      <c r="E155" s="86"/>
      <c r="F155" s="126"/>
      <c r="G155" s="126"/>
      <c r="H155" s="126">
        <f t="shared" si="7"/>
        <v>25477000</v>
      </c>
    </row>
    <row r="156" spans="1:8" x14ac:dyDescent="0.25">
      <c r="A156" s="154"/>
      <c r="B156" s="160"/>
      <c r="C156" s="80"/>
      <c r="D156" s="87"/>
      <c r="E156" s="86"/>
      <c r="F156" s="153"/>
      <c r="G156" s="126"/>
      <c r="H156" s="126">
        <f t="shared" si="7"/>
        <v>25477000</v>
      </c>
    </row>
    <row r="157" spans="1:8" x14ac:dyDescent="0.25">
      <c r="A157" s="154"/>
      <c r="B157" s="160"/>
      <c r="C157" s="80"/>
      <c r="D157" s="87"/>
      <c r="E157" s="86"/>
      <c r="F157" s="153"/>
      <c r="G157" s="126"/>
      <c r="H157" s="126">
        <f t="shared" si="7"/>
        <v>25477000</v>
      </c>
    </row>
    <row r="158" spans="1:8" x14ac:dyDescent="0.25">
      <c r="A158" s="131"/>
      <c r="B158" s="132"/>
      <c r="C158" s="230"/>
      <c r="D158" s="136"/>
      <c r="E158" s="135" t="s">
        <v>40</v>
      </c>
      <c r="F158" s="136">
        <f>SUM(F8:F157)</f>
        <v>140725626</v>
      </c>
      <c r="G158" s="136">
        <f>SUM(G8:G157)</f>
        <v>115248626</v>
      </c>
      <c r="H158" s="134">
        <f>F158-G158</f>
        <v>25477000</v>
      </c>
    </row>
    <row r="159" spans="1:8" x14ac:dyDescent="0.25">
      <c r="A159" s="131"/>
      <c r="B159" s="132"/>
      <c r="C159" s="136"/>
      <c r="D159" s="136"/>
      <c r="E159" s="135" t="s">
        <v>41</v>
      </c>
      <c r="F159" s="134">
        <f>F158</f>
        <v>140725626</v>
      </c>
      <c r="G159" s="137">
        <f>G158</f>
        <v>115248626</v>
      </c>
      <c r="H159" s="134">
        <f>F159-G159</f>
        <v>25477000</v>
      </c>
    </row>
    <row r="160" spans="1:8" x14ac:dyDescent="0.25">
      <c r="A160" s="138" t="s">
        <v>610</v>
      </c>
      <c r="B160" s="139"/>
      <c r="C160" s="141"/>
      <c r="D160" s="141"/>
      <c r="E160" s="140"/>
      <c r="F160" s="142"/>
      <c r="G160" s="142"/>
      <c r="H160" s="142"/>
    </row>
    <row r="161" spans="1:8" x14ac:dyDescent="0.25">
      <c r="A161" s="138" t="s">
        <v>713</v>
      </c>
      <c r="B161" s="143"/>
      <c r="C161" s="145"/>
      <c r="D161" s="145"/>
      <c r="E161" s="144"/>
      <c r="F161" s="145"/>
      <c r="G161" s="145"/>
      <c r="H161" s="145"/>
    </row>
    <row r="162" spans="1:8" x14ac:dyDescent="0.25">
      <c r="A162" s="82"/>
      <c r="B162" s="81"/>
      <c r="C162" s="146"/>
      <c r="D162" s="146"/>
      <c r="E162" s="114"/>
      <c r="F162" s="146"/>
      <c r="G162" s="146"/>
      <c r="H162" s="146"/>
    </row>
    <row r="163" spans="1:8" x14ac:dyDescent="0.25">
      <c r="A163" s="82"/>
      <c r="B163" s="82"/>
      <c r="C163" s="148"/>
      <c r="D163" s="148" t="s">
        <v>43</v>
      </c>
      <c r="E163" s="147" t="s">
        <v>42</v>
      </c>
      <c r="F163" s="148">
        <v>12351300</v>
      </c>
      <c r="G163" s="148"/>
      <c r="H163" s="148"/>
    </row>
    <row r="164" spans="1:8" x14ac:dyDescent="0.25">
      <c r="A164" s="82"/>
      <c r="B164" s="82"/>
      <c r="C164" s="148"/>
      <c r="D164" s="148" t="s">
        <v>45</v>
      </c>
      <c r="E164" s="147" t="s">
        <v>44</v>
      </c>
      <c r="F164" s="148">
        <v>13125700</v>
      </c>
      <c r="G164" s="148"/>
      <c r="H164" s="148"/>
    </row>
    <row r="165" spans="1:8" x14ac:dyDescent="0.25">
      <c r="A165" s="82"/>
      <c r="B165" s="82"/>
      <c r="C165" s="149"/>
      <c r="D165" s="149" t="s">
        <v>46</v>
      </c>
      <c r="E165" s="147"/>
      <c r="F165" s="149">
        <f>F164+F163</f>
        <v>25477000</v>
      </c>
      <c r="G165" s="148"/>
      <c r="H165" s="148"/>
    </row>
    <row r="166" spans="1:8" x14ac:dyDescent="0.25">
      <c r="A166" s="82"/>
      <c r="B166" s="82"/>
      <c r="C166" s="148"/>
      <c r="D166" s="148"/>
      <c r="E166" s="114"/>
      <c r="F166" s="148"/>
      <c r="G166" s="148"/>
      <c r="H166" s="148"/>
    </row>
    <row r="167" spans="1:8" x14ac:dyDescent="0.25">
      <c r="A167" s="82"/>
      <c r="B167" s="82"/>
      <c r="C167" s="148"/>
      <c r="D167" s="148"/>
      <c r="E167" s="147"/>
      <c r="F167" s="148" t="s">
        <v>708</v>
      </c>
      <c r="G167" s="148"/>
      <c r="H167" s="148"/>
    </row>
    <row r="168" spans="1:8" x14ac:dyDescent="0.25">
      <c r="A168" s="82"/>
      <c r="B168" s="82" t="s">
        <v>435</v>
      </c>
      <c r="C168" s="148"/>
      <c r="D168" s="148"/>
      <c r="E168" s="147"/>
      <c r="F168" s="148" t="s">
        <v>47</v>
      </c>
      <c r="G168" s="148"/>
      <c r="H168" s="148"/>
    </row>
    <row r="169" spans="1:8" x14ac:dyDescent="0.25">
      <c r="A169" s="82"/>
      <c r="B169" s="82"/>
      <c r="C169" s="148"/>
      <c r="D169" s="148"/>
      <c r="E169" s="147"/>
      <c r="F169" s="148"/>
      <c r="G169" s="148"/>
      <c r="H169" s="148"/>
    </row>
    <row r="170" spans="1:8" x14ac:dyDescent="0.25">
      <c r="A170" s="82"/>
      <c r="B170" s="82"/>
      <c r="C170" s="148"/>
      <c r="D170" s="148"/>
      <c r="E170" s="147"/>
      <c r="F170" s="148"/>
      <c r="G170" s="148"/>
      <c r="H170" s="148"/>
    </row>
    <row r="171" spans="1:8" x14ac:dyDescent="0.25">
      <c r="A171" s="82"/>
      <c r="B171" s="82"/>
      <c r="C171" s="148"/>
      <c r="D171" s="148"/>
      <c r="E171" s="114"/>
      <c r="F171" s="148"/>
      <c r="G171" s="148"/>
      <c r="H171" s="148"/>
    </row>
    <row r="172" spans="1:8" x14ac:dyDescent="0.25">
      <c r="A172" s="82"/>
      <c r="B172" s="150" t="s">
        <v>64</v>
      </c>
      <c r="C172" s="148"/>
      <c r="D172" s="148"/>
      <c r="E172" s="114"/>
      <c r="F172" s="151" t="s">
        <v>69</v>
      </c>
      <c r="G172" s="151"/>
      <c r="H172" s="148"/>
    </row>
    <row r="173" spans="1:8" x14ac:dyDescent="0.25">
      <c r="A173" s="80"/>
      <c r="B173" s="82" t="s">
        <v>65</v>
      </c>
      <c r="C173" s="148"/>
      <c r="D173" s="148"/>
      <c r="E173" s="114"/>
      <c r="F173" s="210" t="s">
        <v>446</v>
      </c>
      <c r="G173" s="210"/>
      <c r="H173" s="148"/>
    </row>
    <row r="174" spans="1:8" x14ac:dyDescent="0.25">
      <c r="A174" s="164"/>
      <c r="B174" s="164"/>
      <c r="C174" s="164"/>
      <c r="D174" s="164"/>
      <c r="E174" s="164"/>
      <c r="F174" s="164"/>
      <c r="G174" s="164"/>
      <c r="H174" s="1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JANUARI</vt:lpstr>
      <vt:lpstr>FEBRUARI</vt:lpstr>
      <vt:lpstr>MARET</vt:lpstr>
      <vt:lpstr>APRIL</vt:lpstr>
      <vt:lpstr>MEI</vt:lpstr>
      <vt:lpstr>JUNI</vt:lpstr>
      <vt:lpstr>JULI</vt:lpstr>
      <vt:lpstr>APRIL!Print_Area</vt:lpstr>
      <vt:lpstr>FEBRUARI!Print_Area</vt:lpstr>
      <vt:lpstr>JANUARI!Print_Area</vt:lpstr>
      <vt:lpstr>MEI!Print_Area</vt:lpstr>
      <vt:lpstr>JANUARI!Print_Titles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Bendahara Bappelitbangda</cp:lastModifiedBy>
  <cp:lastPrinted>2026-07-20T01:24:29Z</cp:lastPrinted>
  <dcterms:created xsi:type="dcterms:W3CDTF">2024-02-19T00:24:02Z</dcterms:created>
  <dcterms:modified xsi:type="dcterms:W3CDTF">2026-07-20T07:23:44Z</dcterms:modified>
</cp:coreProperties>
</file>